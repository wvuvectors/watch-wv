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TEST/"/>
    </mc:Choice>
  </mc:AlternateContent>
  <xr:revisionPtr revIDLastSave="0" documentId="13_ncr:1_{B3088D7D-3B44-C946-9C1E-890E8EA1F530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etadata" sheetId="6" r:id="rId1"/>
    <sheet name="Sample IDs" sheetId="3" r:id="rId2"/>
    <sheet name="Extraction IDs" sheetId="9" r:id="rId3"/>
    <sheet name="Comments" sheetId="4" r:id="rId4"/>
    <sheet name="Volume Overrides" sheetId="8" r:id="rId5"/>
    <sheet name="Run Setup" sheetId="2" r:id="rId6"/>
    <sheet name="Lists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<sst xmlns="http://schemas.openxmlformats.org/spreadsheetml/2006/main" count="341" uniqueCount="220">
  <si>
    <t>Assay</t>
  </si>
  <si>
    <t>Date</t>
  </si>
  <si>
    <t>Run by</t>
  </si>
  <si>
    <t>Machine</t>
  </si>
  <si>
    <t>ddPCR Formulation Worksheet</t>
  </si>
  <si>
    <t>Worksheet Version</t>
  </si>
  <si>
    <t>v2.1.1</t>
  </si>
  <si>
    <t>Enter or confirm any values that appear in the blue cells.</t>
  </si>
  <si>
    <t>Worksheet Release Date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</si>
  <si>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</si>
  <si>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</si>
  <si>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</si>
  <si>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</si>
  <si>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</si>
  <si>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</si>
  <si>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</si>
  <si>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</si>
  <si>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</si>
  <si>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</si>
  <si>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</si>
  <si>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</si>
  <si>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</si>
  <si>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</si>
  <si>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</si>
  <si>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</si>
  <si>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</si>
  <si>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</si>
  <si>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</si>
  <si>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</si>
  <si>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</si>
  <si>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</si>
  <si>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</si>
  <si>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</si>
  <si>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</si>
  <si>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</si>
  <si>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</si>
  <si>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</si>
  <si>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</si>
  <si>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</si>
  <si>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</si>
  <si>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</si>
  <si>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</si>
  <si>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</si>
  <si>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</si>
  <si>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</si>
  <si>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</si>
  <si>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</si>
  <si>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</si>
  <si>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</si>
  <si>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</si>
  <si>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</si>
  <si>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</si>
  <si>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</si>
  <si>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</si>
  <si>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</si>
  <si>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</si>
  <si>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</si>
  <si>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</si>
  <si>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</si>
  <si>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</si>
  <si>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</si>
  <si>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</si>
  <si>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</si>
  <si>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</si>
  <si>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</si>
  <si>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</si>
  <si>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</si>
  <si>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</si>
  <si>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</si>
  <si>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</si>
  <si>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</si>
  <si>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</si>
  <si>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</si>
  <si>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Norovirus (dEXD27733734)</t>
  </si>
  <si>
    <t>Adenovirus (dEXD92003507)</t>
  </si>
  <si>
    <t>HF183 (dEXD79194188)</t>
  </si>
  <si>
    <t>Enterococcus (dEXD14924415)</t>
  </si>
  <si>
    <t>Legionella (dEXD53463961)</t>
  </si>
  <si>
    <t>RSV A/B (dEXD77482599)</t>
  </si>
  <si>
    <t>SARS-CoV-2 ddPCR Triplex (dEXD28563542)</t>
  </si>
  <si>
    <t>SARS-CoV-2</t>
  </si>
  <si>
    <t>MPXV Congo (dEXD77548788)</t>
  </si>
  <si>
    <t>MPXV West Africa (dEXD51818561)</t>
  </si>
  <si>
    <t>Variant SARS-CoV-2 Multiplex (dEXD15841942)</t>
  </si>
  <si>
    <t>SARS-CoV-2 N1, N2, BRSV Triplex (dEXD41434415)</t>
  </si>
  <si>
    <t>SARS-CoV-2 N1, N2 Duplex (dEXD15704188)</t>
  </si>
  <si>
    <t>SARS-CoV-2 N1 (dEXD54243734)</t>
  </si>
  <si>
    <t>SARS-CoV-2 N2 (dEXD28513507)</t>
  </si>
  <si>
    <t>SARS-CoV-2 HVdel69-70 (dMDS944624402)</t>
  </si>
  <si>
    <t>MPXV Congo, West Africa Duplex</t>
  </si>
  <si>
    <t>Influenza A/B Triplex (dEXD84844642)</t>
  </si>
  <si>
    <t>RNA</t>
  </si>
  <si>
    <t>DNA</t>
  </si>
  <si>
    <t>Respiratory Syncitial Virus (RSV)</t>
  </si>
  <si>
    <t>Influenza (Flu)</t>
  </si>
  <si>
    <t>Flu A</t>
  </si>
  <si>
    <t>Flu B</t>
  </si>
  <si>
    <t>RSV A/B</t>
  </si>
  <si>
    <t>Assay Types</t>
  </si>
  <si>
    <t>Control 1 Macromolecule</t>
  </si>
  <si>
    <t>Control 2 Macromolecule</t>
  </si>
  <si>
    <t>Target Macromolecule</t>
  </si>
  <si>
    <t>Protein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</si>
  <si>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</si>
  <si>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</si>
  <si>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</si>
  <si>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</si>
  <si>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</si>
  <si>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</si>
  <si>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</si>
  <si>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</si>
  <si>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</si>
  <si>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</si>
  <si>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</si>
  <si>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</si>
  <si>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</si>
  <si>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</si>
  <si>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</si>
  <si>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</si>
  <si>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</si>
  <si>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</si>
  <si>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</si>
  <si>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</si>
  <si>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</si>
  <si>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Pre-concentration Spike (Biol)</t>
  </si>
  <si>
    <t>Pre-concentration Spike (GBlock)</t>
  </si>
  <si>
    <t>Post-concentration Spike (Biol)</t>
  </si>
  <si>
    <t>Post-concentration Spike (GBlock)</t>
  </si>
  <si>
    <t>Antibiotic Resistance Gene (AbR)</t>
  </si>
  <si>
    <t>Genomic Element</t>
  </si>
  <si>
    <t>Direct Quantification</t>
  </si>
  <si>
    <t>Indirect Quantification</t>
  </si>
  <si>
    <t>Human</t>
  </si>
  <si>
    <t>Bovine Respiratory Syncitial Virus (BRSV)</t>
  </si>
  <si>
    <t>BRSV</t>
  </si>
  <si>
    <t>Target</t>
  </si>
  <si>
    <t>Categories</t>
  </si>
  <si>
    <t>Genes</t>
  </si>
  <si>
    <t>N1</t>
  </si>
  <si>
    <t>N2</t>
  </si>
  <si>
    <t>S</t>
  </si>
  <si>
    <t>S:HVdel69-70 WT</t>
  </si>
  <si>
    <t>S:HVdel69-70</t>
  </si>
  <si>
    <t>S:N501Y WT</t>
  </si>
  <si>
    <t>S:N501Y</t>
  </si>
  <si>
    <t>S:E484K WT</t>
  </si>
  <si>
    <t>S:E484K</t>
  </si>
  <si>
    <t>C3b:Congo</t>
  </si>
  <si>
    <t>TNFR:West Africa</t>
  </si>
  <si>
    <t>RNase P</t>
  </si>
  <si>
    <t>Quantification Method</t>
  </si>
  <si>
    <t>Method</t>
  </si>
  <si>
    <t>Method Lot ID</t>
  </si>
  <si>
    <t>Target Category</t>
  </si>
  <si>
    <t>Target Genetic Locus</t>
  </si>
  <si>
    <t>TD</t>
  </si>
  <si>
    <t>PCR PC</t>
  </si>
  <si>
    <t>PCR NC</t>
  </si>
  <si>
    <t>A1</t>
  </si>
  <si>
    <t>A2</t>
  </si>
  <si>
    <t>A3</t>
  </si>
  <si>
    <t>A4</t>
  </si>
  <si>
    <t>A5</t>
  </si>
  <si>
    <t>A42</t>
  </si>
  <si>
    <t>B1</t>
  </si>
  <si>
    <t>B2</t>
  </si>
  <si>
    <t>B3</t>
  </si>
  <si>
    <t>B4</t>
  </si>
  <si>
    <t>B42</t>
  </si>
  <si>
    <t>B6</t>
  </si>
  <si>
    <t>C1</t>
  </si>
  <si>
    <t>C2</t>
  </si>
  <si>
    <t>C3</t>
  </si>
  <si>
    <t>C42</t>
  </si>
  <si>
    <t>C5</t>
  </si>
  <si>
    <t>C6</t>
  </si>
  <si>
    <t>D1</t>
  </si>
  <si>
    <t>D2</t>
  </si>
  <si>
    <t>D42</t>
  </si>
  <si>
    <t>D4</t>
  </si>
  <si>
    <t>D5</t>
  </si>
  <si>
    <t>D6</t>
  </si>
  <si>
    <t>E42</t>
  </si>
  <si>
    <t>E3</t>
  </si>
  <si>
    <t>E4</t>
  </si>
  <si>
    <t>E5</t>
  </si>
  <si>
    <t>E6</t>
  </si>
  <si>
    <t>F2</t>
  </si>
  <si>
    <t>F3</t>
  </si>
  <si>
    <t>F4</t>
  </si>
  <si>
    <t>F5</t>
  </si>
  <si>
    <t>F6</t>
  </si>
  <si>
    <t>I AM A COMMENT</t>
  </si>
  <si>
    <t>Control 1 Calculated Copies Per uL Reaction</t>
  </si>
  <si>
    <t>Control 2 Calculated Copies Per uL Reaction</t>
  </si>
  <si>
    <t>Input uL</t>
  </si>
  <si>
    <t>* Amount of extraction included in each reaction. Can be overriden for single wells in the "Volume Overrides" sheet.</t>
  </si>
  <si>
    <t>G1</t>
  </si>
  <si>
    <t>Control 1 Well</t>
  </si>
  <si>
    <t>Control 2 Well</t>
  </si>
  <si>
    <t>G2</t>
  </si>
  <si>
    <t>Target Calculated Copies Per uL Reaction</t>
  </si>
  <si>
    <t>Batch Type</t>
  </si>
  <si>
    <t>Batch Record Version</t>
  </si>
  <si>
    <t>Batch ID</t>
  </si>
  <si>
    <t>Batch Comment</t>
  </si>
  <si>
    <t>Target Fluorophore</t>
  </si>
  <si>
    <t>AB42</t>
  </si>
  <si>
    <t>Quantification Type</t>
  </si>
  <si>
    <t>Reaction uL</t>
  </si>
  <si>
    <t>QxManager Versions</t>
  </si>
  <si>
    <t>1.2</t>
  </si>
  <si>
    <t>2.0</t>
  </si>
  <si>
    <t>QX Manager Version</t>
  </si>
  <si>
    <t>Mpox Virus (MPXV)</t>
  </si>
  <si>
    <t>Zoo QX200</t>
  </si>
  <si>
    <t>Zoo QX600</t>
  </si>
  <si>
    <t>NA</t>
  </si>
  <si>
    <t>ROX</t>
  </si>
  <si>
    <t>ATTO 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</si>
</sst>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Arial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i/>
      <sz val="16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i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3" fillId="3" borderId="5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14" fontId="13" fillId="3" borderId="1" xfId="0" applyNumberFormat="1" applyFont="1" applyFill="1" applyBorder="1" applyAlignment="1">
      <alignment horizontal="left" vertical="center"/>
    </xf>
    <xf numFmtId="0" fontId="14" fillId="4" borderId="1" xfId="0" applyFont="1" applyFill="1" applyBorder="1" applyAlignment="1">
      <alignment vertical="center"/>
    </xf>
    <xf numFmtId="0" fontId="15" fillId="4" borderId="1" xfId="0" applyFont="1" applyFill="1" applyBorder="1" applyAlignment="1">
      <alignment vertical="center"/>
    </xf>
    <xf numFmtId="0" fontId="15" fillId="0" borderId="6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9" fillId="5" borderId="5" xfId="0" applyFont="1" applyFill="1" applyBorder="1" applyAlignment="1">
      <alignment horizontal="right" vertical="center"/>
    </xf>
    <xf numFmtId="0" fontId="9" fillId="5" borderId="5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7" fillId="2" borderId="5" xfId="0" applyFont="1" applyFill="1" applyBorder="1" applyAlignment="1">
      <alignment horizontal="right" vertical="center"/>
    </xf>
    <xf numFmtId="0" fontId="17" fillId="2" borderId="5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8" fillId="2" borderId="1" xfId="0" applyFont="1" applyFill="1" applyBorder="1" applyAlignment="1">
      <alignment horizontal="right" vertical="center"/>
    </xf>
    <xf numFmtId="0" fontId="18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right" vertical="center"/>
    </xf>
    <xf numFmtId="0" fontId="13" fillId="2" borderId="5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" fillId="2" borderId="5" xfId="0" applyFont="1" applyFill="1" applyBorder="1" applyAlignment="1">
      <alignment horizontal="right"/>
    </xf>
    <xf numFmtId="0" fontId="0" fillId="2" borderId="5" xfId="0" applyFill="1" applyBorder="1"/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right" vertical="center"/>
    </xf>
    <xf numFmtId="0" fontId="16" fillId="6" borderId="5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/>
    </xf>
    <xf numFmtId="0" fontId="18" fillId="4" borderId="16" xfId="0" applyFont="1" applyFill="1" applyBorder="1" applyAlignment="1">
      <alignment horizontal="right"/>
    </xf>
    <xf numFmtId="0" fontId="18" fillId="4" borderId="17" xfId="0" applyFont="1" applyFill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18" fillId="4" borderId="18" xfId="0" applyFont="1" applyFill="1" applyBorder="1" applyAlignment="1">
      <alignment horizontal="right"/>
    </xf>
    <xf numFmtId="0" fontId="18" fillId="4" borderId="19" xfId="0" applyFont="1" applyFill="1" applyBorder="1" applyAlignment="1">
      <alignment horizontal="center"/>
    </xf>
    <xf numFmtId="0" fontId="18" fillId="0" borderId="0" xfId="0" applyFont="1"/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11" fillId="8" borderId="20" xfId="0" applyFont="1" applyFill="1" applyBorder="1" applyAlignment="1">
      <alignment horizontal="center" vertical="center"/>
    </xf>
    <xf numFmtId="0" fontId="11" fillId="9" borderId="20" xfId="0" applyFont="1" applyFill="1" applyBorder="1" applyAlignment="1">
      <alignment horizontal="center" vertical="center"/>
    </xf>
    <xf numFmtId="0" fontId="21" fillId="3" borderId="5" xfId="0" applyFont="1" applyFill="1" applyBorder="1"/>
    <xf numFmtId="0" fontId="21" fillId="3" borderId="8" xfId="0" applyFont="1" applyFill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1" fillId="0" borderId="0" xfId="0" applyFont="1" applyAlignment="1">
      <alignment horizontal="center" vertical="center"/>
    </xf>
    <xf numFmtId="0" fontId="23" fillId="18" borderId="23" xfId="0" applyFont="1" applyFill="1" applyBorder="1" applyAlignment="1">
      <alignment horizontal="left" vertical="center"/>
    </xf>
    <xf numFmtId="0" fontId="23" fillId="18" borderId="24" xfId="0" applyFont="1" applyFill="1" applyBorder="1" applyAlignment="1">
      <alignment vertical="center"/>
    </xf>
    <xf numFmtId="0" fontId="24" fillId="0" borderId="8" xfId="0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0" xfId="0" applyFont="1"/>
    <xf numFmtId="0" fontId="23" fillId="18" borderId="25" xfId="0" applyFont="1" applyFill="1" applyBorder="1" applyAlignment="1">
      <alignment horizontal="left" vertical="center"/>
    </xf>
    <xf numFmtId="0" fontId="23" fillId="18" borderId="26" xfId="0" applyFont="1" applyFill="1" applyBorder="1" applyAlignment="1">
      <alignment vertical="center"/>
    </xf>
    <xf numFmtId="0" fontId="25" fillId="10" borderId="0" xfId="0" applyFont="1" applyFill="1" applyAlignment="1">
      <alignment horizontal="left" vertical="center"/>
    </xf>
    <xf numFmtId="14" fontId="25" fillId="10" borderId="0" xfId="0" applyNumberFormat="1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6" fillId="0" borderId="21" xfId="0" applyFont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2" borderId="8" xfId="0" applyFont="1" applyFill="1" applyBorder="1" applyAlignment="1">
      <alignment horizontal="left" vertical="center"/>
    </xf>
    <xf numFmtId="0" fontId="25" fillId="16" borderId="8" xfId="0" applyFont="1" applyFill="1" applyBorder="1" applyAlignment="1">
      <alignment horizontal="left" vertical="center"/>
    </xf>
    <xf numFmtId="0" fontId="25" fillId="17" borderId="0" xfId="0" applyFont="1" applyFill="1" applyAlignment="1">
      <alignment vertical="center"/>
    </xf>
    <xf numFmtId="0" fontId="25" fillId="13" borderId="8" xfId="0" applyFont="1" applyFill="1" applyBorder="1" applyAlignment="1">
      <alignment horizontal="left" vertical="center"/>
    </xf>
    <xf numFmtId="0" fontId="25" fillId="11" borderId="0" xfId="0" applyFont="1" applyFill="1" applyAlignment="1">
      <alignment vertical="center"/>
    </xf>
    <xf numFmtId="0" fontId="25" fillId="11" borderId="8" xfId="0" applyFont="1" applyFill="1" applyBorder="1" applyAlignment="1">
      <alignment horizontal="left" vertical="center"/>
    </xf>
    <xf numFmtId="0" fontId="25" fillId="11" borderId="0" xfId="0" applyFont="1" applyFill="1" applyAlignment="1">
      <alignment horizontal="left" vertical="center"/>
    </xf>
    <xf numFmtId="0" fontId="25" fillId="15" borderId="8" xfId="0" applyFont="1" applyFill="1" applyBorder="1" applyAlignment="1">
      <alignment horizontal="left" vertical="center"/>
    </xf>
    <xf numFmtId="0" fontId="25" fillId="14" borderId="0" xfId="0" applyFont="1" applyFill="1" applyAlignment="1">
      <alignment vertical="center"/>
    </xf>
    <xf numFmtId="0" fontId="25" fillId="0" borderId="8" xfId="0" applyFont="1" applyBorder="1" applyAlignment="1">
      <alignment vertical="center"/>
    </xf>
    <xf numFmtId="0" fontId="25" fillId="14" borderId="8" xfId="0" applyFont="1" applyFill="1" applyBorder="1" applyAlignment="1">
      <alignment horizontal="left" vertical="center"/>
    </xf>
    <xf numFmtId="0" fontId="25" fillId="14" borderId="8" xfId="0" applyFont="1" applyFill="1" applyBorder="1" applyAlignment="1">
      <alignment vertical="center"/>
    </xf>
    <xf numFmtId="0" fontId="25" fillId="12" borderId="22" xfId="0" applyFont="1" applyFill="1" applyBorder="1" applyAlignment="1">
      <alignment horizontal="left" vertical="center"/>
    </xf>
    <xf numFmtId="0" fontId="25" fillId="14" borderId="21" xfId="0" applyFont="1" applyFill="1" applyBorder="1" applyAlignment="1">
      <alignment horizontal="left" vertical="center"/>
    </xf>
    <xf numFmtId="0" fontId="22" fillId="0" borderId="0" xfId="0" applyFont="1"/>
    <xf numFmtId="0" fontId="26" fillId="0" borderId="8" xfId="0" applyFont="1" applyBorder="1" applyAlignment="1">
      <alignment horizontal="center" vertical="center"/>
    </xf>
    <xf numFmtId="0" fontId="25" fillId="12" borderId="8" xfId="0" applyFont="1" applyFill="1" applyBorder="1" applyAlignment="1">
      <alignment horizontal="left" vertical="center"/>
    </xf>
    <xf numFmtId="0" fontId="25" fillId="0" borderId="21" xfId="0" applyFont="1" applyBorder="1" applyAlignment="1">
      <alignment horizontal="left" vertical="center"/>
    </xf>
    <xf numFmtId="0" fontId="0" fillId="0" borderId="0" xfId="0" quotePrefix="1"/>
    <xf numFmtId="0" fontId="25" fillId="0" borderId="21" xfId="0" applyFont="1" applyBorder="1" applyAlignment="1">
      <alignment vertical="center"/>
    </xf>
    <xf numFmtId="0" fontId="25" fillId="10" borderId="27" xfId="0" applyFont="1" applyFill="1" applyBorder="1" applyAlignment="1">
      <alignment horizontal="left" vertical="center"/>
    </xf>
    <xf numFmtId="0" fontId="25" fillId="10" borderId="8" xfId="0" applyFont="1" applyFill="1" applyBorder="1" applyAlignment="1">
      <alignment horizontal="left" vertical="center"/>
    </xf>
    <xf numFmtId="0" fontId="1" fillId="0" borderId="0" xfId="0" applyFont="1"/>
    <xf numFmtId="0" fontId="18" fillId="2" borderId="9" xfId="0" applyFont="1" applyFill="1" applyBorder="1" applyAlignment="1">
      <alignment horizontal="center" vertical="center"/>
    </xf>
    <xf numFmtId="0" fontId="12" fillId="0" borderId="10" xfId="0" applyFont="1" applyBorder="1"/>
    <xf numFmtId="0" fontId="12" fillId="0" borderId="11" xfId="0" applyFont="1" applyBorder="1"/>
    <xf numFmtId="0" fontId="16" fillId="0" borderId="0" xfId="0" applyFont="1" applyAlignment="1">
      <alignment horizontal="left" vertical="center" wrapText="1"/>
    </xf>
    <xf numFmtId="0" fontId="0" fillId="0" borderId="0" xfId="0"/>
    <xf numFmtId="0" fontId="18" fillId="7" borderId="14" xfId="0" applyFont="1" applyFill="1" applyBorder="1" applyAlignment="1">
      <alignment horizontal="right" vertical="center"/>
    </xf>
    <xf numFmtId="0" fontId="12" fillId="0" borderId="15" xfId="0" applyFont="1" applyBorder="1"/>
    <xf numFmtId="0" fontId="11" fillId="3" borderId="2" xfId="0" applyFont="1" applyFill="1" applyBorder="1" applyAlignment="1">
      <alignment horizontal="left" vertical="center"/>
    </xf>
    <xf numFmtId="0" fontId="12" fillId="0" borderId="3" xfId="0" applyFont="1" applyBorder="1"/>
    <xf numFmtId="0" fontId="12" fillId="0" borderId="4" xfId="0" applyFont="1" applyBorder="1"/>
    <xf numFmtId="0" fontId="14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12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24"/>
  <sheetViews>
    <sheetView tabSelected="1" topLeftCell="A14" zoomScale="89" zoomScaleNormal="70" workbookViewId="0">
      <selection activeCell="B50" sqref="B50"/>
    </sheetView>
  </sheetViews>
  <sheetFormatPr baseColWidth="10" defaultColWidth="11.42578125" defaultRowHeight="15" customHeight="1" x14ac:dyDescent="0.2"/>
  <cols>
    <col min="1" max="1" width="51.5703125" style="57" customWidth="1"/>
    <col min="2" max="2" width="58.28515625" style="57" customWidth="1"/>
    <col min="3" max="3" width="76.5703125" style="57" customWidth="1"/>
    <col min="4" max="26" width="26" style="57" customWidth="1"/>
    <col min="27" max="16384" width="11.42578125" style="57"/>
  </cols>
  <sheetData>
    <row r="1" spans="1:26" ht="32" customHeight="1" x14ac:dyDescent="0.2">
      <c r="A1" s="53" t="s">
        <v>202</v>
      </c>
      <c r="B1" s="54" t="s">
        <v>0</v>
      </c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32" customHeight="1" thickBot="1" x14ac:dyDescent="0.25">
      <c r="A2" s="58" t="s">
        <v>203</v>
      </c>
      <c r="B2" s="59" t="s">
        <v>103</v>
      </c>
      <c r="C2" s="55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30" customHeight="1" x14ac:dyDescent="0.2">
      <c r="A3" s="60" t="s">
        <v>1</v>
      </c>
      <c r="B3" s="61">
        <v>44761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30" customHeight="1" x14ac:dyDescent="0.2">
      <c r="A4" s="56" t="s">
        <v>2</v>
      </c>
      <c r="B4" s="56" t="s">
        <v>155</v>
      </c>
      <c r="C4" s="62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30" customHeight="1" x14ac:dyDescent="0.2">
      <c r="A5" s="60" t="s">
        <v>3</v>
      </c>
      <c r="B5" s="60" t="s">
        <v>215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30" customHeight="1" x14ac:dyDescent="0.2">
      <c r="A6" s="56" t="s">
        <v>213</v>
      </c>
      <c r="B6" s="56" t="s">
        <v>211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30" customHeight="1" x14ac:dyDescent="0.2">
      <c r="A7" s="86" t="s">
        <v>204</v>
      </c>
      <c r="B7" s="86" t="s">
        <v>207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ht="30" customHeight="1" x14ac:dyDescent="0.2">
      <c r="A8" s="56" t="s">
        <v>195</v>
      </c>
      <c r="B8" s="56">
        <v>5</v>
      </c>
      <c r="C8" s="12" t="s">
        <v>196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ht="30" customHeight="1" x14ac:dyDescent="0.2">
      <c r="A9" s="60" t="s">
        <v>209</v>
      </c>
      <c r="B9" s="60">
        <v>20</v>
      </c>
      <c r="C9" s="63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spans="1:26" ht="30" customHeight="1" x14ac:dyDescent="0.2">
      <c r="A10" s="56" t="s">
        <v>109</v>
      </c>
      <c r="B10" s="56" t="s">
        <v>70</v>
      </c>
      <c r="C10" s="63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30" customHeight="1" x14ac:dyDescent="0.2">
      <c r="A11" s="60" t="s">
        <v>107</v>
      </c>
      <c r="B11" s="60">
        <v>456645</v>
      </c>
      <c r="C11" s="63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30" customHeight="1" x14ac:dyDescent="0.2">
      <c r="A12" s="56" t="s">
        <v>150</v>
      </c>
      <c r="B12" s="56" t="s">
        <v>111</v>
      </c>
      <c r="C12" s="63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30" customHeight="1" x14ac:dyDescent="0.2">
      <c r="A13" s="60" t="s">
        <v>208</v>
      </c>
      <c r="B13" s="60" t="s">
        <v>130</v>
      </c>
      <c r="C13" s="63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30" customHeight="1" x14ac:dyDescent="0.2">
      <c r="A14" s="56" t="s">
        <v>151</v>
      </c>
      <c r="B14" s="56" t="s">
        <v>79</v>
      </c>
      <c r="C14" s="63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30" customHeight="1" x14ac:dyDescent="0.2">
      <c r="A15" s="87" t="s">
        <v>152</v>
      </c>
      <c r="B15" s="87">
        <v>4242</v>
      </c>
      <c r="C15" s="81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30" customHeight="1" thickBot="1" x14ac:dyDescent="0.25">
      <c r="A16" s="83" t="s">
        <v>205</v>
      </c>
      <c r="B16" s="85" t="s">
        <v>59</v>
      </c>
      <c r="C16" s="83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25" customHeight="1" x14ac:dyDescent="0.2">
      <c r="A17" s="82" t="s">
        <v>206</v>
      </c>
      <c r="B17" s="82" t="s">
        <v>61</v>
      </c>
      <c r="C17" s="75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25" customHeight="1" x14ac:dyDescent="0.2">
      <c r="A18" s="66" t="s">
        <v>135</v>
      </c>
      <c r="B18" s="66" t="s">
        <v>80</v>
      </c>
      <c r="C18" s="63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25" customHeight="1" x14ac:dyDescent="0.2">
      <c r="A19" s="67" t="s">
        <v>154</v>
      </c>
      <c r="B19" s="68" t="s">
        <v>138</v>
      </c>
      <c r="C19" s="65"/>
    </row>
    <row r="20" spans="1:26" ht="25" customHeight="1" x14ac:dyDescent="0.2">
      <c r="A20" s="66" t="s">
        <v>153</v>
      </c>
      <c r="B20" s="66" t="s">
        <v>121</v>
      </c>
      <c r="C20" s="63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25" customHeight="1" x14ac:dyDescent="0.2">
      <c r="A21" s="66" t="s">
        <v>101</v>
      </c>
      <c r="B21" s="66" t="s">
        <v>91</v>
      </c>
      <c r="C21" s="63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25" customHeight="1" x14ac:dyDescent="0.2">
      <c r="A22" s="66" t="s">
        <v>201</v>
      </c>
      <c r="B22" s="66">
        <v>0</v>
      </c>
      <c r="C22" s="63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25" customHeight="1" x14ac:dyDescent="0.2">
      <c r="A23" s="69" t="s">
        <v>104</v>
      </c>
      <c r="B23" s="70" t="s">
        <v>114</v>
      </c>
      <c r="C23" s="65"/>
    </row>
    <row r="24" spans="1:26" ht="25" customHeight="1" x14ac:dyDescent="0.2">
      <c r="A24" s="69" t="s">
        <v>115</v>
      </c>
      <c r="B24" s="71" t="s">
        <v>217</v>
      </c>
      <c r="C24" s="65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25" customHeight="1" x14ac:dyDescent="0.2">
      <c r="A25" s="69" t="s">
        <v>99</v>
      </c>
      <c r="B25" s="70" t="s">
        <v>217</v>
      </c>
      <c r="C25" s="65"/>
    </row>
    <row r="26" spans="1:26" ht="25" customHeight="1" x14ac:dyDescent="0.2">
      <c r="A26" s="72" t="s">
        <v>198</v>
      </c>
      <c r="B26" s="71" t="s">
        <v>197</v>
      </c>
      <c r="C26" s="65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25" customHeight="1" x14ac:dyDescent="0.2">
      <c r="A27" s="72" t="s">
        <v>193</v>
      </c>
      <c r="B27" s="72">
        <v>0</v>
      </c>
      <c r="C27" s="65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25" customHeight="1" x14ac:dyDescent="0.2">
      <c r="A28" s="73" t="s">
        <v>105</v>
      </c>
      <c r="B28" s="74" t="s">
        <v>113</v>
      </c>
      <c r="C28" s="75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25" customHeight="1" x14ac:dyDescent="0.2">
      <c r="A29" s="76" t="s">
        <v>116</v>
      </c>
      <c r="B29" s="76" t="s">
        <v>120</v>
      </c>
      <c r="C29" s="63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25" customHeight="1" x14ac:dyDescent="0.2">
      <c r="A30" s="73" t="s">
        <v>100</v>
      </c>
      <c r="B30" s="77" t="s">
        <v>91</v>
      </c>
      <c r="C30" s="75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25" customHeight="1" x14ac:dyDescent="0.2">
      <c r="A31" s="76" t="s">
        <v>199</v>
      </c>
      <c r="B31" s="76" t="s">
        <v>200</v>
      </c>
      <c r="C31" s="63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25" customHeight="1" thickBot="1" x14ac:dyDescent="0.25">
      <c r="A32" s="79" t="s">
        <v>194</v>
      </c>
      <c r="B32" s="76">
        <v>100</v>
      </c>
      <c r="C32" s="64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21" customHeight="1" x14ac:dyDescent="0.2">
      <c r="A33" s="82" t="s">
        <v>206</v>
      </c>
      <c r="B33" s="78" t="s">
        <v>66</v>
      </c>
      <c r="C33" s="65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21" customHeight="1" x14ac:dyDescent="0.2">
      <c r="A34" s="66" t="s">
        <v>135</v>
      </c>
      <c r="B34" s="66" t="s">
        <v>80</v>
      </c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21" customHeight="1" x14ac:dyDescent="0.2">
      <c r="A35" s="67" t="s">
        <v>154</v>
      </c>
      <c r="B35" s="68" t="s">
        <v>139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21" customHeight="1" x14ac:dyDescent="0.2">
      <c r="A36" s="66" t="s">
        <v>153</v>
      </c>
      <c r="B36" s="66" t="s">
        <v>121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21" customHeight="1" x14ac:dyDescent="0.2">
      <c r="A37" s="66" t="s">
        <v>101</v>
      </c>
      <c r="B37" s="66" t="s">
        <v>91</v>
      </c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21" customHeight="1" x14ac:dyDescent="0.2">
      <c r="A38" s="66" t="s">
        <v>201</v>
      </c>
      <c r="B38" s="66">
        <v>0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21" customHeight="1" x14ac:dyDescent="0.2">
      <c r="A39" s="69" t="s">
        <v>104</v>
      </c>
      <c r="B39" s="70" t="s">
        <v>114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21" customHeight="1" x14ac:dyDescent="0.2">
      <c r="A40" s="69" t="s">
        <v>115</v>
      </c>
      <c r="B40" s="71" t="s">
        <v>217</v>
      </c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21" customHeight="1" x14ac:dyDescent="0.2">
      <c r="A41" s="69" t="s">
        <v>99</v>
      </c>
      <c r="B41" s="70" t="s">
        <v>217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21" customHeight="1" x14ac:dyDescent="0.2">
      <c r="A42" s="72" t="s">
        <v>198</v>
      </c>
      <c r="B42" s="71" t="s">
        <v>197</v>
      </c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21" customHeight="1" x14ac:dyDescent="0.2">
      <c r="A43" s="72" t="s">
        <v>193</v>
      </c>
      <c r="B43" s="72">
        <v>0</v>
      </c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21" customHeight="1" x14ac:dyDescent="0.2">
      <c r="A44" s="73" t="s">
        <v>105</v>
      </c>
      <c r="B44" s="74" t="s">
        <v>113</v>
      </c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21" customHeight="1" x14ac:dyDescent="0.2">
      <c r="A45" s="76" t="s">
        <v>116</v>
      </c>
      <c r="B45" s="76" t="s">
        <v>120</v>
      </c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21" customHeight="1" x14ac:dyDescent="0.2">
      <c r="A46" s="73" t="s">
        <v>100</v>
      </c>
      <c r="B46" s="77" t="s">
        <v>91</v>
      </c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21" customHeight="1" x14ac:dyDescent="0.2">
      <c r="A47" s="76" t="s">
        <v>199</v>
      </c>
      <c r="B47" s="76" t="s">
        <v>200</v>
      </c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21" customHeight="1" thickBot="1" x14ac:dyDescent="0.25">
      <c r="A48" s="79" t="s">
        <v>194</v>
      </c>
      <c r="B48" s="79">
        <v>600</v>
      </c>
      <c r="C48" s="64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21" customHeight="1" x14ac:dyDescent="0.2">
      <c r="A49" s="82" t="s">
        <v>206</v>
      </c>
      <c r="B49" s="78" t="s">
        <v>63</v>
      </c>
      <c r="C49" s="65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21" customHeight="1" x14ac:dyDescent="0.2">
      <c r="A50" s="66" t="s">
        <v>135</v>
      </c>
      <c r="B50" s="66" t="s">
        <v>132</v>
      </c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21" customHeight="1" x14ac:dyDescent="0.2">
      <c r="A51" s="67" t="s">
        <v>154</v>
      </c>
      <c r="B51" s="68" t="s">
        <v>149</v>
      </c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21" customHeight="1" x14ac:dyDescent="0.2">
      <c r="A52" s="66" t="s">
        <v>153</v>
      </c>
      <c r="B52" s="66" t="s">
        <v>122</v>
      </c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21" customHeight="1" x14ac:dyDescent="0.2">
      <c r="A53" s="66" t="s">
        <v>101</v>
      </c>
      <c r="B53" s="66" t="s">
        <v>91</v>
      </c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21" customHeight="1" x14ac:dyDescent="0.2">
      <c r="A54" s="66" t="s">
        <v>201</v>
      </c>
      <c r="B54" s="66">
        <v>0</v>
      </c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21" customHeight="1" x14ac:dyDescent="0.2">
      <c r="A55" s="69" t="s">
        <v>104</v>
      </c>
      <c r="B55" s="70" t="s">
        <v>217</v>
      </c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21" customHeight="1" x14ac:dyDescent="0.2">
      <c r="A56" s="69" t="s">
        <v>115</v>
      </c>
      <c r="B56" s="71" t="s">
        <v>217</v>
      </c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21" customHeight="1" x14ac:dyDescent="0.2">
      <c r="A57" s="69" t="s">
        <v>99</v>
      </c>
      <c r="B57" s="70" t="s">
        <v>217</v>
      </c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21" customHeight="1" x14ac:dyDescent="0.2">
      <c r="A58" s="72" t="s">
        <v>198</v>
      </c>
      <c r="B58" s="71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21" customHeight="1" x14ac:dyDescent="0.2">
      <c r="A59" s="72" t="s">
        <v>193</v>
      </c>
      <c r="B59" s="72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21" customHeight="1" x14ac:dyDescent="0.2">
      <c r="A60" s="73" t="s">
        <v>105</v>
      </c>
      <c r="B60" s="74" t="s">
        <v>217</v>
      </c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21" customHeight="1" x14ac:dyDescent="0.2">
      <c r="A61" s="76" t="s">
        <v>116</v>
      </c>
      <c r="B61" s="76" t="s">
        <v>217</v>
      </c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21" customHeight="1" x14ac:dyDescent="0.2">
      <c r="A62" s="73" t="s">
        <v>100</v>
      </c>
      <c r="B62" s="77" t="s">
        <v>217</v>
      </c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21" customHeight="1" x14ac:dyDescent="0.2">
      <c r="A63" s="76" t="s">
        <v>199</v>
      </c>
      <c r="B63" s="7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21" customHeight="1" thickBot="1" x14ac:dyDescent="0.25">
      <c r="A64" s="79" t="s">
        <v>194</v>
      </c>
      <c r="B64" s="79"/>
      <c r="C64" s="64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s="80" customFormat="1" ht="21" customHeight="1" x14ac:dyDescent="0.2"/>
    <row r="66" spans="1:26" s="80" customFormat="1" ht="21" customHeight="1" x14ac:dyDescent="0.2"/>
    <row r="67" spans="1:26" s="80" customFormat="1" ht="21" customHeight="1" x14ac:dyDescent="0.2"/>
    <row r="68" spans="1:26" s="80" customFormat="1" ht="21" customHeight="1" x14ac:dyDescent="0.2"/>
    <row r="69" spans="1:26" ht="21" customHeight="1" x14ac:dyDescent="0.2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21" customHeight="1" x14ac:dyDescent="0.2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21" customHeight="1" x14ac:dyDescent="0.2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21" customHeight="1" x14ac:dyDescent="0.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21" customHeight="1" x14ac:dyDescent="0.2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21" customHeight="1" x14ac:dyDescent="0.2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21" customHeight="1" x14ac:dyDescent="0.2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21" customHeight="1" x14ac:dyDescent="0.2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21" customHeight="1" x14ac:dyDescent="0.2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21" customHeight="1" x14ac:dyDescent="0.2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21" customHeight="1" x14ac:dyDescent="0.2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21" customHeight="1" x14ac:dyDescent="0.2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21" customHeight="1" x14ac:dyDescent="0.2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21" customHeight="1" x14ac:dyDescent="0.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21" customHeight="1" x14ac:dyDescent="0.2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21" customHeight="1" x14ac:dyDescent="0.2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21" customHeight="1" x14ac:dyDescent="0.2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21" customHeight="1" x14ac:dyDescent="0.2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21" customHeight="1" x14ac:dyDescent="0.2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21" customHeight="1" x14ac:dyDescent="0.2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21" customHeight="1" x14ac:dyDescent="0.2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21" customHeight="1" x14ac:dyDescent="0.2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21" customHeight="1" x14ac:dyDescent="0.2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21" customHeight="1" x14ac:dyDescent="0.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21" customHeight="1" x14ac:dyDescent="0.2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21" customHeight="1" x14ac:dyDescent="0.2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21" customHeight="1" x14ac:dyDescent="0.2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21" customHeight="1" x14ac:dyDescent="0.2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21" customHeight="1" x14ac:dyDescent="0.2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21" customHeight="1" x14ac:dyDescent="0.2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21" customHeight="1" x14ac:dyDescent="0.2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21" customHeight="1" x14ac:dyDescent="0.2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21" customHeight="1" x14ac:dyDescent="0.2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21" customHeight="1" x14ac:dyDescent="0.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21" customHeight="1" x14ac:dyDescent="0.2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21" customHeight="1" x14ac:dyDescent="0.2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21" customHeight="1" x14ac:dyDescent="0.2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21" customHeight="1" x14ac:dyDescent="0.2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21" customHeight="1" x14ac:dyDescent="0.2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21" customHeight="1" x14ac:dyDescent="0.2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21" customHeight="1" x14ac:dyDescent="0.2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21" customHeight="1" x14ac:dyDescent="0.2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21" customHeight="1" x14ac:dyDescent="0.2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21" customHeight="1" x14ac:dyDescent="0.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21" customHeight="1" x14ac:dyDescent="0.2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21" customHeight="1" x14ac:dyDescent="0.2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21" customHeight="1" x14ac:dyDescent="0.2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21" customHeight="1" x14ac:dyDescent="0.2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21" customHeight="1" x14ac:dyDescent="0.2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21" customHeight="1" x14ac:dyDescent="0.2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21" customHeight="1" x14ac:dyDescent="0.2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21" customHeight="1" x14ac:dyDescent="0.2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21" customHeight="1" x14ac:dyDescent="0.2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21" customHeight="1" x14ac:dyDescent="0.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21" customHeight="1" x14ac:dyDescent="0.2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21" customHeight="1" x14ac:dyDescent="0.2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21" customHeight="1" x14ac:dyDescent="0.2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21" customHeight="1" x14ac:dyDescent="0.2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21" customHeight="1" x14ac:dyDescent="0.2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21" customHeight="1" x14ac:dyDescent="0.2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21" customHeight="1" x14ac:dyDescent="0.2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21" customHeight="1" x14ac:dyDescent="0.2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21" customHeight="1" x14ac:dyDescent="0.2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21" customHeight="1" x14ac:dyDescent="0.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21" customHeight="1" x14ac:dyDescent="0.2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21" customHeight="1" x14ac:dyDescent="0.2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21" customHeight="1" x14ac:dyDescent="0.2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21" customHeight="1" x14ac:dyDescent="0.2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21" customHeight="1" x14ac:dyDescent="0.2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21" customHeight="1" x14ac:dyDescent="0.2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21" customHeight="1" x14ac:dyDescent="0.2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21" customHeight="1" x14ac:dyDescent="0.2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21" customHeight="1" x14ac:dyDescent="0.2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21" customHeight="1" x14ac:dyDescent="0.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21" customHeight="1" x14ac:dyDescent="0.2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21" customHeight="1" x14ac:dyDescent="0.2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21" customHeight="1" x14ac:dyDescent="0.2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21" customHeight="1" x14ac:dyDescent="0.2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21" customHeight="1" x14ac:dyDescent="0.2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21" customHeight="1" x14ac:dyDescent="0.2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21" customHeight="1" x14ac:dyDescent="0.2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21" customHeight="1" x14ac:dyDescent="0.2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21" customHeight="1" x14ac:dyDescent="0.2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21" customHeight="1" x14ac:dyDescent="0.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21" customHeight="1" x14ac:dyDescent="0.2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21" customHeight="1" x14ac:dyDescent="0.2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21" customHeight="1" x14ac:dyDescent="0.2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21" customHeight="1" x14ac:dyDescent="0.2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21" customHeight="1" x14ac:dyDescent="0.2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21" customHeight="1" x14ac:dyDescent="0.2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21" customHeight="1" x14ac:dyDescent="0.2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21" customHeight="1" x14ac:dyDescent="0.2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21" customHeight="1" x14ac:dyDescent="0.2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21" customHeight="1" x14ac:dyDescent="0.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21" customHeight="1" x14ac:dyDescent="0.2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21" customHeight="1" x14ac:dyDescent="0.2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21" customHeight="1" x14ac:dyDescent="0.2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21" customHeight="1" x14ac:dyDescent="0.2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21" customHeight="1" x14ac:dyDescent="0.2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21" customHeight="1" x14ac:dyDescent="0.2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21" customHeight="1" x14ac:dyDescent="0.2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21" customHeight="1" x14ac:dyDescent="0.2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21" customHeight="1" x14ac:dyDescent="0.2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21" customHeight="1" x14ac:dyDescent="0.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21" customHeight="1" x14ac:dyDescent="0.2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21" customHeight="1" x14ac:dyDescent="0.2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21" customHeight="1" x14ac:dyDescent="0.2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21" customHeight="1" x14ac:dyDescent="0.2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21" customHeight="1" x14ac:dyDescent="0.2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21" customHeight="1" x14ac:dyDescent="0.2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21" customHeight="1" x14ac:dyDescent="0.2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21" customHeight="1" x14ac:dyDescent="0.2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21" customHeight="1" x14ac:dyDescent="0.2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21" customHeight="1" x14ac:dyDescent="0.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21" customHeight="1" x14ac:dyDescent="0.2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21" customHeight="1" x14ac:dyDescent="0.2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21" customHeight="1" x14ac:dyDescent="0.2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21" customHeight="1" x14ac:dyDescent="0.2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21" customHeight="1" x14ac:dyDescent="0.2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21" customHeight="1" x14ac:dyDescent="0.2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21" customHeight="1" x14ac:dyDescent="0.2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21" customHeight="1" x14ac:dyDescent="0.2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21" customHeight="1" x14ac:dyDescent="0.2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21" customHeight="1" x14ac:dyDescent="0.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21" customHeight="1" x14ac:dyDescent="0.2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21" customHeight="1" x14ac:dyDescent="0.2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21" customHeight="1" x14ac:dyDescent="0.2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21" customHeight="1" x14ac:dyDescent="0.2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21" customHeight="1" x14ac:dyDescent="0.2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21" customHeight="1" x14ac:dyDescent="0.2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21" customHeight="1" x14ac:dyDescent="0.2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21" customHeight="1" x14ac:dyDescent="0.2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21" customHeight="1" x14ac:dyDescent="0.2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21" customHeight="1" x14ac:dyDescent="0.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21" customHeight="1" x14ac:dyDescent="0.2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21" customHeight="1" x14ac:dyDescent="0.2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21" customHeight="1" x14ac:dyDescent="0.2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21" customHeight="1" x14ac:dyDescent="0.2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21" customHeight="1" x14ac:dyDescent="0.2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21" customHeight="1" x14ac:dyDescent="0.2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21" customHeight="1" x14ac:dyDescent="0.2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21" customHeight="1" x14ac:dyDescent="0.2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21" customHeight="1" x14ac:dyDescent="0.2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21" customHeight="1" x14ac:dyDescent="0.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21" customHeight="1" x14ac:dyDescent="0.2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21" customHeight="1" x14ac:dyDescent="0.2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21" customHeight="1" x14ac:dyDescent="0.2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21" customHeight="1" x14ac:dyDescent="0.2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21" customHeight="1" x14ac:dyDescent="0.2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21" customHeight="1" x14ac:dyDescent="0.2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21" customHeight="1" x14ac:dyDescent="0.2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21" customHeight="1" x14ac:dyDescent="0.2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21" customHeight="1" x14ac:dyDescent="0.2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21" customHeight="1" x14ac:dyDescent="0.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21" customHeight="1" x14ac:dyDescent="0.2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21" customHeight="1" x14ac:dyDescent="0.2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21" customHeight="1" x14ac:dyDescent="0.2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21" customHeight="1" x14ac:dyDescent="0.2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21" customHeight="1" x14ac:dyDescent="0.2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21" customHeight="1" x14ac:dyDescent="0.2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21" customHeight="1" x14ac:dyDescent="0.2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21" customHeight="1" x14ac:dyDescent="0.2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21" customHeight="1" x14ac:dyDescent="0.2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21" customHeight="1" x14ac:dyDescent="0.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21" customHeight="1" x14ac:dyDescent="0.2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21" customHeight="1" x14ac:dyDescent="0.2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21" customHeight="1" x14ac:dyDescent="0.2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21" customHeight="1" x14ac:dyDescent="0.2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21" customHeight="1" x14ac:dyDescent="0.2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21" customHeight="1" x14ac:dyDescent="0.2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21" customHeight="1" x14ac:dyDescent="0.2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21" customHeight="1" x14ac:dyDescent="0.2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21" customHeight="1" x14ac:dyDescent="0.2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21" customHeight="1" x14ac:dyDescent="0.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21" customHeight="1" x14ac:dyDescent="0.2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21" customHeight="1" x14ac:dyDescent="0.2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21" customHeight="1" x14ac:dyDescent="0.2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21" customHeight="1" x14ac:dyDescent="0.2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21" customHeight="1" x14ac:dyDescent="0.2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21" customHeight="1" x14ac:dyDescent="0.2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21" customHeight="1" x14ac:dyDescent="0.2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21" customHeight="1" x14ac:dyDescent="0.2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21" customHeight="1" x14ac:dyDescent="0.2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21" customHeight="1" x14ac:dyDescent="0.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21" customHeight="1" x14ac:dyDescent="0.2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21" customHeight="1" x14ac:dyDescent="0.2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21" customHeight="1" x14ac:dyDescent="0.2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21" customHeight="1" x14ac:dyDescent="0.2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21" customHeight="1" x14ac:dyDescent="0.2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21" customHeight="1" x14ac:dyDescent="0.2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21" customHeight="1" x14ac:dyDescent="0.2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21" customHeight="1" x14ac:dyDescent="0.2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21" customHeight="1" x14ac:dyDescent="0.2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21" customHeight="1" x14ac:dyDescent="0.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21" customHeight="1" x14ac:dyDescent="0.2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21" customHeight="1" x14ac:dyDescent="0.2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21" customHeight="1" x14ac:dyDescent="0.2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21" customHeight="1" x14ac:dyDescent="0.2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21" customHeight="1" x14ac:dyDescent="0.2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21" customHeight="1" x14ac:dyDescent="0.2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21" customHeight="1" x14ac:dyDescent="0.2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21" customHeight="1" x14ac:dyDescent="0.2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21" customHeight="1" x14ac:dyDescent="0.2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21" customHeight="1" x14ac:dyDescent="0.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21" customHeight="1" x14ac:dyDescent="0.2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21" customHeight="1" x14ac:dyDescent="0.2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21" customHeight="1" x14ac:dyDescent="0.2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21" customHeight="1" x14ac:dyDescent="0.2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21" customHeight="1" x14ac:dyDescent="0.2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21" customHeight="1" x14ac:dyDescent="0.2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21" customHeight="1" x14ac:dyDescent="0.2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21" customHeight="1" x14ac:dyDescent="0.2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21" customHeight="1" x14ac:dyDescent="0.2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21" customHeight="1" x14ac:dyDescent="0.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21" customHeight="1" x14ac:dyDescent="0.2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21" customHeight="1" x14ac:dyDescent="0.2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21" customHeight="1" x14ac:dyDescent="0.2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21" customHeight="1" x14ac:dyDescent="0.2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21" customHeight="1" x14ac:dyDescent="0.2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21" customHeight="1" x14ac:dyDescent="0.2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21" customHeight="1" x14ac:dyDescent="0.2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21" customHeight="1" x14ac:dyDescent="0.2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21" customHeight="1" x14ac:dyDescent="0.2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21" customHeight="1" x14ac:dyDescent="0.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21" customHeight="1" x14ac:dyDescent="0.2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21" customHeight="1" x14ac:dyDescent="0.2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21" customHeight="1" x14ac:dyDescent="0.2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21" customHeight="1" x14ac:dyDescent="0.2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21" customHeight="1" x14ac:dyDescent="0.2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21" customHeight="1" x14ac:dyDescent="0.2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21" customHeight="1" x14ac:dyDescent="0.2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21" customHeight="1" x14ac:dyDescent="0.2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21" customHeight="1" x14ac:dyDescent="0.2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21" customHeight="1" x14ac:dyDescent="0.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21" customHeight="1" x14ac:dyDescent="0.2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21" customHeight="1" x14ac:dyDescent="0.2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21" customHeight="1" x14ac:dyDescent="0.2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21" customHeight="1" x14ac:dyDescent="0.2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21" customHeight="1" x14ac:dyDescent="0.2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21" customHeight="1" x14ac:dyDescent="0.2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21" customHeight="1" x14ac:dyDescent="0.2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21" customHeight="1" x14ac:dyDescent="0.2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21" customHeight="1" x14ac:dyDescent="0.2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21" customHeight="1" x14ac:dyDescent="0.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21" customHeight="1" x14ac:dyDescent="0.2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21" customHeight="1" x14ac:dyDescent="0.2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21" customHeight="1" x14ac:dyDescent="0.2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21" customHeight="1" x14ac:dyDescent="0.2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21" customHeight="1" x14ac:dyDescent="0.2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21" customHeight="1" x14ac:dyDescent="0.2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21" customHeight="1" x14ac:dyDescent="0.2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21" customHeight="1" x14ac:dyDescent="0.2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21" customHeight="1" x14ac:dyDescent="0.2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21" customHeight="1" x14ac:dyDescent="0.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21" customHeight="1" x14ac:dyDescent="0.2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21" customHeight="1" x14ac:dyDescent="0.2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21" customHeight="1" x14ac:dyDescent="0.2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21" customHeight="1" x14ac:dyDescent="0.2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21" customHeight="1" x14ac:dyDescent="0.2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21" customHeight="1" x14ac:dyDescent="0.2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21" customHeight="1" x14ac:dyDescent="0.2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21" customHeight="1" x14ac:dyDescent="0.2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21" customHeight="1" x14ac:dyDescent="0.2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21" customHeight="1" x14ac:dyDescent="0.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21" customHeight="1" x14ac:dyDescent="0.2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21" customHeight="1" x14ac:dyDescent="0.2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21" customHeight="1" x14ac:dyDescent="0.2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21" customHeight="1" x14ac:dyDescent="0.2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21" customHeight="1" x14ac:dyDescent="0.2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21" customHeight="1" x14ac:dyDescent="0.2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21" customHeight="1" x14ac:dyDescent="0.2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21" customHeight="1" x14ac:dyDescent="0.2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21" customHeight="1" x14ac:dyDescent="0.2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21" customHeight="1" x14ac:dyDescent="0.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21" customHeight="1" x14ac:dyDescent="0.2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21" customHeight="1" x14ac:dyDescent="0.2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21" customHeight="1" x14ac:dyDescent="0.2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21" customHeight="1" x14ac:dyDescent="0.2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21" customHeight="1" x14ac:dyDescent="0.2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21" customHeight="1" x14ac:dyDescent="0.2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21" customHeight="1" x14ac:dyDescent="0.2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21" customHeight="1" x14ac:dyDescent="0.2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21" customHeight="1" x14ac:dyDescent="0.2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21" customHeight="1" x14ac:dyDescent="0.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21" customHeight="1" x14ac:dyDescent="0.2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21" customHeight="1" x14ac:dyDescent="0.2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21" customHeight="1" x14ac:dyDescent="0.2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21" customHeight="1" x14ac:dyDescent="0.2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21" customHeight="1" x14ac:dyDescent="0.2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21" customHeight="1" x14ac:dyDescent="0.2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21" customHeight="1" x14ac:dyDescent="0.2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21" customHeight="1" x14ac:dyDescent="0.2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21" customHeight="1" x14ac:dyDescent="0.2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21" customHeight="1" x14ac:dyDescent="0.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21" customHeight="1" x14ac:dyDescent="0.2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21" customHeight="1" x14ac:dyDescent="0.2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21" customHeight="1" x14ac:dyDescent="0.2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21" customHeight="1" x14ac:dyDescent="0.2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21" customHeight="1" x14ac:dyDescent="0.2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21" customHeight="1" x14ac:dyDescent="0.2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21" customHeight="1" x14ac:dyDescent="0.2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21" customHeight="1" x14ac:dyDescent="0.2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21" customHeight="1" x14ac:dyDescent="0.2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21" customHeight="1" x14ac:dyDescent="0.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21" customHeight="1" x14ac:dyDescent="0.2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21" customHeight="1" x14ac:dyDescent="0.2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21" customHeight="1" x14ac:dyDescent="0.2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21" customHeight="1" x14ac:dyDescent="0.2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21" customHeight="1" x14ac:dyDescent="0.2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21" customHeight="1" x14ac:dyDescent="0.2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21" customHeight="1" x14ac:dyDescent="0.2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21" customHeight="1" x14ac:dyDescent="0.2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21" customHeight="1" x14ac:dyDescent="0.2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21" customHeight="1" x14ac:dyDescent="0.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21" customHeight="1" x14ac:dyDescent="0.2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21" customHeight="1" x14ac:dyDescent="0.2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21" customHeight="1" x14ac:dyDescent="0.2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21" customHeight="1" x14ac:dyDescent="0.2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21" customHeight="1" x14ac:dyDescent="0.2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21" customHeight="1" x14ac:dyDescent="0.2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21" customHeight="1" x14ac:dyDescent="0.2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21" customHeight="1" x14ac:dyDescent="0.2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21" customHeight="1" x14ac:dyDescent="0.2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21" customHeight="1" x14ac:dyDescent="0.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21" customHeight="1" x14ac:dyDescent="0.2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21" customHeight="1" x14ac:dyDescent="0.2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21" customHeight="1" x14ac:dyDescent="0.2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21" customHeight="1" x14ac:dyDescent="0.2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21" customHeight="1" x14ac:dyDescent="0.2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21" customHeight="1" x14ac:dyDescent="0.2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21" customHeight="1" x14ac:dyDescent="0.2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21" customHeight="1" x14ac:dyDescent="0.2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21" customHeight="1" x14ac:dyDescent="0.2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21" customHeight="1" x14ac:dyDescent="0.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21" customHeight="1" x14ac:dyDescent="0.2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21" customHeight="1" x14ac:dyDescent="0.2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21" customHeight="1" x14ac:dyDescent="0.2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21" customHeight="1" x14ac:dyDescent="0.2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21" customHeight="1" x14ac:dyDescent="0.2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21" customHeight="1" x14ac:dyDescent="0.2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21" customHeight="1" x14ac:dyDescent="0.2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21" customHeight="1" x14ac:dyDescent="0.2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21" customHeight="1" x14ac:dyDescent="0.2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21" customHeight="1" x14ac:dyDescent="0.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21" customHeight="1" x14ac:dyDescent="0.2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21" customHeight="1" x14ac:dyDescent="0.2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21" customHeight="1" x14ac:dyDescent="0.2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21" customHeight="1" x14ac:dyDescent="0.2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21" customHeight="1" x14ac:dyDescent="0.2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21" customHeight="1" x14ac:dyDescent="0.2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21" customHeight="1" x14ac:dyDescent="0.2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21" customHeight="1" x14ac:dyDescent="0.2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21" customHeight="1" x14ac:dyDescent="0.2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21" customHeight="1" x14ac:dyDescent="0.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21" customHeight="1" x14ac:dyDescent="0.2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21" customHeight="1" x14ac:dyDescent="0.2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21" customHeight="1" x14ac:dyDescent="0.2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21" customHeight="1" x14ac:dyDescent="0.2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21" customHeight="1" x14ac:dyDescent="0.2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21" customHeight="1" x14ac:dyDescent="0.2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21" customHeight="1" x14ac:dyDescent="0.2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21" customHeight="1" x14ac:dyDescent="0.2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21" customHeight="1" x14ac:dyDescent="0.2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21" customHeight="1" x14ac:dyDescent="0.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21" customHeight="1" x14ac:dyDescent="0.2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21" customHeight="1" x14ac:dyDescent="0.2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21" customHeight="1" x14ac:dyDescent="0.2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21" customHeight="1" x14ac:dyDescent="0.2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21" customHeight="1" x14ac:dyDescent="0.2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21" customHeight="1" x14ac:dyDescent="0.2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21" customHeight="1" x14ac:dyDescent="0.2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21" customHeight="1" x14ac:dyDescent="0.2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21" customHeight="1" x14ac:dyDescent="0.2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21" customHeight="1" x14ac:dyDescent="0.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21" customHeight="1" x14ac:dyDescent="0.2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21" customHeight="1" x14ac:dyDescent="0.2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21" customHeight="1" x14ac:dyDescent="0.2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21" customHeight="1" x14ac:dyDescent="0.2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21" customHeight="1" x14ac:dyDescent="0.2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21" customHeight="1" x14ac:dyDescent="0.2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21" customHeight="1" x14ac:dyDescent="0.2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21" customHeight="1" x14ac:dyDescent="0.2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21" customHeight="1" x14ac:dyDescent="0.2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21" customHeight="1" x14ac:dyDescent="0.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21" customHeight="1" x14ac:dyDescent="0.2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21" customHeight="1" x14ac:dyDescent="0.2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21" customHeight="1" x14ac:dyDescent="0.2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21" customHeight="1" x14ac:dyDescent="0.2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21" customHeight="1" x14ac:dyDescent="0.2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21" customHeight="1" x14ac:dyDescent="0.2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21" customHeight="1" x14ac:dyDescent="0.2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21" customHeight="1" x14ac:dyDescent="0.2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21" customHeight="1" x14ac:dyDescent="0.2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21" customHeight="1" x14ac:dyDescent="0.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21" customHeight="1" x14ac:dyDescent="0.2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21" customHeight="1" x14ac:dyDescent="0.2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21" customHeight="1" x14ac:dyDescent="0.2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21" customHeight="1" x14ac:dyDescent="0.2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21" customHeight="1" x14ac:dyDescent="0.2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21" customHeight="1" x14ac:dyDescent="0.2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21" customHeight="1" x14ac:dyDescent="0.2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21" customHeight="1" x14ac:dyDescent="0.2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21" customHeight="1" x14ac:dyDescent="0.2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21" customHeight="1" x14ac:dyDescent="0.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21" customHeight="1" x14ac:dyDescent="0.2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21" customHeight="1" x14ac:dyDescent="0.2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21" customHeight="1" x14ac:dyDescent="0.2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21" customHeight="1" x14ac:dyDescent="0.2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21" customHeight="1" x14ac:dyDescent="0.2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21" customHeight="1" x14ac:dyDescent="0.2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21" customHeight="1" x14ac:dyDescent="0.2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21" customHeight="1" x14ac:dyDescent="0.2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21" customHeight="1" x14ac:dyDescent="0.2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21" customHeight="1" x14ac:dyDescent="0.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21" customHeight="1" x14ac:dyDescent="0.2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21" customHeight="1" x14ac:dyDescent="0.2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21" customHeight="1" x14ac:dyDescent="0.2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21" customHeight="1" x14ac:dyDescent="0.2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21" customHeight="1" x14ac:dyDescent="0.2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21" customHeight="1" x14ac:dyDescent="0.2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21" customHeight="1" x14ac:dyDescent="0.2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21" customHeight="1" x14ac:dyDescent="0.2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21" customHeight="1" x14ac:dyDescent="0.2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21" customHeight="1" x14ac:dyDescent="0.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21" customHeight="1" x14ac:dyDescent="0.2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21" customHeight="1" x14ac:dyDescent="0.2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21" customHeight="1" x14ac:dyDescent="0.2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21" customHeight="1" x14ac:dyDescent="0.2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21" customHeight="1" x14ac:dyDescent="0.2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21" customHeight="1" x14ac:dyDescent="0.2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21" customHeight="1" x14ac:dyDescent="0.2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21" customHeight="1" x14ac:dyDescent="0.2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21" customHeight="1" x14ac:dyDescent="0.2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21" customHeight="1" x14ac:dyDescent="0.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21" customHeight="1" x14ac:dyDescent="0.2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21" customHeight="1" x14ac:dyDescent="0.2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21" customHeight="1" x14ac:dyDescent="0.2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21" customHeight="1" x14ac:dyDescent="0.2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21" customHeight="1" x14ac:dyDescent="0.2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21" customHeight="1" x14ac:dyDescent="0.2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21" customHeight="1" x14ac:dyDescent="0.2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21" customHeight="1" x14ac:dyDescent="0.2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21" customHeight="1" x14ac:dyDescent="0.2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21" customHeight="1" x14ac:dyDescent="0.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21" customHeight="1" x14ac:dyDescent="0.2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21" customHeight="1" x14ac:dyDescent="0.2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21" customHeight="1" x14ac:dyDescent="0.2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21" customHeight="1" x14ac:dyDescent="0.2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21" customHeight="1" x14ac:dyDescent="0.2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21" customHeight="1" x14ac:dyDescent="0.2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21" customHeight="1" x14ac:dyDescent="0.2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21" customHeight="1" x14ac:dyDescent="0.2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21" customHeight="1" x14ac:dyDescent="0.2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21" customHeight="1" x14ac:dyDescent="0.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21" customHeight="1" x14ac:dyDescent="0.2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21" customHeight="1" x14ac:dyDescent="0.2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21" customHeight="1" x14ac:dyDescent="0.2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21" customHeight="1" x14ac:dyDescent="0.2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21" customHeight="1" x14ac:dyDescent="0.2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21" customHeight="1" x14ac:dyDescent="0.2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21" customHeight="1" x14ac:dyDescent="0.2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21" customHeight="1" x14ac:dyDescent="0.2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21" customHeight="1" x14ac:dyDescent="0.2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21" customHeight="1" x14ac:dyDescent="0.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21" customHeight="1" x14ac:dyDescent="0.2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21" customHeight="1" x14ac:dyDescent="0.2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21" customHeight="1" x14ac:dyDescent="0.2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21" customHeight="1" x14ac:dyDescent="0.2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21" customHeight="1" x14ac:dyDescent="0.2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21" customHeight="1" x14ac:dyDescent="0.2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21" customHeight="1" x14ac:dyDescent="0.2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21" customHeight="1" x14ac:dyDescent="0.2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21" customHeight="1" x14ac:dyDescent="0.2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21" customHeight="1" x14ac:dyDescent="0.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21" customHeight="1" x14ac:dyDescent="0.2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21" customHeight="1" x14ac:dyDescent="0.2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21" customHeight="1" x14ac:dyDescent="0.2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21" customHeight="1" x14ac:dyDescent="0.2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21" customHeight="1" x14ac:dyDescent="0.2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21" customHeight="1" x14ac:dyDescent="0.2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21" customHeight="1" x14ac:dyDescent="0.2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21" customHeight="1" x14ac:dyDescent="0.2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21" customHeight="1" x14ac:dyDescent="0.2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21" customHeight="1" x14ac:dyDescent="0.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21" customHeight="1" x14ac:dyDescent="0.2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21" customHeight="1" x14ac:dyDescent="0.2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21" customHeight="1" x14ac:dyDescent="0.2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21" customHeight="1" x14ac:dyDescent="0.2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21" customHeight="1" x14ac:dyDescent="0.2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21" customHeight="1" x14ac:dyDescent="0.2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21" customHeight="1" x14ac:dyDescent="0.2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21" customHeight="1" x14ac:dyDescent="0.2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21" customHeight="1" x14ac:dyDescent="0.2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21" customHeight="1" x14ac:dyDescent="0.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21" customHeight="1" x14ac:dyDescent="0.2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21" customHeight="1" x14ac:dyDescent="0.2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21" customHeight="1" x14ac:dyDescent="0.2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21" customHeight="1" x14ac:dyDescent="0.2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21" customHeight="1" x14ac:dyDescent="0.2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21" customHeight="1" x14ac:dyDescent="0.2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21" customHeight="1" x14ac:dyDescent="0.2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21" customHeight="1" x14ac:dyDescent="0.2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21" customHeight="1" x14ac:dyDescent="0.2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21" customHeight="1" x14ac:dyDescent="0.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21" customHeight="1" x14ac:dyDescent="0.2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21" customHeight="1" x14ac:dyDescent="0.2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21" customHeight="1" x14ac:dyDescent="0.2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21" customHeight="1" x14ac:dyDescent="0.2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21" customHeight="1" x14ac:dyDescent="0.2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21" customHeight="1" x14ac:dyDescent="0.2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21" customHeight="1" x14ac:dyDescent="0.2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21" customHeight="1" x14ac:dyDescent="0.2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21" customHeight="1" x14ac:dyDescent="0.2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21" customHeight="1" x14ac:dyDescent="0.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21" customHeight="1" x14ac:dyDescent="0.2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21" customHeight="1" x14ac:dyDescent="0.2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21" customHeight="1" x14ac:dyDescent="0.2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21" customHeight="1" x14ac:dyDescent="0.2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21" customHeight="1" x14ac:dyDescent="0.2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21" customHeight="1" x14ac:dyDescent="0.2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21" customHeight="1" x14ac:dyDescent="0.2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21" customHeight="1" x14ac:dyDescent="0.2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21" customHeight="1" x14ac:dyDescent="0.2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21" customHeight="1" x14ac:dyDescent="0.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21" customHeight="1" x14ac:dyDescent="0.2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21" customHeight="1" x14ac:dyDescent="0.2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21" customHeight="1" x14ac:dyDescent="0.2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21" customHeight="1" x14ac:dyDescent="0.2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21" customHeight="1" x14ac:dyDescent="0.2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21" customHeight="1" x14ac:dyDescent="0.2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21" customHeight="1" x14ac:dyDescent="0.2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21" customHeight="1" x14ac:dyDescent="0.2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21" customHeight="1" x14ac:dyDescent="0.2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21" customHeight="1" x14ac:dyDescent="0.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21" customHeight="1" x14ac:dyDescent="0.2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21" customHeight="1" x14ac:dyDescent="0.2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21" customHeight="1" x14ac:dyDescent="0.2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21" customHeight="1" x14ac:dyDescent="0.2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21" customHeight="1" x14ac:dyDescent="0.2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21" customHeight="1" x14ac:dyDescent="0.2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21" customHeight="1" x14ac:dyDescent="0.2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21" customHeight="1" x14ac:dyDescent="0.2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21" customHeight="1" x14ac:dyDescent="0.2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21" customHeight="1" x14ac:dyDescent="0.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21" customHeight="1" x14ac:dyDescent="0.2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21" customHeight="1" x14ac:dyDescent="0.2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21" customHeight="1" x14ac:dyDescent="0.2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21" customHeight="1" x14ac:dyDescent="0.2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21" customHeight="1" x14ac:dyDescent="0.2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21" customHeight="1" x14ac:dyDescent="0.2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21" customHeight="1" x14ac:dyDescent="0.2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21" customHeight="1" x14ac:dyDescent="0.2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21" customHeight="1" x14ac:dyDescent="0.2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21" customHeight="1" x14ac:dyDescent="0.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21" customHeight="1" x14ac:dyDescent="0.2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21" customHeight="1" x14ac:dyDescent="0.2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21" customHeight="1" x14ac:dyDescent="0.2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21" customHeight="1" x14ac:dyDescent="0.2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21" customHeight="1" x14ac:dyDescent="0.2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21" customHeight="1" x14ac:dyDescent="0.2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21" customHeight="1" x14ac:dyDescent="0.2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21" customHeight="1" x14ac:dyDescent="0.2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21" customHeight="1" x14ac:dyDescent="0.2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21" customHeight="1" x14ac:dyDescent="0.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21" customHeight="1" x14ac:dyDescent="0.2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21" customHeight="1" x14ac:dyDescent="0.2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21" customHeight="1" x14ac:dyDescent="0.2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21" customHeight="1" x14ac:dyDescent="0.2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21" customHeight="1" x14ac:dyDescent="0.2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21" customHeight="1" x14ac:dyDescent="0.2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21" customHeight="1" x14ac:dyDescent="0.2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21" customHeight="1" x14ac:dyDescent="0.2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21" customHeight="1" x14ac:dyDescent="0.2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21" customHeight="1" x14ac:dyDescent="0.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21" customHeight="1" x14ac:dyDescent="0.2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21" customHeight="1" x14ac:dyDescent="0.2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21" customHeight="1" x14ac:dyDescent="0.2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21" customHeight="1" x14ac:dyDescent="0.2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21" customHeight="1" x14ac:dyDescent="0.2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21" customHeight="1" x14ac:dyDescent="0.2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21" customHeight="1" x14ac:dyDescent="0.2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21" customHeight="1" x14ac:dyDescent="0.2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21" customHeight="1" x14ac:dyDescent="0.2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21" customHeight="1" x14ac:dyDescent="0.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21" customHeight="1" x14ac:dyDescent="0.2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21" customHeight="1" x14ac:dyDescent="0.2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21" customHeight="1" x14ac:dyDescent="0.2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21" customHeight="1" x14ac:dyDescent="0.2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21" customHeight="1" x14ac:dyDescent="0.2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21" customHeight="1" x14ac:dyDescent="0.2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21" customHeight="1" x14ac:dyDescent="0.2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21" customHeight="1" x14ac:dyDescent="0.2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21" customHeight="1" x14ac:dyDescent="0.2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21" customHeight="1" x14ac:dyDescent="0.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21" customHeight="1" x14ac:dyDescent="0.2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21" customHeight="1" x14ac:dyDescent="0.2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21" customHeight="1" x14ac:dyDescent="0.2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21" customHeight="1" x14ac:dyDescent="0.2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21" customHeight="1" x14ac:dyDescent="0.2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21" customHeight="1" x14ac:dyDescent="0.2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21" customHeight="1" x14ac:dyDescent="0.2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21" customHeight="1" x14ac:dyDescent="0.2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21" customHeight="1" x14ac:dyDescent="0.2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21" customHeight="1" x14ac:dyDescent="0.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21" customHeight="1" x14ac:dyDescent="0.2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21" customHeight="1" x14ac:dyDescent="0.2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21" customHeight="1" x14ac:dyDescent="0.2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21" customHeight="1" x14ac:dyDescent="0.2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21" customHeight="1" x14ac:dyDescent="0.2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21" customHeight="1" x14ac:dyDescent="0.2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21" customHeight="1" x14ac:dyDescent="0.2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21" customHeight="1" x14ac:dyDescent="0.2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21" customHeight="1" x14ac:dyDescent="0.2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21" customHeight="1" x14ac:dyDescent="0.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21" customHeight="1" x14ac:dyDescent="0.2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21" customHeight="1" x14ac:dyDescent="0.2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21" customHeight="1" x14ac:dyDescent="0.2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21" customHeight="1" x14ac:dyDescent="0.2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21" customHeight="1" x14ac:dyDescent="0.2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21" customHeight="1" x14ac:dyDescent="0.2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21" customHeight="1" x14ac:dyDescent="0.2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21" customHeight="1" x14ac:dyDescent="0.2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21" customHeight="1" x14ac:dyDescent="0.2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21" customHeight="1" x14ac:dyDescent="0.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21" customHeight="1" x14ac:dyDescent="0.2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21" customHeight="1" x14ac:dyDescent="0.2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21" customHeight="1" x14ac:dyDescent="0.2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21" customHeight="1" x14ac:dyDescent="0.2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21" customHeight="1" x14ac:dyDescent="0.2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21" customHeight="1" x14ac:dyDescent="0.2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21" customHeight="1" x14ac:dyDescent="0.2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21" customHeight="1" x14ac:dyDescent="0.2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21" customHeight="1" x14ac:dyDescent="0.2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21" customHeight="1" x14ac:dyDescent="0.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21" customHeight="1" x14ac:dyDescent="0.2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21" customHeight="1" x14ac:dyDescent="0.2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21" customHeight="1" x14ac:dyDescent="0.2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21" customHeight="1" x14ac:dyDescent="0.2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21" customHeight="1" x14ac:dyDescent="0.2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21" customHeight="1" x14ac:dyDescent="0.2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21" customHeight="1" x14ac:dyDescent="0.2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21" customHeight="1" x14ac:dyDescent="0.2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21" customHeight="1" x14ac:dyDescent="0.2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21" customHeight="1" x14ac:dyDescent="0.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21" customHeight="1" x14ac:dyDescent="0.2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21" customHeight="1" x14ac:dyDescent="0.2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21" customHeight="1" x14ac:dyDescent="0.2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21" customHeight="1" x14ac:dyDescent="0.2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21" customHeight="1" x14ac:dyDescent="0.2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21" customHeight="1" x14ac:dyDescent="0.2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21" customHeight="1" x14ac:dyDescent="0.2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21" customHeight="1" x14ac:dyDescent="0.2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21" customHeight="1" x14ac:dyDescent="0.2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21" customHeight="1" x14ac:dyDescent="0.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21" customHeight="1" x14ac:dyDescent="0.2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21" customHeight="1" x14ac:dyDescent="0.2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21" customHeight="1" x14ac:dyDescent="0.2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21" customHeight="1" x14ac:dyDescent="0.2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21" customHeight="1" x14ac:dyDescent="0.2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21" customHeight="1" x14ac:dyDescent="0.2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21" customHeight="1" x14ac:dyDescent="0.2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21" customHeight="1" x14ac:dyDescent="0.2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21" customHeight="1" x14ac:dyDescent="0.2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21" customHeight="1" x14ac:dyDescent="0.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21" customHeight="1" x14ac:dyDescent="0.2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21" customHeight="1" x14ac:dyDescent="0.2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21" customHeight="1" x14ac:dyDescent="0.2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21" customHeight="1" x14ac:dyDescent="0.2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21" customHeight="1" x14ac:dyDescent="0.2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21" customHeight="1" x14ac:dyDescent="0.2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21" customHeight="1" x14ac:dyDescent="0.2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21" customHeight="1" x14ac:dyDescent="0.2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21" customHeight="1" x14ac:dyDescent="0.2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21" customHeight="1" x14ac:dyDescent="0.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21" customHeight="1" x14ac:dyDescent="0.2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21" customHeight="1" x14ac:dyDescent="0.2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21" customHeight="1" x14ac:dyDescent="0.2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21" customHeight="1" x14ac:dyDescent="0.2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21" customHeight="1" x14ac:dyDescent="0.2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21" customHeight="1" x14ac:dyDescent="0.2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21" customHeight="1" x14ac:dyDescent="0.2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21" customHeight="1" x14ac:dyDescent="0.2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21" customHeight="1" x14ac:dyDescent="0.2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21" customHeight="1" x14ac:dyDescent="0.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21" customHeight="1" x14ac:dyDescent="0.2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21" customHeight="1" x14ac:dyDescent="0.2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21" customHeight="1" x14ac:dyDescent="0.2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21" customHeight="1" x14ac:dyDescent="0.2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21" customHeight="1" x14ac:dyDescent="0.2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21" customHeight="1" x14ac:dyDescent="0.2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21" customHeight="1" x14ac:dyDescent="0.2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21" customHeight="1" x14ac:dyDescent="0.2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21" customHeight="1" x14ac:dyDescent="0.2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21" customHeight="1" x14ac:dyDescent="0.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21" customHeight="1" x14ac:dyDescent="0.2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21" customHeight="1" x14ac:dyDescent="0.2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21" customHeight="1" x14ac:dyDescent="0.2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21" customHeight="1" x14ac:dyDescent="0.2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21" customHeight="1" x14ac:dyDescent="0.2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21" customHeight="1" x14ac:dyDescent="0.2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21" customHeight="1" x14ac:dyDescent="0.2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21" customHeight="1" x14ac:dyDescent="0.2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21" customHeight="1" x14ac:dyDescent="0.2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21" customHeight="1" x14ac:dyDescent="0.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21" customHeight="1" x14ac:dyDescent="0.2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21" customHeight="1" x14ac:dyDescent="0.2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21" customHeight="1" x14ac:dyDescent="0.2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21" customHeight="1" x14ac:dyDescent="0.2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21" customHeight="1" x14ac:dyDescent="0.2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21" customHeight="1" x14ac:dyDescent="0.2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21" customHeight="1" x14ac:dyDescent="0.2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21" customHeight="1" x14ac:dyDescent="0.2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21" customHeight="1" x14ac:dyDescent="0.2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21" customHeight="1" x14ac:dyDescent="0.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21" customHeight="1" x14ac:dyDescent="0.2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21" customHeight="1" x14ac:dyDescent="0.2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21" customHeight="1" x14ac:dyDescent="0.2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21" customHeight="1" x14ac:dyDescent="0.2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21" customHeight="1" x14ac:dyDescent="0.2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21" customHeight="1" x14ac:dyDescent="0.2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21" customHeight="1" x14ac:dyDescent="0.2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21" customHeight="1" x14ac:dyDescent="0.2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21" customHeight="1" x14ac:dyDescent="0.2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21" customHeight="1" x14ac:dyDescent="0.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21" customHeight="1" x14ac:dyDescent="0.2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21" customHeight="1" x14ac:dyDescent="0.2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21" customHeight="1" x14ac:dyDescent="0.2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21" customHeight="1" x14ac:dyDescent="0.2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21" customHeight="1" x14ac:dyDescent="0.2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21" customHeight="1" x14ac:dyDescent="0.2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21" customHeight="1" x14ac:dyDescent="0.2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21" customHeight="1" x14ac:dyDescent="0.2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21" customHeight="1" x14ac:dyDescent="0.2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21" customHeight="1" x14ac:dyDescent="0.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21" customHeight="1" x14ac:dyDescent="0.2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21" customHeight="1" x14ac:dyDescent="0.2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21" customHeight="1" x14ac:dyDescent="0.2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21" customHeight="1" x14ac:dyDescent="0.2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21" customHeight="1" x14ac:dyDescent="0.2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21" customHeight="1" x14ac:dyDescent="0.2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21" customHeight="1" x14ac:dyDescent="0.2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21" customHeight="1" x14ac:dyDescent="0.2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21" customHeight="1" x14ac:dyDescent="0.2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21" customHeight="1" x14ac:dyDescent="0.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21" customHeight="1" x14ac:dyDescent="0.2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21" customHeight="1" x14ac:dyDescent="0.2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21" customHeight="1" x14ac:dyDescent="0.2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21" customHeight="1" x14ac:dyDescent="0.2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21" customHeight="1" x14ac:dyDescent="0.2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21" customHeight="1" x14ac:dyDescent="0.2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21" customHeight="1" x14ac:dyDescent="0.2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21" customHeight="1" x14ac:dyDescent="0.2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21" customHeight="1" x14ac:dyDescent="0.2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21" customHeight="1" x14ac:dyDescent="0.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21" customHeight="1" x14ac:dyDescent="0.2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21" customHeight="1" x14ac:dyDescent="0.2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21" customHeight="1" x14ac:dyDescent="0.2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21" customHeight="1" x14ac:dyDescent="0.2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21" customHeight="1" x14ac:dyDescent="0.2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21" customHeight="1" x14ac:dyDescent="0.2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21" customHeight="1" x14ac:dyDescent="0.2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21" customHeight="1" x14ac:dyDescent="0.2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21" customHeight="1" x14ac:dyDescent="0.2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21" customHeight="1" x14ac:dyDescent="0.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21" customHeight="1" x14ac:dyDescent="0.2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21" customHeight="1" x14ac:dyDescent="0.2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21" customHeight="1" x14ac:dyDescent="0.2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21" customHeight="1" x14ac:dyDescent="0.2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21" customHeight="1" x14ac:dyDescent="0.2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21" customHeight="1" x14ac:dyDescent="0.2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21" customHeight="1" x14ac:dyDescent="0.2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21" customHeight="1" x14ac:dyDescent="0.2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21" customHeight="1" x14ac:dyDescent="0.2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21" customHeight="1" x14ac:dyDescent="0.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21" customHeight="1" x14ac:dyDescent="0.2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21" customHeight="1" x14ac:dyDescent="0.2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21" customHeight="1" x14ac:dyDescent="0.2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21" customHeight="1" x14ac:dyDescent="0.2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21" customHeight="1" x14ac:dyDescent="0.2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21" customHeight="1" x14ac:dyDescent="0.2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21" customHeight="1" x14ac:dyDescent="0.2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21" customHeight="1" x14ac:dyDescent="0.2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21" customHeight="1" x14ac:dyDescent="0.2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21" customHeight="1" x14ac:dyDescent="0.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21" customHeight="1" x14ac:dyDescent="0.2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21" customHeight="1" x14ac:dyDescent="0.2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21" customHeight="1" x14ac:dyDescent="0.2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21" customHeight="1" x14ac:dyDescent="0.2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21" customHeight="1" x14ac:dyDescent="0.2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21" customHeight="1" x14ac:dyDescent="0.2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21" customHeight="1" x14ac:dyDescent="0.2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21" customHeight="1" x14ac:dyDescent="0.2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21" customHeight="1" x14ac:dyDescent="0.2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21" customHeight="1" x14ac:dyDescent="0.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21" customHeight="1" x14ac:dyDescent="0.2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21" customHeight="1" x14ac:dyDescent="0.2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21" customHeight="1" x14ac:dyDescent="0.2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21" customHeight="1" x14ac:dyDescent="0.2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21" customHeight="1" x14ac:dyDescent="0.2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21" customHeight="1" x14ac:dyDescent="0.2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21" customHeight="1" x14ac:dyDescent="0.2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21" customHeight="1" x14ac:dyDescent="0.2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21" customHeight="1" x14ac:dyDescent="0.2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21" customHeight="1" x14ac:dyDescent="0.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21" customHeight="1" x14ac:dyDescent="0.2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21" customHeight="1" x14ac:dyDescent="0.2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21" customHeight="1" x14ac:dyDescent="0.2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21" customHeight="1" x14ac:dyDescent="0.2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21" customHeight="1" x14ac:dyDescent="0.2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21" customHeight="1" x14ac:dyDescent="0.2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21" customHeight="1" x14ac:dyDescent="0.2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21" customHeight="1" x14ac:dyDescent="0.2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21" customHeight="1" x14ac:dyDescent="0.2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21" customHeight="1" x14ac:dyDescent="0.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21" customHeight="1" x14ac:dyDescent="0.2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21" customHeight="1" x14ac:dyDescent="0.2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21" customHeight="1" x14ac:dyDescent="0.2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21" customHeight="1" x14ac:dyDescent="0.2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21" customHeight="1" x14ac:dyDescent="0.2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21" customHeight="1" x14ac:dyDescent="0.2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21" customHeight="1" x14ac:dyDescent="0.2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21" customHeight="1" x14ac:dyDescent="0.2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21" customHeight="1" x14ac:dyDescent="0.2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21" customHeight="1" x14ac:dyDescent="0.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21" customHeight="1" x14ac:dyDescent="0.2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21" customHeight="1" x14ac:dyDescent="0.2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21" customHeight="1" x14ac:dyDescent="0.2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21" customHeight="1" x14ac:dyDescent="0.2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21" customHeight="1" x14ac:dyDescent="0.2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21" customHeight="1" x14ac:dyDescent="0.2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21" customHeight="1" x14ac:dyDescent="0.2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21" customHeight="1" x14ac:dyDescent="0.2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21" customHeight="1" x14ac:dyDescent="0.2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21" customHeight="1" x14ac:dyDescent="0.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21" customHeight="1" x14ac:dyDescent="0.2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21" customHeight="1" x14ac:dyDescent="0.2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21" customHeight="1" x14ac:dyDescent="0.2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21" customHeight="1" x14ac:dyDescent="0.2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21" customHeight="1" x14ac:dyDescent="0.2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21" customHeight="1" x14ac:dyDescent="0.2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21" customHeight="1" x14ac:dyDescent="0.2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21" customHeight="1" x14ac:dyDescent="0.2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21" customHeight="1" x14ac:dyDescent="0.2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21" customHeight="1" x14ac:dyDescent="0.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21" customHeight="1" x14ac:dyDescent="0.2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21" customHeight="1" x14ac:dyDescent="0.2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21" customHeight="1" x14ac:dyDescent="0.2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21" customHeight="1" x14ac:dyDescent="0.2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21" customHeight="1" x14ac:dyDescent="0.2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21" customHeight="1" x14ac:dyDescent="0.2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21" customHeight="1" x14ac:dyDescent="0.2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21" customHeight="1" x14ac:dyDescent="0.2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21" customHeight="1" x14ac:dyDescent="0.2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21" customHeight="1" x14ac:dyDescent="0.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21" customHeight="1" x14ac:dyDescent="0.2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21" customHeight="1" x14ac:dyDescent="0.2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9269EC84-DF31-1A4B-A990-FD99E0DF6A37}">
          <x14:formula1>
            <xm:f>Lists!$F$2:$F$10</xm:f>
          </x14:formula1>
          <xm:sqref>B29 B24 B45 B40 B61 B56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B12</xm:sqref>
        </x14:dataValidation>
        <x14:dataValidation type="list" allowBlank="1" showInputMessage="1" showErrorMessage="1" xr:uid="{88820E64-3962-FE4A-91C9-191EA451FB88}">
          <x14:formula1>
            <xm:f>Lists!$G$2:$G$5</xm:f>
          </x14:formula1>
          <xm:sqref>B39 B44 B55 B60 B23 B28</xm:sqref>
        </x14:dataValidation>
        <x14:dataValidation type="list" allowBlank="1" showErrorMessage="1" xr:uid="{4DE4111E-DA5E-784E-9D6F-05103F7D2493}">
          <x14:formula1>
            <xm:f>Lists!$L$2:$L$19</xm:f>
          </x14:formula1>
          <xm:sqref>B14</xm:sqref>
        </x14:dataValidation>
        <x14:dataValidation type="list" allowBlank="1" showErrorMessage="1" xr:uid="{FFB11884-705E-4C4B-9963-11B4FBF86EFD}">
          <x14:formula1>
            <xm:f>Lists!$A$2:$A$10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B13</xm:sqref>
        </x14:dataValidation>
        <x14:dataValidation type="list" allowBlank="1" showErrorMessage="1" xr:uid="{C9F0535F-A7D5-2E43-AEC6-3158726CF39B}">
          <x14:formula1>
            <xm:f>Lists!$I$2:$I$12</xm:f>
          </x14:formula1>
          <xm:sqref>B10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B25 B30 B41 B46 B37 B21 B57 B62 B53</xm:sqref>
        </x14:dataValidation>
        <x14:dataValidation type="list" allowBlank="1" showInputMessage="1" showErrorMessage="1" xr:uid="{209ABDC6-7A4F-1043-BD31-F5067EDD9592}">
          <x14:formula1>
            <xm:f>Lists!$D$2:$D$22</xm:f>
          </x14:formula1>
          <xm:sqref>B19 B35 B51</xm:sqref>
        </x14:dataValidation>
        <x14:dataValidation type="list" allowBlank="1" showErrorMessage="1" xr:uid="{8B68413C-BA2E-3E4F-BCCD-63E54D16131E}">
          <x14:formula1>
            <xm:f>Lists!$M$2:$M$3</xm:f>
          </x14:formula1>
          <xm:sqref>B6</xm:sqref>
        </x14:dataValidation>
        <x14:dataValidation type="list" allowBlank="1" showErrorMessage="1" xr:uid="{970994F8-0C5A-954C-8A5B-082DB9E55E96}">
          <x14:formula1>
            <xm:f>Lists!$B$2:$B$12</xm:f>
          </x14:formula1>
          <xm:sqref>B50 B18 B34</xm:sqref>
        </x14:dataValidation>
        <x14:dataValidation type="list" allowBlank="1" showInputMessage="1" showErrorMessage="1" xr:uid="{E36366AC-D6BD-7D4B-94C1-F87AEC17F439}">
          <x14:formula1>
            <xm:f>Lists!$B$3:$B$12</xm:f>
          </x14:formula1>
          <xm:sqref>B34 B50</xm:sqref>
        </x14:dataValidation>
        <x14:dataValidation type="list" allowBlank="1" showErrorMessage="1" xr:uid="{C159AD43-387F-8A44-88E8-16412071B24C}">
          <x14:formula1>
            <xm:f>Lists!$C$2:$C$10</xm:f>
          </x14:formula1>
          <xm:sqref>B52 B20 B36</xm:sqref>
        </x14:dataValidation>
        <x14:dataValidation type="list" allowBlank="1" showInputMessage="1" showErrorMessage="1" xr:uid="{4589180C-9127-844B-B3AB-26B52318E969}">
          <x14:formula1>
            <xm:f>Lists!$G$3:$G$5</xm:f>
          </x14:formula1>
          <xm:sqref>B39 B55</xm:sqref>
        </x14:dataValidation>
        <x14:dataValidation type="list" allowBlank="1" showInputMessage="1" showErrorMessage="1" xr:uid="{8F92160A-7435-3B42-84F3-7B849CE421F0}">
          <x14:formula1>
            <xm:f>Lists!$H$2:$H$9</xm:f>
          </x14:formula1>
          <xm:sqref>B33 B17 B49</xm:sqref>
        </x14:dataValidation>
        <x14:dataValidation type="list" allowBlank="1" showInputMessage="1" showErrorMessage="1" xr:uid="{FF158337-349C-AE45-9DC7-81D1DD942C51}">
          <x14:formula1>
            <xm:f>Lists!$C$2:$C$10</xm:f>
          </x14:formula1>
          <xm:sqref>B36 B20 B52</xm:sqref>
        </x14:dataValidation>
        <x14:dataValidation type="list" allowBlank="1" showInputMessage="1" showErrorMessage="1" xr:uid="{F9DEF641-EE3D-B047-8D16-CAC81DB4BCBD}">
          <x14:formula1>
            <xm:f>Lists!$B$2:$B$12</xm:f>
          </x14:formula1>
          <xm:sqref>B18 B34 B50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B6" sqref="B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52"/>
      <c r="B1" s="52">
        <v>1</v>
      </c>
      <c r="C1" s="52">
        <v>2</v>
      </c>
      <c r="D1" s="52">
        <v>3</v>
      </c>
      <c r="E1" s="52">
        <v>4</v>
      </c>
      <c r="F1" s="52">
        <v>5</v>
      </c>
      <c r="G1" s="52">
        <v>6</v>
      </c>
      <c r="H1" s="52">
        <v>7</v>
      </c>
      <c r="I1" s="52">
        <v>8</v>
      </c>
      <c r="J1" s="52">
        <v>9</v>
      </c>
      <c r="K1" s="52">
        <v>10</v>
      </c>
      <c r="L1" s="52">
        <v>11</v>
      </c>
      <c r="M1" s="52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52" t="s">
        <v>47</v>
      </c>
      <c r="B2" s="41" t="s">
        <v>158</v>
      </c>
      <c r="C2" s="42" t="s">
        <v>159</v>
      </c>
      <c r="D2" s="41" t="s">
        <v>160</v>
      </c>
      <c r="E2" s="42" t="s">
        <v>161</v>
      </c>
      <c r="F2" s="41" t="s">
        <v>162</v>
      </c>
      <c r="G2" s="42" t="s">
        <v>163</v>
      </c>
      <c r="H2" s="41"/>
      <c r="I2" s="42"/>
      <c r="J2" s="41"/>
      <c r="K2" s="42"/>
      <c r="L2" s="41"/>
      <c r="M2" s="42"/>
    </row>
    <row r="3" spans="1:26" ht="99.75" customHeight="1" x14ac:dyDescent="0.2">
      <c r="A3" s="52" t="s">
        <v>48</v>
      </c>
      <c r="B3" s="42" t="s">
        <v>164</v>
      </c>
      <c r="C3" s="41" t="s">
        <v>165</v>
      </c>
      <c r="D3" s="42" t="s">
        <v>166</v>
      </c>
      <c r="E3" s="41" t="s">
        <v>167</v>
      </c>
      <c r="F3" s="42" t="s">
        <v>168</v>
      </c>
      <c r="G3" s="41" t="s">
        <v>169</v>
      </c>
      <c r="H3" s="42"/>
      <c r="I3" s="41"/>
      <c r="J3" s="42"/>
      <c r="K3" s="41"/>
      <c r="L3" s="42"/>
      <c r="M3" s="41"/>
    </row>
    <row r="4" spans="1:26" ht="99.75" customHeight="1" x14ac:dyDescent="0.2">
      <c r="A4" s="52" t="s">
        <v>49</v>
      </c>
      <c r="B4" s="41" t="s">
        <v>170</v>
      </c>
      <c r="C4" s="42" t="s">
        <v>171</v>
      </c>
      <c r="D4" s="41" t="s">
        <v>172</v>
      </c>
      <c r="E4" s="42" t="s">
        <v>173</v>
      </c>
      <c r="F4" s="41" t="s">
        <v>174</v>
      </c>
      <c r="G4" s="42" t="s">
        <v>175</v>
      </c>
      <c r="H4" s="41"/>
      <c r="I4" s="42"/>
      <c r="J4" s="41"/>
      <c r="K4" s="42"/>
      <c r="L4" s="41"/>
      <c r="M4" s="42"/>
    </row>
    <row r="5" spans="1:26" ht="99.75" customHeight="1" x14ac:dyDescent="0.2">
      <c r="A5" s="52" t="s">
        <v>50</v>
      </c>
      <c r="B5" s="42" t="s">
        <v>176</v>
      </c>
      <c r="C5" s="41" t="s">
        <v>177</v>
      </c>
      <c r="D5" s="42" t="s">
        <v>178</v>
      </c>
      <c r="E5" s="41" t="s">
        <v>179</v>
      </c>
      <c r="F5" s="42" t="s">
        <v>180</v>
      </c>
      <c r="G5" s="41" t="s">
        <v>181</v>
      </c>
      <c r="H5" s="42"/>
      <c r="I5" s="41"/>
      <c r="J5" s="42"/>
      <c r="K5" s="41"/>
      <c r="L5" s="42"/>
      <c r="M5" s="41"/>
    </row>
    <row r="6" spans="1:26" ht="99.75" customHeight="1" x14ac:dyDescent="0.2">
      <c r="A6" s="52" t="s">
        <v>51</v>
      </c>
      <c r="B6" s="41"/>
      <c r="C6" s="42" t="s">
        <v>182</v>
      </c>
      <c r="D6" s="41" t="s">
        <v>183</v>
      </c>
      <c r="E6" s="42" t="s">
        <v>184</v>
      </c>
      <c r="F6" s="41" t="s">
        <v>185</v>
      </c>
      <c r="G6" s="42" t="s">
        <v>186</v>
      </c>
      <c r="H6" s="41"/>
      <c r="I6" s="42"/>
      <c r="J6" s="41"/>
      <c r="K6" s="42"/>
      <c r="L6" s="41"/>
      <c r="M6" s="42"/>
    </row>
    <row r="7" spans="1:26" ht="99.75" customHeight="1" x14ac:dyDescent="0.2">
      <c r="A7" s="52" t="s">
        <v>52</v>
      </c>
      <c r="B7" s="42"/>
      <c r="C7" s="41" t="s">
        <v>187</v>
      </c>
      <c r="D7" s="42" t="s">
        <v>188</v>
      </c>
      <c r="E7" s="41" t="s">
        <v>189</v>
      </c>
      <c r="F7" s="42" t="s">
        <v>190</v>
      </c>
      <c r="G7" s="41" t="s">
        <v>191</v>
      </c>
      <c r="H7" s="42"/>
      <c r="I7" s="41"/>
      <c r="J7" s="42"/>
      <c r="K7" s="41"/>
      <c r="L7" s="42"/>
      <c r="M7" s="41"/>
    </row>
    <row r="8" spans="1:26" ht="99.75" customHeight="1" x14ac:dyDescent="0.2">
      <c r="A8" s="52" t="s">
        <v>53</v>
      </c>
      <c r="B8" s="41" t="s">
        <v>157</v>
      </c>
      <c r="C8" s="42" t="s">
        <v>156</v>
      </c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52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  <row r="1001" spans="1:1" ht="15.75" customHeight="1" x14ac:dyDescent="0.2">
      <c r="A1001" s="40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92ABE-EA6D-C845-A3D8-64418E07B119}">
  <dimension ref="A1:Z1001"/>
  <sheetViews>
    <sheetView zoomScale="60" zoomScaleNormal="60" workbookViewId="0">
      <selection activeCell="B2" sqref="B2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52"/>
      <c r="B1" s="52">
        <v>1</v>
      </c>
      <c r="C1" s="52">
        <v>2</v>
      </c>
      <c r="D1" s="52">
        <v>3</v>
      </c>
      <c r="E1" s="52">
        <v>4</v>
      </c>
      <c r="F1" s="52">
        <v>5</v>
      </c>
      <c r="G1" s="52">
        <v>6</v>
      </c>
      <c r="H1" s="52">
        <v>7</v>
      </c>
      <c r="I1" s="52">
        <v>8</v>
      </c>
      <c r="J1" s="52">
        <v>9</v>
      </c>
      <c r="K1" s="52">
        <v>10</v>
      </c>
      <c r="L1" s="52">
        <v>11</v>
      </c>
      <c r="M1" s="52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52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52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52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52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52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52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52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52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  <row r="1001" spans="1:1" ht="15.75" customHeight="1" x14ac:dyDescent="0.2">
      <c r="A1001" s="4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7" sqref="C7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 t="s">
        <v>192</v>
      </c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G4" sqref="G4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>
        <v>9</v>
      </c>
      <c r="C4" s="42">
        <v>9</v>
      </c>
      <c r="D4" s="41">
        <v>9</v>
      </c>
      <c r="E4" s="42">
        <v>9</v>
      </c>
      <c r="F4" s="41">
        <v>9</v>
      </c>
      <c r="G4" s="42">
        <v>9</v>
      </c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70" zoomScaleNormal="70" workbookViewId="0">
      <pane ySplit="3" topLeftCell="A7" activePane="bottomLeft" state="frozen"/>
      <selection pane="bottomLeft" activeCell="B24" sqref="B24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19" ht="45.75" customHeight="1" x14ac:dyDescent="0.2">
      <c r="A1" s="96" t="s">
        <v>4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8"/>
      <c r="R1" s="2"/>
      <c r="S1" s="2"/>
    </row>
    <row r="2" spans="1:19" ht="31.5" customHeight="1" x14ac:dyDescent="0.2">
      <c r="A2" s="3" t="s">
        <v>5</v>
      </c>
      <c r="B2" s="3" t="s">
        <v>6</v>
      </c>
      <c r="C2" s="99" t="s">
        <v>7</v>
      </c>
      <c r="D2" s="97"/>
      <c r="E2" s="97"/>
      <c r="F2" s="97"/>
      <c r="G2" s="97"/>
      <c r="H2" s="97"/>
      <c r="I2" s="97"/>
      <c r="J2" s="97"/>
      <c r="K2" s="98"/>
      <c r="L2" s="2"/>
      <c r="M2" s="2"/>
      <c r="N2" s="2"/>
      <c r="O2" s="2"/>
      <c r="P2" s="2"/>
      <c r="Q2" s="2"/>
      <c r="R2" s="2"/>
      <c r="S2" s="2"/>
    </row>
    <row r="3" spans="1:19" ht="27" customHeight="1" x14ac:dyDescent="0.2">
      <c r="A3" s="4" t="s">
        <v>8</v>
      </c>
      <c r="B3" s="5">
        <v>44426</v>
      </c>
      <c r="C3" s="6" t="s">
        <v>9</v>
      </c>
      <c r="D3" s="6"/>
      <c r="E3" s="6"/>
      <c r="F3" s="6"/>
      <c r="G3" s="6"/>
      <c r="H3" s="6"/>
      <c r="I3" s="6"/>
      <c r="J3" s="6"/>
      <c r="K3" s="7"/>
      <c r="L3" s="8"/>
      <c r="M3" s="8"/>
      <c r="N3" s="8"/>
      <c r="O3" s="8"/>
      <c r="P3" s="8"/>
      <c r="Q3" s="8"/>
      <c r="R3" s="9"/>
      <c r="S3" s="9"/>
    </row>
    <row r="4" spans="1:19" ht="21.7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 ht="31.5" customHeight="1" x14ac:dyDescent="0.2">
      <c r="A5" s="10" t="s">
        <v>10</v>
      </c>
      <c r="B5" s="11">
        <v>1</v>
      </c>
      <c r="C5" s="12" t="s">
        <v>11</v>
      </c>
      <c r="E5" s="13"/>
      <c r="F5" s="13"/>
      <c r="G5" s="13"/>
      <c r="H5" s="13"/>
      <c r="I5" s="13"/>
      <c r="J5" s="13"/>
      <c r="K5" s="13"/>
      <c r="L5" s="13"/>
    </row>
    <row r="6" spans="1:19" ht="22.5" customHeight="1" x14ac:dyDescent="0.2">
      <c r="A6" s="14" t="s">
        <v>12</v>
      </c>
      <c r="B6" s="15">
        <v>16.5</v>
      </c>
      <c r="C6" s="92" t="s">
        <v>13</v>
      </c>
      <c r="D6" s="93"/>
      <c r="E6" s="93"/>
      <c r="F6" s="13"/>
      <c r="G6" s="13"/>
      <c r="H6" s="13"/>
      <c r="I6" s="13"/>
      <c r="J6" s="13"/>
      <c r="K6" s="13"/>
      <c r="L6" s="13"/>
    </row>
    <row r="7" spans="1:19" ht="22.5" customHeight="1" x14ac:dyDescent="0.2">
      <c r="A7" s="14" t="s">
        <v>14</v>
      </c>
      <c r="B7" s="15">
        <v>5.5</v>
      </c>
      <c r="C7" s="93"/>
      <c r="D7" s="93"/>
      <c r="E7" s="93"/>
      <c r="F7" s="13"/>
      <c r="G7" s="13"/>
      <c r="H7" s="13"/>
      <c r="I7" s="13"/>
      <c r="J7" s="13"/>
      <c r="K7" s="13"/>
      <c r="L7" s="13"/>
    </row>
    <row r="8" spans="1:19" ht="22.5" customHeight="1" x14ac:dyDescent="0.2">
      <c r="A8" s="14" t="s">
        <v>15</v>
      </c>
      <c r="B8" s="15">
        <f>SUM(B6:B7)</f>
        <v>22</v>
      </c>
      <c r="C8" s="93"/>
      <c r="D8" s="93"/>
      <c r="E8" s="93"/>
      <c r="F8" s="13"/>
      <c r="G8" s="13"/>
      <c r="H8" s="13"/>
      <c r="I8" s="13"/>
      <c r="J8" s="13"/>
      <c r="K8" s="13"/>
      <c r="L8" s="13"/>
    </row>
    <row r="9" spans="1:19" ht="22.5" customHeight="1" x14ac:dyDescent="0.2">
      <c r="A9" s="14" t="s">
        <v>16</v>
      </c>
      <c r="B9" s="15">
        <v>20</v>
      </c>
      <c r="C9" s="93"/>
      <c r="D9" s="93"/>
      <c r="E9" s="93"/>
      <c r="F9" s="13"/>
      <c r="G9" s="13"/>
      <c r="H9" s="13"/>
      <c r="I9" s="13"/>
      <c r="J9" s="13"/>
      <c r="K9" s="13"/>
      <c r="L9" s="13"/>
    </row>
    <row r="10" spans="1:19" ht="30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9" ht="27.75" customHeight="1" x14ac:dyDescent="0.2">
      <c r="A11" s="100" t="s">
        <v>17</v>
      </c>
      <c r="B11" s="97"/>
      <c r="C11" s="97"/>
      <c r="D11" s="98"/>
      <c r="E11" s="17"/>
      <c r="F11" s="13"/>
      <c r="G11" s="13"/>
      <c r="H11" s="13"/>
      <c r="I11" s="13"/>
      <c r="J11" s="13"/>
      <c r="K11" s="13"/>
      <c r="L11" s="13"/>
    </row>
    <row r="12" spans="1:19" ht="15.75" customHeight="1" x14ac:dyDescent="0.2">
      <c r="A12" s="18" t="s">
        <v>18</v>
      </c>
      <c r="B12" s="19" t="s">
        <v>19</v>
      </c>
      <c r="C12" s="19" t="s">
        <v>20</v>
      </c>
      <c r="D12" s="19" t="s">
        <v>21</v>
      </c>
      <c r="E12" s="13"/>
    </row>
    <row r="13" spans="1:19" ht="15.75" customHeight="1" x14ac:dyDescent="0.25">
      <c r="A13" s="20" t="s">
        <v>22</v>
      </c>
      <c r="B13" s="21">
        <v>50</v>
      </c>
      <c r="C13" s="21">
        <v>60</v>
      </c>
      <c r="D13" s="21">
        <v>1</v>
      </c>
      <c r="E13" s="13"/>
    </row>
    <row r="14" spans="1:19" ht="15.75" customHeight="1" x14ac:dyDescent="0.2">
      <c r="A14" s="20" t="s">
        <v>23</v>
      </c>
      <c r="B14" s="22">
        <v>95</v>
      </c>
      <c r="C14" s="22">
        <v>10</v>
      </c>
      <c r="D14" s="22">
        <v>1</v>
      </c>
    </row>
    <row r="15" spans="1:19" ht="15.75" customHeight="1" x14ac:dyDescent="0.2">
      <c r="A15" s="20" t="s">
        <v>24</v>
      </c>
      <c r="B15" s="22">
        <v>94</v>
      </c>
      <c r="C15" s="22">
        <v>0.5</v>
      </c>
      <c r="D15" s="101">
        <v>40</v>
      </c>
    </row>
    <row r="16" spans="1:19" ht="15.75" customHeight="1" x14ac:dyDescent="0.2">
      <c r="A16" s="20" t="s">
        <v>25</v>
      </c>
      <c r="B16" s="22">
        <v>55</v>
      </c>
      <c r="C16" s="22">
        <v>1</v>
      </c>
      <c r="D16" s="102"/>
    </row>
    <row r="17" spans="1:26" ht="15.75" customHeight="1" x14ac:dyDescent="0.2">
      <c r="A17" s="20" t="s">
        <v>26</v>
      </c>
      <c r="B17" s="22">
        <v>98</v>
      </c>
      <c r="C17" s="22">
        <v>10</v>
      </c>
      <c r="D17" s="22">
        <v>1</v>
      </c>
    </row>
    <row r="18" spans="1:26" ht="15.75" customHeight="1" x14ac:dyDescent="0.2">
      <c r="A18" s="23"/>
      <c r="B18" s="17"/>
      <c r="C18" s="17"/>
      <c r="D18" s="17"/>
    </row>
    <row r="19" spans="1:26" ht="27" customHeight="1" x14ac:dyDescent="0.2">
      <c r="A19" s="89" t="s">
        <v>27</v>
      </c>
      <c r="B19" s="90"/>
      <c r="C19" s="90"/>
      <c r="D19" s="91"/>
    </row>
    <row r="20" spans="1:26" ht="15.75" customHeight="1" x14ac:dyDescent="0.25">
      <c r="A20" s="24" t="s">
        <v>28</v>
      </c>
      <c r="B20" s="22" t="s">
        <v>29</v>
      </c>
      <c r="C20" s="25"/>
      <c r="D20" s="25"/>
    </row>
    <row r="21" spans="1:26" ht="15.75" customHeight="1" x14ac:dyDescent="0.25">
      <c r="A21" s="24" t="s">
        <v>30</v>
      </c>
      <c r="B21" s="22" t="s">
        <v>31</v>
      </c>
      <c r="C21" s="25"/>
      <c r="D21" s="25"/>
    </row>
    <row r="22" spans="1:26" ht="15.75" customHeight="1" x14ac:dyDescent="0.25">
      <c r="A22" s="24" t="s">
        <v>32</v>
      </c>
      <c r="B22" s="22" t="s">
        <v>33</v>
      </c>
      <c r="C22" s="25"/>
      <c r="D22" s="25"/>
    </row>
    <row r="23" spans="1:26" ht="51" customHeight="1" x14ac:dyDescent="0.2"/>
    <row r="24" spans="1:26" ht="31.5" customHeight="1" x14ac:dyDescent="0.2">
      <c r="A24" s="26" t="s">
        <v>34</v>
      </c>
      <c r="B24" s="27">
        <f>COUNTIF('Sample IDs'!B2:M9,"&lt;&gt;"&amp;"")</f>
        <v>36</v>
      </c>
      <c r="C24" s="92" t="s">
        <v>35</v>
      </c>
      <c r="D24" s="93"/>
      <c r="E24" s="93"/>
      <c r="F24" s="93"/>
      <c r="G24" s="93"/>
      <c r="H24" s="93"/>
      <c r="I24" s="93"/>
      <c r="J24" s="93"/>
      <c r="K24" s="93"/>
      <c r="L24" s="93"/>
    </row>
    <row r="25" spans="1:26" ht="30" customHeight="1" x14ac:dyDescent="0.2">
      <c r="A25" s="28" t="s">
        <v>36</v>
      </c>
      <c r="B25" s="29">
        <v>1.1000000000000001</v>
      </c>
      <c r="C25" s="1" t="s">
        <v>37</v>
      </c>
      <c r="D25" s="16"/>
      <c r="E25" s="16"/>
      <c r="F25" s="16"/>
      <c r="G25" s="16"/>
      <c r="H25" s="16"/>
      <c r="I25" s="16"/>
      <c r="J25" s="16"/>
      <c r="K25" s="16"/>
      <c r="L25" s="16"/>
    </row>
    <row r="26" spans="1:26" ht="21" customHeight="1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26" ht="27" customHeight="1" x14ac:dyDescent="0.2">
      <c r="A27" s="94" t="s">
        <v>38</v>
      </c>
      <c r="B27" s="95"/>
      <c r="C27" s="30"/>
      <c r="D27" s="30"/>
      <c r="E27" s="17"/>
      <c r="F27" s="17"/>
      <c r="G27" s="31"/>
      <c r="H27" s="31"/>
      <c r="I27" s="31"/>
      <c r="J27" s="31"/>
      <c r="K27" s="31"/>
      <c r="L27" s="17"/>
      <c r="M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2" t="s">
        <v>39</v>
      </c>
      <c r="B28" s="33">
        <f>ROUNDUP(B33-B29-B30-B31-($B$5*B32),0)</f>
        <v>262</v>
      </c>
      <c r="C28" s="34"/>
      <c r="D28" s="34"/>
      <c r="E28" s="13"/>
      <c r="F28" s="13"/>
      <c r="L28" s="13"/>
    </row>
    <row r="29" spans="1:26" ht="15.75" customHeight="1" x14ac:dyDescent="0.25">
      <c r="A29" s="32" t="s">
        <v>40</v>
      </c>
      <c r="B29" s="33">
        <f>ROUNDUP(5.5*($B$24*B25),0)</f>
        <v>218</v>
      </c>
      <c r="C29" s="35" t="s">
        <v>41</v>
      </c>
      <c r="D29" s="34"/>
      <c r="E29" s="13"/>
      <c r="F29" s="13"/>
      <c r="L29" s="13"/>
    </row>
    <row r="30" spans="1:26" ht="15.75" customHeight="1" x14ac:dyDescent="0.25">
      <c r="A30" s="32" t="s">
        <v>42</v>
      </c>
      <c r="B30" s="33">
        <f>ROUNDUP(2.2*($B$24*B25),1)</f>
        <v>87.199999999999989</v>
      </c>
      <c r="C30" s="35" t="s">
        <v>41</v>
      </c>
      <c r="D30" s="34"/>
      <c r="E30" s="13"/>
      <c r="F30" s="13"/>
      <c r="L30" s="13"/>
    </row>
    <row r="31" spans="1:26" ht="15.75" customHeight="1" x14ac:dyDescent="0.25">
      <c r="A31" s="32" t="s">
        <v>43</v>
      </c>
      <c r="B31" s="33">
        <f>ROUNDUP(1.1*$B$24*B25,1)</f>
        <v>43.6</v>
      </c>
      <c r="C31" s="35" t="s">
        <v>41</v>
      </c>
      <c r="D31" s="34"/>
      <c r="E31" s="13"/>
      <c r="F31" s="13"/>
      <c r="L31" s="13"/>
    </row>
    <row r="32" spans="1:26" ht="15.75" customHeight="1" x14ac:dyDescent="0.25">
      <c r="A32" s="32" t="s">
        <v>44</v>
      </c>
      <c r="B32" s="33">
        <f>ROUNDUP(1.1*$B$24*B25,1)</f>
        <v>43.6</v>
      </c>
      <c r="C32" s="35" t="s">
        <v>41</v>
      </c>
      <c r="D32" s="34"/>
      <c r="E32" s="13"/>
      <c r="F32" s="13"/>
      <c r="L32" s="13"/>
    </row>
    <row r="33" spans="1:12" ht="15.75" customHeight="1" x14ac:dyDescent="0.25">
      <c r="A33" s="36" t="s">
        <v>45</v>
      </c>
      <c r="B33" s="37">
        <f>ROUNDUP(B25*$B$24*16.5,0)</f>
        <v>654</v>
      </c>
      <c r="C33" s="35" t="s">
        <v>46</v>
      </c>
      <c r="D33" s="38"/>
      <c r="E33" s="39"/>
      <c r="F33" s="13"/>
      <c r="G33" s="13"/>
      <c r="H33" s="13"/>
      <c r="I33" s="13"/>
      <c r="J33" s="13"/>
      <c r="K33" s="13"/>
      <c r="L33" s="13"/>
    </row>
    <row r="34" spans="1:12" ht="15.75" customHeight="1" x14ac:dyDescent="0.2"/>
    <row r="35" spans="1:12" ht="15.75" customHeight="1" x14ac:dyDescent="0.2"/>
    <row r="36" spans="1:12" ht="15.75" customHeight="1" x14ac:dyDescent="0.2"/>
    <row r="37" spans="1:12" ht="15.75" customHeight="1" x14ac:dyDescent="0.2"/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9:D19"/>
    <mergeCell ref="C24:L24"/>
    <mergeCell ref="A27:B27"/>
    <mergeCell ref="A1:Q1"/>
    <mergeCell ref="C2:K2"/>
    <mergeCell ref="C6:E9"/>
    <mergeCell ref="A11:D11"/>
    <mergeCell ref="D15:D1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>
      <selection activeCell="H10" sqref="H10"/>
    </sheetView>
  </sheetViews>
  <sheetFormatPr baseColWidth="10" defaultColWidth="11.42578125" defaultRowHeight="15" customHeight="1" x14ac:dyDescent="0.2"/>
  <cols>
    <col min="1" max="1" width="13" customWidth="1"/>
    <col min="2" max="2" width="30.28515625" bestFit="1" customWidth="1"/>
    <col min="3" max="3" width="25.5703125" customWidth="1"/>
    <col min="4" max="4" width="22.5703125" customWidth="1"/>
    <col min="5" max="5" width="21.28515625" customWidth="1"/>
    <col min="6" max="6" width="17.42578125" customWidth="1"/>
    <col min="7" max="7" width="19.5703125" customWidth="1"/>
    <col min="8" max="8" width="13.42578125" customWidth="1"/>
    <col min="9" max="10" width="44.7109375" customWidth="1"/>
    <col min="11" max="11" width="21.5703125" customWidth="1"/>
    <col min="12" max="12" width="37.28515625" bestFit="1" customWidth="1"/>
    <col min="13" max="30" width="10.5703125" customWidth="1"/>
  </cols>
  <sheetData>
    <row r="1" spans="1:13" ht="15.75" customHeight="1" x14ac:dyDescent="0.2">
      <c r="A1" s="43" t="s">
        <v>55</v>
      </c>
      <c r="B1" s="44" t="s">
        <v>56</v>
      </c>
      <c r="C1" s="44" t="s">
        <v>136</v>
      </c>
      <c r="D1" s="43" t="s">
        <v>137</v>
      </c>
      <c r="E1" s="44" t="s">
        <v>101</v>
      </c>
      <c r="F1" s="43" t="s">
        <v>117</v>
      </c>
      <c r="G1" s="44" t="s">
        <v>106</v>
      </c>
      <c r="H1" s="43" t="s">
        <v>57</v>
      </c>
      <c r="I1" s="43" t="s">
        <v>108</v>
      </c>
      <c r="J1" s="44" t="s">
        <v>110</v>
      </c>
      <c r="K1" s="43" t="s">
        <v>98</v>
      </c>
      <c r="L1" s="43" t="s">
        <v>58</v>
      </c>
      <c r="M1" s="44" t="s">
        <v>210</v>
      </c>
    </row>
    <row r="2" spans="1:13" ht="15.75" customHeight="1" x14ac:dyDescent="0.2">
      <c r="A2" s="88" t="s">
        <v>215</v>
      </c>
      <c r="B2" s="80" t="s">
        <v>217</v>
      </c>
      <c r="C2" s="80" t="s">
        <v>217</v>
      </c>
      <c r="D2" s="88" t="s">
        <v>217</v>
      </c>
      <c r="E2" s="88" t="s">
        <v>217</v>
      </c>
      <c r="F2" s="88" t="s">
        <v>217</v>
      </c>
      <c r="G2" s="88" t="s">
        <v>217</v>
      </c>
      <c r="H2" s="45" t="s">
        <v>61</v>
      </c>
      <c r="I2" s="45" t="s">
        <v>70</v>
      </c>
      <c r="J2" s="47" t="s">
        <v>111</v>
      </c>
      <c r="K2" s="49" t="s">
        <v>130</v>
      </c>
      <c r="L2" s="45" t="s">
        <v>79</v>
      </c>
      <c r="M2" s="84" t="s">
        <v>211</v>
      </c>
    </row>
    <row r="3" spans="1:13" ht="15.75" customHeight="1" x14ac:dyDescent="0.2">
      <c r="A3" s="88" t="s">
        <v>216</v>
      </c>
      <c r="B3" s="45" t="s">
        <v>80</v>
      </c>
      <c r="C3" s="49" t="s">
        <v>121</v>
      </c>
      <c r="D3" s="51" t="s">
        <v>138</v>
      </c>
      <c r="E3" s="45" t="s">
        <v>91</v>
      </c>
      <c r="F3" s="48" t="s">
        <v>120</v>
      </c>
      <c r="G3" s="48" t="s">
        <v>114</v>
      </c>
      <c r="H3" s="45" t="s">
        <v>63</v>
      </c>
      <c r="I3" s="45" t="s">
        <v>71</v>
      </c>
      <c r="J3" s="47" t="s">
        <v>112</v>
      </c>
      <c r="K3" s="45" t="s">
        <v>64</v>
      </c>
      <c r="L3" s="45" t="s">
        <v>84</v>
      </c>
      <c r="M3" s="84" t="s">
        <v>212</v>
      </c>
    </row>
    <row r="4" spans="1:13" ht="15.75" customHeight="1" x14ac:dyDescent="0.2">
      <c r="A4" s="45" t="s">
        <v>72</v>
      </c>
      <c r="B4" s="88" t="s">
        <v>214</v>
      </c>
      <c r="C4" s="49" t="s">
        <v>129</v>
      </c>
      <c r="D4" s="51" t="s">
        <v>139</v>
      </c>
      <c r="E4" s="45" t="s">
        <v>92</v>
      </c>
      <c r="F4" s="48" t="s">
        <v>80</v>
      </c>
      <c r="G4" s="48" t="s">
        <v>113</v>
      </c>
      <c r="H4" s="45" t="s">
        <v>66</v>
      </c>
      <c r="I4" s="45" t="s">
        <v>72</v>
      </c>
      <c r="J4" s="47" t="s">
        <v>72</v>
      </c>
      <c r="K4" s="49" t="s">
        <v>131</v>
      </c>
      <c r="L4" s="45" t="s">
        <v>85</v>
      </c>
    </row>
    <row r="5" spans="1:13" ht="15.75" customHeight="1" x14ac:dyDescent="0.2">
      <c r="A5" s="45"/>
      <c r="B5" s="46" t="s">
        <v>93</v>
      </c>
      <c r="C5" s="49" t="s">
        <v>122</v>
      </c>
      <c r="D5" s="51" t="s">
        <v>51</v>
      </c>
      <c r="E5" s="46" t="s">
        <v>102</v>
      </c>
      <c r="F5" s="48" t="s">
        <v>118</v>
      </c>
      <c r="G5" s="46" t="s">
        <v>72</v>
      </c>
      <c r="H5" s="45" t="s">
        <v>67</v>
      </c>
      <c r="I5" s="45"/>
      <c r="J5" s="45"/>
      <c r="K5" s="45" t="s">
        <v>72</v>
      </c>
      <c r="L5" s="45" t="s">
        <v>86</v>
      </c>
    </row>
    <row r="6" spans="1:13" ht="15.75" customHeight="1" x14ac:dyDescent="0.2">
      <c r="A6" s="45"/>
      <c r="B6" s="46" t="s">
        <v>94</v>
      </c>
      <c r="C6" s="49" t="s">
        <v>124</v>
      </c>
      <c r="D6" s="51" t="s">
        <v>140</v>
      </c>
      <c r="E6" s="46" t="s">
        <v>72</v>
      </c>
      <c r="F6" s="45" t="s">
        <v>60</v>
      </c>
      <c r="G6" s="46"/>
      <c r="H6" s="45" t="s">
        <v>68</v>
      </c>
      <c r="I6" s="45"/>
      <c r="J6" s="45"/>
      <c r="K6" s="45"/>
      <c r="L6" s="45" t="s">
        <v>87</v>
      </c>
    </row>
    <row r="7" spans="1:13" ht="15.75" customHeight="1" x14ac:dyDescent="0.2">
      <c r="A7" s="45"/>
      <c r="B7" s="49" t="s">
        <v>128</v>
      </c>
      <c r="C7" s="49" t="s">
        <v>125</v>
      </c>
      <c r="D7" s="51" t="s">
        <v>141</v>
      </c>
      <c r="E7" s="45"/>
      <c r="F7" s="45" t="s">
        <v>62</v>
      </c>
      <c r="H7" s="45" t="s">
        <v>69</v>
      </c>
      <c r="I7" s="45"/>
      <c r="J7" s="45"/>
      <c r="K7" s="45"/>
      <c r="L7" s="45" t="s">
        <v>88</v>
      </c>
    </row>
    <row r="8" spans="1:13" ht="15.75" customHeight="1" x14ac:dyDescent="0.2">
      <c r="A8" s="45"/>
      <c r="B8" s="49" t="s">
        <v>132</v>
      </c>
      <c r="C8" s="49" t="s">
        <v>126</v>
      </c>
      <c r="D8" s="51" t="s">
        <v>142</v>
      </c>
      <c r="E8" s="45"/>
      <c r="F8" s="45" t="s">
        <v>65</v>
      </c>
      <c r="G8" s="45"/>
      <c r="H8" s="88" t="s">
        <v>218</v>
      </c>
      <c r="I8" s="45"/>
      <c r="J8" s="45"/>
      <c r="K8" s="45"/>
      <c r="L8" s="45" t="s">
        <v>83</v>
      </c>
    </row>
    <row r="9" spans="1:13" ht="15.75" customHeight="1" x14ac:dyDescent="0.2">
      <c r="A9" s="45"/>
      <c r="B9" s="45" t="s">
        <v>65</v>
      </c>
      <c r="C9" s="49" t="s">
        <v>127</v>
      </c>
      <c r="D9" s="51" t="s">
        <v>143</v>
      </c>
      <c r="E9" s="45"/>
      <c r="F9" s="48" t="s">
        <v>119</v>
      </c>
      <c r="G9" s="45"/>
      <c r="H9" s="88" t="s">
        <v>219</v>
      </c>
      <c r="I9" s="45"/>
      <c r="J9" s="45"/>
      <c r="K9" s="45"/>
      <c r="L9" s="45" t="s">
        <v>89</v>
      </c>
    </row>
    <row r="10" spans="1:13" ht="15.75" customHeight="1" x14ac:dyDescent="0.2">
      <c r="A10" s="45"/>
      <c r="B10" s="50" t="s">
        <v>133</v>
      </c>
      <c r="C10" s="46" t="s">
        <v>72</v>
      </c>
      <c r="D10" s="51" t="s">
        <v>144</v>
      </c>
      <c r="E10" s="45"/>
      <c r="F10" s="46" t="s">
        <v>72</v>
      </c>
      <c r="G10" s="45"/>
      <c r="H10" s="88"/>
      <c r="I10" s="45"/>
      <c r="J10" s="45"/>
      <c r="K10" s="45"/>
      <c r="L10" s="45" t="s">
        <v>81</v>
      </c>
    </row>
    <row r="11" spans="1:13" ht="15.75" customHeight="1" x14ac:dyDescent="0.2">
      <c r="A11" s="45"/>
      <c r="B11" s="49" t="s">
        <v>123</v>
      </c>
      <c r="C11" s="45"/>
      <c r="D11" s="51" t="s">
        <v>145</v>
      </c>
      <c r="F11" s="45"/>
      <c r="G11" s="45"/>
      <c r="H11" s="45"/>
      <c r="I11" s="45"/>
      <c r="J11" s="45"/>
      <c r="K11" s="45"/>
      <c r="L11" s="45" t="s">
        <v>82</v>
      </c>
    </row>
    <row r="12" spans="1:13" ht="15.75" customHeight="1" x14ac:dyDescent="0.2">
      <c r="A12" s="45"/>
      <c r="B12" s="49" t="s">
        <v>72</v>
      </c>
      <c r="C12" s="45"/>
      <c r="D12" s="51" t="s">
        <v>146</v>
      </c>
      <c r="E12" s="45"/>
      <c r="F12" s="45"/>
      <c r="G12" s="45"/>
      <c r="H12" s="45"/>
      <c r="I12" s="45"/>
      <c r="J12" s="45"/>
      <c r="K12" s="45"/>
      <c r="L12" s="45" t="s">
        <v>78</v>
      </c>
    </row>
    <row r="13" spans="1:13" ht="15.75" customHeight="1" x14ac:dyDescent="0.2">
      <c r="A13" s="45"/>
      <c r="B13" s="45"/>
      <c r="C13" s="45"/>
      <c r="D13" s="51" t="s">
        <v>147</v>
      </c>
      <c r="E13" s="45"/>
      <c r="F13" s="45"/>
      <c r="G13" s="45"/>
      <c r="H13" s="45"/>
      <c r="I13" s="45"/>
      <c r="J13" s="45"/>
      <c r="K13" s="45"/>
      <c r="L13" s="45" t="s">
        <v>90</v>
      </c>
    </row>
    <row r="14" spans="1:13" ht="15.75" customHeight="1" x14ac:dyDescent="0.2">
      <c r="A14" s="45"/>
      <c r="B14" s="45"/>
      <c r="C14" s="45"/>
      <c r="D14" s="51" t="s">
        <v>148</v>
      </c>
      <c r="E14" s="45"/>
      <c r="F14" s="45"/>
      <c r="G14" s="45"/>
      <c r="H14" s="45"/>
      <c r="I14" s="45"/>
      <c r="J14" s="45"/>
      <c r="K14" s="45"/>
      <c r="L14" s="45" t="s">
        <v>73</v>
      </c>
    </row>
    <row r="15" spans="1:13" ht="15.75" customHeight="1" x14ac:dyDescent="0.2">
      <c r="A15" s="45"/>
      <c r="B15" s="45"/>
      <c r="C15" s="45"/>
      <c r="D15" s="46" t="s">
        <v>95</v>
      </c>
      <c r="E15" s="45"/>
      <c r="F15" s="45"/>
      <c r="G15" s="45"/>
      <c r="H15" s="45"/>
      <c r="I15" s="45"/>
      <c r="J15" s="45"/>
      <c r="K15" s="45"/>
      <c r="L15" s="45" t="s">
        <v>74</v>
      </c>
    </row>
    <row r="16" spans="1:13" ht="15.75" customHeight="1" x14ac:dyDescent="0.2">
      <c r="A16" s="45"/>
      <c r="B16" s="45"/>
      <c r="C16" s="45"/>
      <c r="D16" s="46" t="s">
        <v>96</v>
      </c>
      <c r="E16" s="45"/>
      <c r="F16" s="45"/>
      <c r="G16" s="45"/>
      <c r="H16" s="45"/>
      <c r="I16" s="45"/>
      <c r="J16" s="45"/>
      <c r="K16" s="45"/>
      <c r="L16" s="45" t="s">
        <v>75</v>
      </c>
    </row>
    <row r="17" spans="1:12" ht="15.75" customHeight="1" x14ac:dyDescent="0.2">
      <c r="A17" s="45"/>
      <c r="B17" s="45"/>
      <c r="C17" s="45"/>
      <c r="D17" s="46" t="s">
        <v>97</v>
      </c>
      <c r="E17" s="45"/>
      <c r="F17" s="45"/>
      <c r="G17" s="45"/>
      <c r="H17" s="45"/>
      <c r="I17" s="45"/>
      <c r="J17" s="45"/>
      <c r="K17" s="45"/>
      <c r="L17" s="45" t="s">
        <v>76</v>
      </c>
    </row>
    <row r="18" spans="1:12" ht="15.75" customHeight="1" x14ac:dyDescent="0.2">
      <c r="D18" s="51" t="s">
        <v>149</v>
      </c>
      <c r="L18" s="45" t="s">
        <v>77</v>
      </c>
    </row>
    <row r="19" spans="1:12" ht="15.75" customHeight="1" x14ac:dyDescent="0.2">
      <c r="D19" s="49" t="s">
        <v>65</v>
      </c>
      <c r="L19" s="45" t="s">
        <v>72</v>
      </c>
    </row>
    <row r="20" spans="1:12" ht="15.75" customHeight="1" x14ac:dyDescent="0.2">
      <c r="D20" s="50" t="s">
        <v>134</v>
      </c>
    </row>
    <row r="21" spans="1:12" ht="15.75" customHeight="1" x14ac:dyDescent="0.2">
      <c r="D21" s="49" t="s">
        <v>60</v>
      </c>
    </row>
    <row r="22" spans="1:12" ht="15.75" customHeight="1" x14ac:dyDescent="0.2">
      <c r="D22" s="46" t="s">
        <v>72</v>
      </c>
    </row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Metadata</vt:lpstr>
      <vt:lpstr>Sample IDs</vt:lpstr>
      <vt:lpstr>Extraction IDs</vt:lpstr>
      <vt:lpstr>Comments</vt:lpstr>
      <vt:lpstr>Volume Overrides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Microsoft Office User</cp:lastModifiedBy>
  <dcterms:created xsi:type="dcterms:W3CDTF">2021-08-03T22:14:55Z</dcterms:created>
  <dcterms:modified xsi:type="dcterms:W3CDTF">2023-02-03T22:04:14Z</dcterms:modified>
</cp:coreProperties>
</file>