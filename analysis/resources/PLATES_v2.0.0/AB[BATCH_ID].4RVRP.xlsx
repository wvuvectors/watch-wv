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S_v2.0.0/"/>
    </mc:Choice>
  </mc:AlternateContent>
  <xr:revisionPtr revIDLastSave="0" documentId="13_ncr:1_{02360C00-DB99-5949-94B0-4F7AC83696F9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pike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<sst xmlns="http://schemas.openxmlformats.org/spreadsheetml/2006/main" count="392" uniqueCount="215">
  <si>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</si>
  <si>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</si>
  <si>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</si>
  <si>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</si>
  <si>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</si>
  <si>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</si>
  <si>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</si>
  <si>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</si>
  <si>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</si>
  <si>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</si>
  <si>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</si>
  <si>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</si>
  <si>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</si>
  <si>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</si>
  <si>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</si>
  <si>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</si>
  <si>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</si>
  <si>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</si>
  <si>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</si>
  <si>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</si>
  <si>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</si>
  <si>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</si>
  <si>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</si>
  <si>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</si>
  <si>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</si>
  <si>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</si>
  <si>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</si>
  <si>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</si>
  <si>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</si>
  <si>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</si>
  <si>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</si>
  <si>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</si>
  <si>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</si>
  <si>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</si>
  <si>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</si>
  <si>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</si>
  <si>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</si>
  <si>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</si>
  <si>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</si>
  <si>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</si>
  <si>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</si>
  <si>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</si>
  <si>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</si>
  <si>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</si>
  <si>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</si>
  <si>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</si>
  <si>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</si>
  <si>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</si>
  <si>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</si>
  <si>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</si>
  <si>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</si>
  <si>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</si>
  <si>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</si>
  <si>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</si>
  <si>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</si>
  <si>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</si>
  <si>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</si>
  <si>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</si>
  <si>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</si>
  <si>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Human RNase P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</si>
  <si>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</si>
  <si>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</si>
  <si>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</si>
  <si>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</si>
  <si>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</si>
  <si>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</si>
  <si>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</si>
  <si>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</si>
  <si>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</si>
  <si>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</si>
  <si>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</si>
  <si>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</si>
  <si>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</si>
  <si>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</si>
  <si>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</si>
  <si>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</si>
  <si>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</si>
  <si>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</si>
  <si>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</si>
  <si>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</si>
  <si>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2.0.0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</si>
  <si>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</si>
  <si>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</si>
  <si>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</si>
  <si>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</si>
  <si>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</si>
  <si>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</si>
  <si>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</si>
  <si>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</si>
  <si>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</si>
  <si>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</si>
  <si>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</si>
  <si>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</si>
  <si>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</si>
  <si>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</si>
  <si>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RSV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</si>
  <si>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</si>
  <si>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</si>
  <si>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</si>
  <si>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</si>
  <si>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</si>
  <si>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</si>
  <si>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</si>
  <si>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</si>
  <si>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</si>
  <si>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</si>
  <si>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</si>
  <si>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</si>
  <si>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</si>
  <si>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</si>
  <si>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</si>
  <si>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</si>
  <si>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</si>
  <si>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</si>
  <si>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</si>
  <si>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</si>
  <si>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</si>
  <si>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Category</t>
  </si>
  <si>
    <t>Target Genetic Locus</t>
  </si>
  <si>
    <t>TD</t>
  </si>
  <si>
    <t>Control 1 Calculated Copies Per uL Reaction</t>
  </si>
  <si>
    <t>Control 2 Calculated Copies Per uL Reaction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</si>
  <si>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</si>
  <si>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</si>
  <si>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</si>
  <si>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</si>
  <si>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Target Calculated Copies Per uL Reaction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</si>
  <si>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</si>
  <si>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</si>
  <si>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</si>
  <si>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</si>
  <si>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</si>
  <si>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</si>
  <si>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</si>
  <si>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</si>
  <si>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</si>
  <si>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</si>
  <si>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QX Manager Version</t>
  </si>
  <si>
    <t>Zoo QX200</t>
  </si>
  <si>
    <t>Zoo QX600</t>
  </si>
  <si>
    <t>NA</t>
  </si>
  <si>
    <t>ROX</t>
  </si>
  <si>
    <t>ATTO 590</t>
  </si>
  <si>
    <t>Custom Design</t>
  </si>
  <si>
    <t>xxxxxxx</t>
  </si>
  <si>
    <t>AB###</t>
  </si>
  <si>
    <t>XX</t>
  </si>
  <si>
    <t>M</t>
  </si>
  <si>
    <t>NEP/NS1</t>
  </si>
  <si>
    <t>Spike-In</t>
  </si>
  <si>
    <t>(Same as target itself)</t>
  </si>
  <si>
    <t>Record for each spiked well on the "Spikes" sheet, as copies/µL reaction of the spike.</t>
  </si>
  <si>
    <t>Spikes</t>
  </si>
  <si>
    <t>Pre-concentration, Biological</t>
  </si>
  <si>
    <t>Pre-concentration, Nucleic Acid</t>
  </si>
  <si>
    <t>Post-concentration, Biological</t>
  </si>
  <si>
    <t>Post-concentration, Nucleic Acid</t>
  </si>
  <si>
    <t>Pre-concentration, Other</t>
  </si>
  <si>
    <t>Post-concentration, Other</t>
  </si>
  <si>
    <t>Enterovirus</t>
  </si>
  <si>
    <t>Rhinovirus</t>
  </si>
  <si>
    <t>Norovirus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</si>
  <si>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</si>
  <si>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</si>
  <si>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</si>
  <si>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</si>
  <si>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</si>
  <si>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Homo sapiens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</si>
  <si>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</si>
  <si>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</si>
  <si>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</si>
  <si>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</si>
  <si>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</si>
  <si>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</si>
  <si>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</si>
  <si>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</si>
  <si>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</si>
  <si>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</si>
  <si>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Post-extraction, Nucleic Acid</t>
  </si>
  <si>
    <t>Post-extraction, Other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</si>
  <si>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</si>
  <si>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</si>
  <si>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</si>
  <si>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</si>
  <si>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</si>
  <si>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</si>
  <si>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</si>
  <si>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</si>
  <si>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</si>
  <si>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</si>
  <si>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Norovirus (POL) (dEXD27733734)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</si>
  <si>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</si>
  <si>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</si>
  <si>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</si>
  <si>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</si>
  <si>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</si>
  <si>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</si>
  <si>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</si>
  <si>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</si>
  <si>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</si>
  <si>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</si>
  <si>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</si>
  <si>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</si>
  <si>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</si>
  <si>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</si>
  <si>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N1:SARS</t>
  </si>
  <si>
    <t>N2:SARS</t>
  </si>
  <si>
    <t>Hosts</t>
  </si>
  <si>
    <t>Human</t>
  </si>
  <si>
    <t>Avian</t>
  </si>
  <si>
    <t>Swine</t>
  </si>
  <si>
    <t>Multiple</t>
  </si>
  <si>
    <t>Target Host</t>
  </si>
  <si>
    <t>Mpox Virus Clade I (MPXV)</t>
  </si>
  <si>
    <t>Mpox Virus Clade II (MPXV)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</si>
</sst>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7" fillId="0" borderId="2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0" borderId="8" xfId="0" applyFont="1" applyBorder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6" fillId="17" borderId="8" xfId="0" applyFont="1" applyFill="1" applyBorder="1" applyAlignment="1">
      <alignment horizontal="left" vertical="center"/>
    </xf>
    <xf numFmtId="0" fontId="15" fillId="17" borderId="8" xfId="0" applyFont="1" applyFill="1" applyBorder="1" applyAlignment="1">
      <alignment horizontal="left" vertical="center"/>
    </xf>
    <xf numFmtId="0" fontId="14" fillId="12" borderId="8" xfId="0" applyFont="1" applyFill="1" applyBorder="1" applyAlignment="1">
      <alignment vertical="center"/>
    </xf>
    <xf numFmtId="0" fontId="14" fillId="17" borderId="0" xfId="0" applyFont="1" applyFill="1" applyAlignment="1">
      <alignment vertical="center"/>
    </xf>
    <xf numFmtId="0" fontId="14" fillId="17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16" fillId="17" borderId="0" xfId="0" applyFont="1" applyFill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27"/>
  <sheetViews>
    <sheetView tabSelected="1" zoomScale="89" zoomScaleNormal="70" workbookViewId="0">
      <selection activeCell="B3" sqref="B3"/>
    </sheetView>
  </sheetViews>
  <sheetFormatPr baseColWidth="10" defaultColWidth="11.42578125" defaultRowHeight="15" customHeight="1" x14ac:dyDescent="0.2"/>
  <cols>
    <col min="1" max="1" width="51.5703125" style="43" customWidth="1"/>
    <col min="2" max="2" width="70.42578125" style="43" customWidth="1"/>
    <col min="3" max="3" width="93.85546875" style="43" customWidth="1"/>
    <col min="4" max="26" width="26" style="43" customWidth="1"/>
    <col min="27" max="16384" width="11.42578125" style="43"/>
  </cols>
  <sheetData>
    <row r="1" spans="1:26" ht="32" customHeight="1" x14ac:dyDescent="0.2">
      <c r="A1" s="39" t="s">
        <v>127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2" customHeight="1" thickBot="1" x14ac:dyDescent="0.25">
      <c r="A2" s="44" t="s">
        <v>128</v>
      </c>
      <c r="B2" s="45" t="s">
        <v>80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2">
      <c r="A3" s="46" t="s">
        <v>1</v>
      </c>
      <c r="B3" s="47">
        <v>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2">
      <c r="A4" s="42" t="s">
        <v>2</v>
      </c>
      <c r="B4" s="42" t="s">
        <v>119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2">
      <c r="A5" s="46" t="s">
        <v>3</v>
      </c>
      <c r="B5" s="46" t="s">
        <v>138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2">
      <c r="A6" s="42" t="s">
        <v>137</v>
      </c>
      <c r="B6" s="42" t="s">
        <v>136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2">
      <c r="A7" s="71" t="s">
        <v>129</v>
      </c>
      <c r="B7" s="71" t="s">
        <v>145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2">
      <c r="A8" s="42" t="s">
        <v>122</v>
      </c>
      <c r="B8" s="42">
        <v>5</v>
      </c>
      <c r="C8" s="7" t="s">
        <v>123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2">
      <c r="A9" s="46" t="s">
        <v>133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2">
      <c r="A10" s="42" t="s">
        <v>86</v>
      </c>
      <c r="B10" s="42" t="s">
        <v>67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2">
      <c r="A11" s="46" t="s">
        <v>84</v>
      </c>
      <c r="B11" s="46" t="s">
        <v>144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2">
      <c r="A12" s="42" t="s">
        <v>114</v>
      </c>
      <c r="B12" s="42" t="s">
        <v>88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2">
      <c r="A13" s="46" t="s">
        <v>132</v>
      </c>
      <c r="B13" s="46" t="s">
        <v>102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2">
      <c r="A14" s="42" t="s">
        <v>115</v>
      </c>
      <c r="B14" s="42" t="s">
        <v>143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2">
      <c r="A15" s="72" t="s">
        <v>116</v>
      </c>
      <c r="B15" s="72" t="s">
        <v>144</v>
      </c>
      <c r="C15" s="67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25">
      <c r="A16" s="69" t="s">
        <v>130</v>
      </c>
      <c r="B16" s="70" t="s">
        <v>56</v>
      </c>
      <c r="C16" s="69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" customHeight="1" x14ac:dyDescent="0.2">
      <c r="A17" s="68" t="s">
        <v>131</v>
      </c>
      <c r="B17" s="68" t="s">
        <v>58</v>
      </c>
      <c r="C17" s="75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" customHeight="1" x14ac:dyDescent="0.2">
      <c r="A18" s="52" t="s">
        <v>104</v>
      </c>
      <c r="B18" s="52" t="s">
        <v>71</v>
      </c>
      <c r="C18" s="8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" customHeight="1" x14ac:dyDescent="0.2">
      <c r="A19" s="52" t="s">
        <v>212</v>
      </c>
      <c r="B19" s="52" t="s">
        <v>208</v>
      </c>
      <c r="C19" s="74" t="s">
        <v>149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25" customHeight="1" x14ac:dyDescent="0.2">
      <c r="A20" s="53" t="s">
        <v>118</v>
      </c>
      <c r="B20" s="54" t="s">
        <v>205</v>
      </c>
      <c r="C20" s="76" t="s">
        <v>150</v>
      </c>
    </row>
    <row r="21" spans="1:26" ht="25" customHeight="1" x14ac:dyDescent="0.2">
      <c r="A21" s="52" t="s">
        <v>117</v>
      </c>
      <c r="B21" s="52" t="s">
        <v>98</v>
      </c>
      <c r="C21" s="73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" customHeight="1" x14ac:dyDescent="0.2">
      <c r="A22" s="52" t="s">
        <v>78</v>
      </c>
      <c r="B22" s="52" t="s">
        <v>73</v>
      </c>
      <c r="C22" s="73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25" customHeight="1" x14ac:dyDescent="0.2">
      <c r="A23" s="52" t="s">
        <v>126</v>
      </c>
      <c r="B23" s="52">
        <v>0</v>
      </c>
      <c r="C23" s="77" t="s">
        <v>151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" customHeight="1" x14ac:dyDescent="0.2">
      <c r="A24" s="55" t="s">
        <v>81</v>
      </c>
      <c r="B24" s="56" t="s">
        <v>91</v>
      </c>
      <c r="C24" s="51"/>
    </row>
    <row r="25" spans="1:26" ht="25" customHeight="1" x14ac:dyDescent="0.2">
      <c r="A25" s="55" t="s">
        <v>92</v>
      </c>
      <c r="B25" s="57" t="s">
        <v>140</v>
      </c>
      <c r="C25" s="51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" customHeight="1" x14ac:dyDescent="0.2">
      <c r="A26" s="55" t="s">
        <v>76</v>
      </c>
      <c r="B26" s="56" t="s">
        <v>140</v>
      </c>
      <c r="C26" s="51"/>
    </row>
    <row r="27" spans="1:26" ht="25" customHeight="1" x14ac:dyDescent="0.2">
      <c r="A27" s="58" t="s">
        <v>124</v>
      </c>
      <c r="B27" s="57" t="s">
        <v>146</v>
      </c>
      <c r="C27" s="51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" customHeight="1" x14ac:dyDescent="0.2">
      <c r="A28" s="58" t="s">
        <v>120</v>
      </c>
      <c r="B28" s="58">
        <v>0</v>
      </c>
      <c r="C28" s="51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" customHeight="1" x14ac:dyDescent="0.2">
      <c r="A29" s="59" t="s">
        <v>82</v>
      </c>
      <c r="B29" s="60" t="s">
        <v>90</v>
      </c>
      <c r="C29" s="61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" customHeight="1" x14ac:dyDescent="0.2">
      <c r="A30" s="62" t="s">
        <v>93</v>
      </c>
      <c r="B30" s="62" t="s">
        <v>96</v>
      </c>
      <c r="C30" s="49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" customHeight="1" x14ac:dyDescent="0.2">
      <c r="A31" s="59" t="s">
        <v>77</v>
      </c>
      <c r="B31" s="63" t="s">
        <v>74</v>
      </c>
      <c r="C31" s="61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5" customHeight="1" x14ac:dyDescent="0.2">
      <c r="A32" s="62" t="s">
        <v>125</v>
      </c>
      <c r="B32" s="62" t="s">
        <v>146</v>
      </c>
      <c r="C32" s="49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5" customHeight="1" thickBot="1" x14ac:dyDescent="0.25">
      <c r="A33" s="65" t="s">
        <v>121</v>
      </c>
      <c r="B33" s="62">
        <v>100</v>
      </c>
      <c r="C33" s="50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2">
      <c r="A34" s="68" t="s">
        <v>131</v>
      </c>
      <c r="B34" s="64" t="s">
        <v>60</v>
      </c>
      <c r="C34" s="75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2">
      <c r="A35" s="52" t="s">
        <v>104</v>
      </c>
      <c r="B35" s="52" t="s">
        <v>201</v>
      </c>
      <c r="C35" s="74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5" customHeight="1" x14ac:dyDescent="0.2">
      <c r="A36" s="52" t="s">
        <v>212</v>
      </c>
      <c r="B36" s="52" t="s">
        <v>208</v>
      </c>
      <c r="C36" s="74" t="s">
        <v>149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2">
      <c r="A37" s="53" t="s">
        <v>118</v>
      </c>
      <c r="B37" s="54" t="s">
        <v>147</v>
      </c>
      <c r="C37" s="76" t="s">
        <v>150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2">
      <c r="A38" s="52" t="s">
        <v>117</v>
      </c>
      <c r="B38" s="52" t="s">
        <v>98</v>
      </c>
      <c r="C38" s="73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2">
      <c r="A39" s="52" t="s">
        <v>78</v>
      </c>
      <c r="B39" s="52" t="s">
        <v>73</v>
      </c>
      <c r="C39" s="73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2">
      <c r="A40" s="52" t="s">
        <v>126</v>
      </c>
      <c r="B40" s="52">
        <v>0</v>
      </c>
      <c r="C40" s="77" t="s">
        <v>151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2">
      <c r="A41" s="55" t="s">
        <v>81</v>
      </c>
      <c r="B41" s="56" t="s">
        <v>91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2">
      <c r="A42" s="55" t="s">
        <v>92</v>
      </c>
      <c r="B42" s="57" t="s">
        <v>140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2">
      <c r="A43" s="55" t="s">
        <v>76</v>
      </c>
      <c r="B43" s="56" t="s">
        <v>140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2">
      <c r="A44" s="58" t="s">
        <v>124</v>
      </c>
      <c r="B44" s="57" t="s">
        <v>146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2">
      <c r="A45" s="58" t="s">
        <v>120</v>
      </c>
      <c r="B45" s="58">
        <v>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x14ac:dyDescent="0.2">
      <c r="A46" s="59" t="s">
        <v>82</v>
      </c>
      <c r="B46" s="60" t="s">
        <v>90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2">
      <c r="A47" s="62" t="s">
        <v>93</v>
      </c>
      <c r="B47" s="62" t="s">
        <v>96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2">
      <c r="A48" s="59" t="s">
        <v>77</v>
      </c>
      <c r="B48" s="63" t="s">
        <v>74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2">
      <c r="A49" s="62" t="s">
        <v>125</v>
      </c>
      <c r="B49" s="62" t="s">
        <v>146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thickBot="1" x14ac:dyDescent="0.25">
      <c r="A50" s="65" t="s">
        <v>121</v>
      </c>
      <c r="B50" s="65">
        <v>600</v>
      </c>
      <c r="C50" s="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2">
      <c r="A51" s="68" t="s">
        <v>131</v>
      </c>
      <c r="B51" s="64" t="s">
        <v>64</v>
      </c>
      <c r="C51" s="75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2">
      <c r="A52" s="52" t="s">
        <v>104</v>
      </c>
      <c r="B52" s="52" t="s">
        <v>202</v>
      </c>
      <c r="C52" s="74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5" customHeight="1" x14ac:dyDescent="0.2">
      <c r="A53" s="52" t="s">
        <v>212</v>
      </c>
      <c r="B53" s="52" t="s">
        <v>208</v>
      </c>
      <c r="C53" s="74" t="s">
        <v>149</v>
      </c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2">
      <c r="A54" s="53" t="s">
        <v>118</v>
      </c>
      <c r="B54" s="54" t="s">
        <v>148</v>
      </c>
      <c r="C54" s="76" t="s">
        <v>150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2">
      <c r="A55" s="52" t="s">
        <v>117</v>
      </c>
      <c r="B55" s="52" t="s">
        <v>98</v>
      </c>
      <c r="C55" s="73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2">
      <c r="A56" s="52" t="s">
        <v>78</v>
      </c>
      <c r="B56" s="52" t="s">
        <v>73</v>
      </c>
      <c r="C56" s="73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2">
      <c r="A57" s="52" t="s">
        <v>126</v>
      </c>
      <c r="B57" s="52">
        <v>0</v>
      </c>
      <c r="C57" s="77" t="s">
        <v>151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2">
      <c r="A58" s="55" t="s">
        <v>81</v>
      </c>
      <c r="B58" s="56" t="s">
        <v>91</v>
      </c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2">
      <c r="A59" s="55" t="s">
        <v>92</v>
      </c>
      <c r="B59" s="57" t="s">
        <v>140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2">
      <c r="A60" s="55" t="s">
        <v>76</v>
      </c>
      <c r="B60" s="56" t="s">
        <v>140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x14ac:dyDescent="0.2">
      <c r="A61" s="58" t="s">
        <v>124</v>
      </c>
      <c r="B61" s="57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2">
      <c r="A62" s="58" t="s">
        <v>120</v>
      </c>
      <c r="B62" s="58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2">
      <c r="A63" s="59" t="s">
        <v>82</v>
      </c>
      <c r="B63" s="60" t="s">
        <v>90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2">
      <c r="A64" s="62" t="s">
        <v>93</v>
      </c>
      <c r="B64" s="62" t="s">
        <v>96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2">
      <c r="A65" s="59" t="s">
        <v>77</v>
      </c>
      <c r="B65" s="63" t="s">
        <v>74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2">
      <c r="A66" s="62" t="s">
        <v>125</v>
      </c>
      <c r="B66" s="62" t="s">
        <v>146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thickBot="1" x14ac:dyDescent="0.25">
      <c r="A67" s="65" t="s">
        <v>121</v>
      </c>
      <c r="B67" s="65">
        <v>100</v>
      </c>
      <c r="C67" s="50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2">
      <c r="A68" s="68" t="s">
        <v>131</v>
      </c>
      <c r="B68" s="64" t="s">
        <v>65</v>
      </c>
      <c r="C68" s="75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2">
      <c r="A69" s="52" t="s">
        <v>104</v>
      </c>
      <c r="B69" s="52" t="s">
        <v>166</v>
      </c>
      <c r="C69" s="74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5" customHeight="1" x14ac:dyDescent="0.2">
      <c r="A70" s="52" t="s">
        <v>212</v>
      </c>
      <c r="B70" s="52" t="s">
        <v>208</v>
      </c>
      <c r="C70" s="74" t="s">
        <v>149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2">
      <c r="A71" s="53" t="s">
        <v>118</v>
      </c>
      <c r="B71" s="54" t="s">
        <v>50</v>
      </c>
      <c r="C71" s="76" t="s">
        <v>150</v>
      </c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2">
      <c r="A72" s="52" t="s">
        <v>117</v>
      </c>
      <c r="B72" s="52" t="s">
        <v>98</v>
      </c>
      <c r="C72" s="73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2">
      <c r="A73" s="52" t="s">
        <v>78</v>
      </c>
      <c r="B73" s="52" t="s">
        <v>73</v>
      </c>
      <c r="C73" s="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2">
      <c r="A74" s="52" t="s">
        <v>126</v>
      </c>
      <c r="B74" s="52">
        <v>0</v>
      </c>
      <c r="C74" s="77" t="s">
        <v>151</v>
      </c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2">
      <c r="A75" s="55" t="s">
        <v>81</v>
      </c>
      <c r="B75" s="56" t="s">
        <v>91</v>
      </c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x14ac:dyDescent="0.2">
      <c r="A76" s="55" t="s">
        <v>92</v>
      </c>
      <c r="B76" s="57" t="s">
        <v>140</v>
      </c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2">
      <c r="A77" s="55" t="s">
        <v>76</v>
      </c>
      <c r="B77" s="56" t="s">
        <v>140</v>
      </c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2">
      <c r="A78" s="58" t="s">
        <v>124</v>
      </c>
      <c r="B78" s="57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2">
      <c r="A79" s="58" t="s">
        <v>120</v>
      </c>
      <c r="B79" s="58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2">
      <c r="A80" s="59" t="s">
        <v>82</v>
      </c>
      <c r="B80" s="60" t="s">
        <v>90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2">
      <c r="A81" s="62" t="s">
        <v>93</v>
      </c>
      <c r="B81" s="62" t="s">
        <v>96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2">
      <c r="A82" s="59" t="s">
        <v>77</v>
      </c>
      <c r="B82" s="63" t="s">
        <v>74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2">
      <c r="A83" s="62" t="s">
        <v>125</v>
      </c>
      <c r="B83" s="62" t="s">
        <v>146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thickBot="1" x14ac:dyDescent="0.25">
      <c r="A84" s="65" t="s">
        <v>121</v>
      </c>
      <c r="B84" s="65">
        <v>100</v>
      </c>
      <c r="C84" s="50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21" customHeight="1" x14ac:dyDescent="0.2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21" customHeight="1" x14ac:dyDescent="0.2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21" customHeight="1" x14ac:dyDescent="0.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21" customHeight="1" x14ac:dyDescent="0.2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21" customHeight="1" x14ac:dyDescent="0.2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21" customHeight="1" x14ac:dyDescent="0.2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21" customHeight="1" x14ac:dyDescent="0.2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21" customHeight="1" x14ac:dyDescent="0.2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9269EC84-DF31-1A4B-A990-FD99E0DF6A37}">
          <x14:formula1>
            <xm:f>Lists!$F$2:$F$10</xm:f>
          </x14:formula1>
          <xm:sqref>B30 B25 B47 B42 B64 B59 B81 B76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B41 B46 B58 B63 B24 B29 B75 B80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B26 B31 B43 B48 B39:C39 B60 B65 B56:C56 B22:C22 B77 B82 B73:C73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B6</xm:sqref>
        </x14:dataValidation>
        <x14:dataValidation type="list" allowBlank="1" showInputMessage="1" showErrorMessage="1" xr:uid="{4589180C-9127-844B-B3AB-26B52318E969}">
          <x14:formula1>
            <xm:f>Lists!$G$3:$G$5</xm:f>
          </x14:formula1>
          <xm:sqref>B41 B58 B75</xm:sqref>
        </x14:dataValidation>
        <x14:dataValidation type="list" allowBlank="1" showErrorMessage="1" xr:uid="{C159AD43-387F-8A44-88E8-16412071B24C}">
          <x14:formula1>
            <xm:f>Lists!$C$2:$C$6</xm:f>
          </x14:formula1>
          <xm:sqref>B55 B21 B38 B72</xm:sqref>
        </x14:dataValidation>
        <x14:dataValidation type="list" allowBlank="1" showInputMessage="1" showErrorMessage="1" xr:uid="{FF158337-349C-AE45-9DC7-81D1DD942C51}">
          <x14:formula1>
            <xm:f>Lists!$C$2:$C$9</xm:f>
          </x14:formula1>
          <xm:sqref>B38 B55 B21 B72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B34 B17 B51 B68</xm:sqref>
        </x14:dataValidation>
        <x14:dataValidation type="list" allowBlank="1" showInputMessage="1" showErrorMessage="1" xr:uid="{EE6A7E99-E8C2-2C46-99ED-4766928B6A0B}">
          <x14:formula1>
            <xm:f>Lists!$N$3:$N$10</xm:f>
          </x14:formula1>
          <xm:sqref>C21 C55 C38 C72</xm:sqref>
        </x14:dataValidation>
        <x14:dataValidation type="list" allowBlank="1" showInputMessage="1" showErrorMessage="1" xr:uid="{209ABDC6-7A4F-1043-BD31-F5067EDD9592}">
          <x14:formula1>
            <xm:f>Lists!$D$2:$D$27</xm:f>
          </x14:formula1>
          <xm:sqref>B37 B20 B54 B71</xm:sqref>
        </x14:dataValidation>
        <x14:dataValidation type="list" allowBlank="1" showErrorMessage="1" xr:uid="{4DE4111E-DA5E-784E-9D6F-05103F7D2493}">
          <x14:formula1>
            <xm:f>Lists!$L$2:$L$18</xm:f>
          </x14:formula1>
          <xm:sqref>B14</xm:sqref>
        </x14:dataValidation>
        <x14:dataValidation type="list" allowBlank="1" showErrorMessage="1" xr:uid="{458F1957-7F4C-3843-8AFA-688CEDE96E83}">
          <x14:formula1>
            <xm:f>Lists!$O$2:$O$7</xm:f>
          </x14:formula1>
          <xm:sqref>B19 B36 B53 B70</xm:sqref>
        </x14:dataValidation>
        <x14:dataValidation type="list" allowBlank="1" showInputMessage="1" showErrorMessage="1" xr:uid="{B241593E-F5D9-0643-9841-833D07C14BE8}">
          <x14:formula1>
            <xm:f>Lists!$O$2:$O$7</xm:f>
          </x14:formula1>
          <xm:sqref>B19 B36 B53 B70</xm:sqref>
        </x14:dataValidation>
        <x14:dataValidation type="list" allowBlank="1" showErrorMessage="1" xr:uid="{970994F8-0C5A-954C-8A5B-082DB9E55E96}">
          <x14:formula1>
            <xm:f>Lists!$B$2:$B$27</xm:f>
          </x14:formula1>
          <xm:sqref>B35 B69 B52 B18</xm:sqref>
        </x14:dataValidation>
        <x14:dataValidation type="list" allowBlank="1" showInputMessage="1" showErrorMessage="1" xr:uid="{E36366AC-D6BD-7D4B-94C1-F87AEC17F439}">
          <x14:formula1>
            <xm:f>Lists!$B$3:$B$17</xm:f>
          </x14:formula1>
          <xm:sqref>B52 B69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B35 B69 B52</xm:sqref>
        </x14:dataValidation>
        <x14:dataValidation type="list" allowBlank="1" showInputMessage="1" showErrorMessage="1" xr:uid="{C377399E-4DEA-7E44-B16E-7301589BBC04}">
          <x14:formula1>
            <xm:f>Lists!$B$3:$B$27</xm:f>
          </x14:formula1>
          <xm:sqref>B35</xm:sqref>
        </x14:dataValidation>
        <x14:dataValidation type="list" allowBlank="1" showInputMessage="1" showErrorMessage="1" xr:uid="{4B8BFAEF-3C0C-4641-836E-A751B7E93527}">
          <x14:formula1>
            <xm:f>Lists!$B$2:$B$27</xm:f>
          </x14:formula1>
          <xm:sqref>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60" zoomScaleNormal="60" workbookViewId="0">
      <selection activeCell="B2" sqref="B2:G8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D1D4-5508-E34C-A1ED-A24B8133857F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4" activePane="bottomLeft" state="frozen"/>
      <selection pane="bottomLeft" activeCell="G7" sqref="G7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90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2"/>
      <c r="R1" s="2"/>
      <c r="S1" s="2"/>
    </row>
    <row r="2" spans="1:19" ht="31.5" customHeight="1" x14ac:dyDescent="0.2">
      <c r="A2" s="96" t="s">
        <v>5</v>
      </c>
      <c r="B2" s="96"/>
      <c r="C2" s="96"/>
      <c r="D2" s="96"/>
      <c r="E2" s="96"/>
      <c r="F2" s="96"/>
      <c r="G2" s="96"/>
      <c r="H2" s="96"/>
      <c r="I2" s="96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97" t="s">
        <v>6</v>
      </c>
      <c r="B3" s="97"/>
      <c r="C3" s="97"/>
      <c r="D3" s="97"/>
      <c r="E3" s="97"/>
      <c r="F3" s="97"/>
      <c r="G3" s="97"/>
      <c r="H3" s="97"/>
      <c r="I3" s="97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">
      <c r="A6" s="9" t="s">
        <v>9</v>
      </c>
      <c r="B6" s="10">
        <v>16.5</v>
      </c>
      <c r="C6" s="86" t="s">
        <v>10</v>
      </c>
      <c r="D6" s="87"/>
      <c r="E6" s="87"/>
      <c r="F6" s="8"/>
      <c r="G6" s="8"/>
      <c r="H6" s="8"/>
      <c r="I6" s="8"/>
      <c r="J6" s="8"/>
      <c r="K6" s="8"/>
      <c r="L6" s="8"/>
    </row>
    <row r="7" spans="1:19" ht="22.5" customHeight="1" x14ac:dyDescent="0.2">
      <c r="A7" s="9" t="s">
        <v>11</v>
      </c>
      <c r="B7" s="10">
        <v>5.5</v>
      </c>
      <c r="C7" s="87"/>
      <c r="D7" s="87"/>
      <c r="E7" s="87"/>
      <c r="F7" s="8"/>
      <c r="G7" s="8"/>
      <c r="H7" s="8"/>
      <c r="I7" s="8"/>
      <c r="J7" s="8"/>
      <c r="K7" s="8"/>
      <c r="L7" s="8"/>
    </row>
    <row r="8" spans="1:19" ht="22.5" customHeight="1" x14ac:dyDescent="0.2">
      <c r="A8" s="9" t="s">
        <v>12</v>
      </c>
      <c r="B8" s="10">
        <f>SUM(B6:B7)</f>
        <v>22</v>
      </c>
      <c r="C8" s="87"/>
      <c r="D8" s="87"/>
      <c r="E8" s="87"/>
      <c r="F8" s="8"/>
      <c r="G8" s="8"/>
      <c r="H8" s="8"/>
      <c r="I8" s="8"/>
      <c r="J8" s="8"/>
      <c r="K8" s="8"/>
      <c r="L8" s="8"/>
    </row>
    <row r="9" spans="1:19" ht="22.5" customHeight="1" x14ac:dyDescent="0.2">
      <c r="A9" s="9" t="s">
        <v>13</v>
      </c>
      <c r="B9" s="10">
        <v>20</v>
      </c>
      <c r="C9" s="87"/>
      <c r="D9" s="87"/>
      <c r="E9" s="87"/>
      <c r="F9" s="8"/>
      <c r="G9" s="8"/>
      <c r="H9" s="8"/>
      <c r="I9" s="8"/>
      <c r="J9" s="8"/>
      <c r="K9" s="8"/>
      <c r="L9" s="8"/>
    </row>
    <row r="10" spans="1:19" ht="30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">
      <c r="A11" s="93" t="s">
        <v>14</v>
      </c>
      <c r="B11" s="91"/>
      <c r="C11" s="91"/>
      <c r="D11" s="92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2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">
      <c r="A15" s="15" t="s">
        <v>21</v>
      </c>
      <c r="B15" s="17">
        <v>94</v>
      </c>
      <c r="C15" s="17">
        <v>0.5</v>
      </c>
      <c r="D15" s="94">
        <v>40</v>
      </c>
    </row>
    <row r="16" spans="1:19" ht="15.75" customHeight="1" x14ac:dyDescent="0.2">
      <c r="A16" s="15" t="s">
        <v>22</v>
      </c>
      <c r="B16" s="17">
        <v>55</v>
      </c>
      <c r="C16" s="17">
        <v>1</v>
      </c>
      <c r="D16" s="95"/>
    </row>
    <row r="17" spans="1:26" ht="15.75" customHeight="1" x14ac:dyDescent="0.2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">
      <c r="A18" s="18"/>
      <c r="B18" s="12"/>
      <c r="C18" s="12"/>
      <c r="D18" s="12"/>
    </row>
    <row r="19" spans="1:26" ht="27" customHeight="1" x14ac:dyDescent="0.2">
      <c r="A19" s="83" t="s">
        <v>24</v>
      </c>
      <c r="B19" s="84"/>
      <c r="C19" s="84"/>
      <c r="D19" s="85"/>
    </row>
    <row r="20" spans="1:26" ht="15.75" customHeight="1" x14ac:dyDescent="0.25">
      <c r="A20" s="19" t="s">
        <v>25</v>
      </c>
      <c r="B20" s="17" t="s">
        <v>26</v>
      </c>
      <c r="C20" s="20"/>
      <c r="D20" s="20"/>
    </row>
    <row r="21" spans="1:26" ht="15.75" customHeight="1" x14ac:dyDescent="0.25">
      <c r="A21" s="19" t="s">
        <v>27</v>
      </c>
      <c r="B21" s="17" t="s">
        <v>28</v>
      </c>
      <c r="C21" s="20"/>
      <c r="D21" s="20"/>
    </row>
    <row r="22" spans="1:26" ht="15.75" customHeight="1" x14ac:dyDescent="0.25">
      <c r="A22" s="19" t="s">
        <v>29</v>
      </c>
      <c r="B22" s="17" t="s">
        <v>30</v>
      </c>
      <c r="C22" s="20"/>
      <c r="D22" s="20"/>
    </row>
    <row r="23" spans="1:26" ht="51" customHeight="1" x14ac:dyDescent="0.2"/>
    <row r="24" spans="1:26" ht="31.5" customHeight="1" x14ac:dyDescent="0.2">
      <c r="A24" s="21" t="s">
        <v>31</v>
      </c>
      <c r="B24" s="22">
        <f>COUNTIF('Sample IDs'!B2:M9,"&lt;&gt;"&amp;"")</f>
        <v>0</v>
      </c>
      <c r="C24" s="86" t="s">
        <v>32</v>
      </c>
      <c r="D24" s="87"/>
      <c r="E24" s="87"/>
      <c r="F24" s="87"/>
      <c r="G24" s="87"/>
      <c r="H24" s="87"/>
      <c r="I24" s="87"/>
      <c r="J24" s="87"/>
      <c r="K24" s="87"/>
      <c r="L24" s="87"/>
    </row>
    <row r="25" spans="1:26" ht="30" customHeight="1" x14ac:dyDescent="0.2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">
      <c r="A27" s="88" t="s">
        <v>35</v>
      </c>
      <c r="B27" s="89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7" t="s">
        <v>36</v>
      </c>
      <c r="B28" s="28">
        <f>ROUNDUP(B33-B29-B30-B31-($B$5*B32),0)</f>
        <v>0</v>
      </c>
      <c r="C28" s="29"/>
      <c r="D28" s="29"/>
      <c r="E28" s="8"/>
      <c r="F28" s="8"/>
      <c r="L28" s="8"/>
    </row>
    <row r="29" spans="1:26" ht="15.75" customHeight="1" x14ac:dyDescent="0.25">
      <c r="A29" s="27" t="s">
        <v>37</v>
      </c>
      <c r="B29" s="28">
        <f>ROUNDUP(5.5*($B$24*B25),0)</f>
        <v>0</v>
      </c>
      <c r="C29" s="30" t="s">
        <v>38</v>
      </c>
      <c r="D29" s="29"/>
      <c r="E29" s="8"/>
      <c r="F29" s="8"/>
      <c r="L29" s="8"/>
    </row>
    <row r="30" spans="1:26" ht="15.75" customHeight="1" x14ac:dyDescent="0.25">
      <c r="A30" s="27" t="s">
        <v>39</v>
      </c>
      <c r="B30" s="28">
        <f>ROUNDUP(2.2*($B$24*B25),1)</f>
        <v>0</v>
      </c>
      <c r="C30" s="30" t="s">
        <v>38</v>
      </c>
      <c r="D30" s="29"/>
      <c r="E30" s="8"/>
      <c r="F30" s="8"/>
      <c r="L30" s="8"/>
    </row>
    <row r="31" spans="1:26" ht="15.75" customHeight="1" x14ac:dyDescent="0.25">
      <c r="A31" s="27" t="s">
        <v>40</v>
      </c>
      <c r="B31" s="28">
        <f>ROUNDUP(1.1*$B$24*B25,1)</f>
        <v>0</v>
      </c>
      <c r="C31" s="30" t="s">
        <v>38</v>
      </c>
      <c r="D31" s="29"/>
      <c r="E31" s="8"/>
      <c r="F31" s="8"/>
      <c r="L31" s="8"/>
    </row>
    <row r="32" spans="1:26" ht="15.75" customHeight="1" x14ac:dyDescent="0.25">
      <c r="A32" s="27" t="s">
        <v>41</v>
      </c>
      <c r="B32" s="28">
        <f>ROUNDUP(1.1*$B$24*B25,1)</f>
        <v>0</v>
      </c>
      <c r="C32" s="30" t="s">
        <v>38</v>
      </c>
      <c r="D32" s="29"/>
      <c r="E32" s="8"/>
      <c r="F32" s="8"/>
      <c r="L32" s="8"/>
    </row>
    <row r="33" spans="1:12" ht="15.75" customHeight="1" x14ac:dyDescent="0.25">
      <c r="A33" s="31" t="s">
        <v>42</v>
      </c>
      <c r="B33" s="32">
        <f>ROUNDUP(B25*$B$24*16.5,0)</f>
        <v>0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>
      <selection activeCell="B17" sqref="B17"/>
    </sheetView>
  </sheetViews>
  <sheetFormatPr baseColWidth="10" defaultColWidth="11.42578125" defaultRowHeight="15" customHeight="1" x14ac:dyDescent="0.2"/>
  <cols>
    <col min="1" max="1" width="13" customWidth="1"/>
    <col min="2" max="2" width="42.140625" bestFit="1" customWidth="1"/>
    <col min="3" max="3" width="25.5703125" customWidth="1"/>
    <col min="4" max="4" width="17.1406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9" width="44.7109375" customWidth="1"/>
    <col min="10" max="10" width="18.42578125" customWidth="1"/>
    <col min="11" max="11" width="21.5703125" customWidth="1"/>
    <col min="12" max="12" width="60.140625" bestFit="1" customWidth="1"/>
    <col min="13" max="13" width="15.7109375" bestFit="1" customWidth="1"/>
    <col min="14" max="14" width="25" bestFit="1" customWidth="1"/>
    <col min="15" max="30" width="10.5703125" customWidth="1"/>
  </cols>
  <sheetData>
    <row r="1" spans="1:15" ht="15.75" customHeight="1" x14ac:dyDescent="0.2">
      <c r="A1" s="78" t="s">
        <v>52</v>
      </c>
      <c r="B1" s="79" t="s">
        <v>53</v>
      </c>
      <c r="C1" s="79" t="s">
        <v>105</v>
      </c>
      <c r="D1" s="78" t="s">
        <v>200</v>
      </c>
      <c r="E1" s="79" t="s">
        <v>203</v>
      </c>
      <c r="F1" s="78" t="s">
        <v>94</v>
      </c>
      <c r="G1" s="79" t="s">
        <v>83</v>
      </c>
      <c r="H1" s="78" t="s">
        <v>54</v>
      </c>
      <c r="I1" s="78" t="s">
        <v>85</v>
      </c>
      <c r="J1" s="79" t="s">
        <v>87</v>
      </c>
      <c r="K1" s="78" t="s">
        <v>75</v>
      </c>
      <c r="L1" s="78" t="s">
        <v>55</v>
      </c>
      <c r="M1" s="79" t="s">
        <v>134</v>
      </c>
      <c r="N1" s="79" t="s">
        <v>152</v>
      </c>
      <c r="O1" s="79" t="s">
        <v>207</v>
      </c>
    </row>
    <row r="2" spans="1:15" ht="15.75" customHeight="1" x14ac:dyDescent="0.2">
      <c r="A2" s="66" t="s">
        <v>138</v>
      </c>
      <c r="B2" s="66" t="s">
        <v>140</v>
      </c>
      <c r="C2" s="66" t="s">
        <v>140</v>
      </c>
      <c r="D2" s="66" t="s">
        <v>140</v>
      </c>
      <c r="E2" s="66" t="s">
        <v>140</v>
      </c>
      <c r="F2" s="66" t="s">
        <v>140</v>
      </c>
      <c r="G2" s="66" t="s">
        <v>140</v>
      </c>
      <c r="H2" s="66" t="s">
        <v>58</v>
      </c>
      <c r="I2" s="66" t="s">
        <v>67</v>
      </c>
      <c r="J2" s="66" t="s">
        <v>88</v>
      </c>
      <c r="K2" s="66" t="s">
        <v>102</v>
      </c>
      <c r="L2" s="66" t="s">
        <v>70</v>
      </c>
      <c r="M2" s="80" t="s">
        <v>135</v>
      </c>
      <c r="N2" s="66" t="s">
        <v>140</v>
      </c>
      <c r="O2" s="66" t="s">
        <v>140</v>
      </c>
    </row>
    <row r="3" spans="1:15" ht="15.75" customHeight="1" x14ac:dyDescent="0.2">
      <c r="A3" s="66" t="s">
        <v>139</v>
      </c>
      <c r="B3" s="66" t="s">
        <v>162</v>
      </c>
      <c r="C3" s="66" t="s">
        <v>98</v>
      </c>
      <c r="D3" s="66" t="s">
        <v>193</v>
      </c>
      <c r="E3" s="66" t="s">
        <v>74</v>
      </c>
      <c r="F3" s="66" t="s">
        <v>62</v>
      </c>
      <c r="G3" s="66" t="s">
        <v>91</v>
      </c>
      <c r="H3" s="66" t="s">
        <v>60</v>
      </c>
      <c r="I3" s="66" t="s">
        <v>68</v>
      </c>
      <c r="J3" s="66" t="s">
        <v>89</v>
      </c>
      <c r="K3" s="66" t="s">
        <v>61</v>
      </c>
      <c r="L3" s="66" t="s">
        <v>194</v>
      </c>
      <c r="M3" s="80" t="s">
        <v>136</v>
      </c>
      <c r="N3" s="66" t="s">
        <v>153</v>
      </c>
      <c r="O3" s="66" t="s">
        <v>208</v>
      </c>
    </row>
    <row r="4" spans="1:15" ht="15.75" customHeight="1" x14ac:dyDescent="0.2">
      <c r="A4" s="66" t="s">
        <v>69</v>
      </c>
      <c r="B4" s="81" t="s">
        <v>101</v>
      </c>
      <c r="C4" s="66" t="s">
        <v>197</v>
      </c>
      <c r="D4" s="66" t="s">
        <v>195</v>
      </c>
      <c r="E4" s="66" t="s">
        <v>73</v>
      </c>
      <c r="F4" s="66" t="s">
        <v>96</v>
      </c>
      <c r="G4" s="66" t="s">
        <v>90</v>
      </c>
      <c r="H4" s="66" t="s">
        <v>64</v>
      </c>
      <c r="I4" s="66" t="s">
        <v>69</v>
      </c>
      <c r="J4" s="66" t="s">
        <v>69</v>
      </c>
      <c r="K4" s="66" t="s">
        <v>103</v>
      </c>
      <c r="L4" s="66" t="s">
        <v>192</v>
      </c>
      <c r="M4" s="66"/>
      <c r="N4" s="66" t="s">
        <v>154</v>
      </c>
      <c r="O4" s="66" t="s">
        <v>209</v>
      </c>
    </row>
    <row r="5" spans="1:15" ht="15.75" customHeight="1" x14ac:dyDescent="0.2">
      <c r="A5" s="66"/>
      <c r="B5" s="66" t="s">
        <v>62</v>
      </c>
      <c r="C5" s="66" t="s">
        <v>99</v>
      </c>
      <c r="D5" s="66" t="s">
        <v>177</v>
      </c>
      <c r="E5" s="66" t="s">
        <v>79</v>
      </c>
      <c r="F5" s="66" t="s">
        <v>59</v>
      </c>
      <c r="G5" s="66" t="s">
        <v>69</v>
      </c>
      <c r="H5" s="66" t="s">
        <v>65</v>
      </c>
      <c r="I5" s="66"/>
      <c r="J5" s="66"/>
      <c r="K5" s="66" t="s">
        <v>69</v>
      </c>
      <c r="L5" s="66" t="s">
        <v>189</v>
      </c>
      <c r="M5" s="66"/>
      <c r="N5" s="66" t="s">
        <v>157</v>
      </c>
      <c r="O5" s="66" t="s">
        <v>210</v>
      </c>
    </row>
    <row r="6" spans="1:15" ht="15.75" customHeight="1" x14ac:dyDescent="0.2">
      <c r="A6" s="66"/>
      <c r="B6" s="66" t="s">
        <v>163</v>
      </c>
      <c r="C6" s="66" t="s">
        <v>69</v>
      </c>
      <c r="D6" s="66" t="s">
        <v>198</v>
      </c>
      <c r="E6" s="66" t="s">
        <v>69</v>
      </c>
      <c r="F6" s="66" t="s">
        <v>97</v>
      </c>
      <c r="G6" s="66"/>
      <c r="H6" s="66" t="s">
        <v>141</v>
      </c>
      <c r="I6" s="66"/>
      <c r="J6" s="66"/>
      <c r="K6" s="66"/>
      <c r="L6" s="66" t="s">
        <v>196</v>
      </c>
      <c r="M6" s="66"/>
      <c r="N6" s="66" t="s">
        <v>155</v>
      </c>
      <c r="O6" s="66" t="s">
        <v>211</v>
      </c>
    </row>
    <row r="7" spans="1:15" ht="15.75" customHeight="1" x14ac:dyDescent="0.2">
      <c r="A7" s="66"/>
      <c r="B7" s="81" t="s">
        <v>159</v>
      </c>
      <c r="C7" s="66"/>
      <c r="D7" s="66" t="s">
        <v>48</v>
      </c>
      <c r="E7" s="66"/>
      <c r="F7" s="66" t="s">
        <v>57</v>
      </c>
      <c r="G7" s="66"/>
      <c r="H7" s="66" t="s">
        <v>142</v>
      </c>
      <c r="I7" s="66"/>
      <c r="J7" s="66"/>
      <c r="K7" s="66"/>
      <c r="L7" s="66" t="s">
        <v>186</v>
      </c>
      <c r="M7" s="66"/>
      <c r="N7" s="66" t="s">
        <v>156</v>
      </c>
      <c r="O7" s="66" t="s">
        <v>69</v>
      </c>
    </row>
    <row r="8" spans="1:15" ht="15.75" customHeight="1" x14ac:dyDescent="0.2">
      <c r="A8" s="66"/>
      <c r="B8" s="66" t="s">
        <v>170</v>
      </c>
      <c r="C8" s="66"/>
      <c r="D8" s="66" t="s">
        <v>50</v>
      </c>
      <c r="E8" s="66"/>
      <c r="F8" s="66" t="s">
        <v>95</v>
      </c>
      <c r="G8" s="66"/>
      <c r="H8" s="66" t="s">
        <v>63</v>
      </c>
      <c r="I8" s="66"/>
      <c r="J8" s="66"/>
      <c r="K8" s="66"/>
      <c r="L8" s="66" t="s">
        <v>187</v>
      </c>
      <c r="M8" s="66"/>
      <c r="N8" s="66" t="s">
        <v>158</v>
      </c>
    </row>
    <row r="9" spans="1:15" ht="15.75" customHeight="1" x14ac:dyDescent="0.2">
      <c r="A9" s="66"/>
      <c r="B9" s="66" t="s">
        <v>167</v>
      </c>
      <c r="C9" s="66"/>
      <c r="D9" s="66" t="s">
        <v>51</v>
      </c>
      <c r="E9" s="66"/>
      <c r="F9" s="66" t="s">
        <v>71</v>
      </c>
      <c r="G9" s="66"/>
      <c r="H9" s="66" t="s">
        <v>66</v>
      </c>
      <c r="I9" s="66"/>
      <c r="J9" s="66"/>
      <c r="K9" s="66"/>
      <c r="L9" s="66" t="s">
        <v>190</v>
      </c>
      <c r="M9" s="66"/>
      <c r="N9" s="66" t="s">
        <v>178</v>
      </c>
    </row>
    <row r="10" spans="1:15" ht="15.75" customHeight="1" x14ac:dyDescent="0.2">
      <c r="A10" s="66"/>
      <c r="B10" s="81" t="s">
        <v>168</v>
      </c>
      <c r="C10" s="66"/>
      <c r="D10" s="66" t="s">
        <v>204</v>
      </c>
      <c r="E10" s="66"/>
      <c r="F10" s="66" t="s">
        <v>69</v>
      </c>
      <c r="G10" s="66"/>
      <c r="H10" s="66"/>
      <c r="I10" s="66"/>
      <c r="J10" s="66"/>
      <c r="K10" s="66"/>
      <c r="L10" s="66" t="s">
        <v>188</v>
      </c>
      <c r="M10" s="66"/>
      <c r="N10" s="66" t="s">
        <v>179</v>
      </c>
    </row>
    <row r="11" spans="1:15" ht="15.75" customHeight="1" x14ac:dyDescent="0.2">
      <c r="A11" s="66"/>
      <c r="B11" s="81" t="s">
        <v>169</v>
      </c>
      <c r="C11" s="66"/>
      <c r="D11" s="66" t="s">
        <v>147</v>
      </c>
      <c r="E11" s="66"/>
      <c r="F11" s="66"/>
      <c r="G11" s="66"/>
      <c r="H11" s="66"/>
      <c r="I11" s="66"/>
      <c r="J11" s="66"/>
      <c r="K11" s="66"/>
      <c r="L11" s="66" t="s">
        <v>185</v>
      </c>
      <c r="M11" s="66"/>
      <c r="N11" s="66"/>
    </row>
    <row r="12" spans="1:15" ht="15.75" customHeight="1" x14ac:dyDescent="0.2">
      <c r="A12" s="66"/>
      <c r="B12" s="66" t="s">
        <v>201</v>
      </c>
      <c r="C12" s="66"/>
      <c r="D12" s="66" t="s">
        <v>175</v>
      </c>
      <c r="E12" s="66"/>
      <c r="F12" s="66"/>
      <c r="G12" s="66"/>
      <c r="H12" s="66"/>
      <c r="I12" s="66"/>
      <c r="J12" s="66"/>
      <c r="K12" s="66"/>
      <c r="L12" s="66" t="s">
        <v>182</v>
      </c>
      <c r="M12" s="66"/>
      <c r="N12" s="66"/>
    </row>
    <row r="13" spans="1:15" ht="15.75" customHeight="1" x14ac:dyDescent="0.2">
      <c r="A13" s="66"/>
      <c r="B13" s="66" t="s">
        <v>202</v>
      </c>
      <c r="C13" s="66"/>
      <c r="D13" s="66" t="s">
        <v>205</v>
      </c>
      <c r="E13" s="66"/>
      <c r="F13" s="66"/>
      <c r="G13" s="66"/>
      <c r="H13" s="66"/>
      <c r="I13" s="66"/>
      <c r="J13" s="66"/>
      <c r="K13" s="66"/>
      <c r="L13" s="66" t="s">
        <v>181</v>
      </c>
      <c r="M13" s="66"/>
      <c r="N13" s="66"/>
    </row>
    <row r="14" spans="1:15" ht="15.75" customHeight="1" x14ac:dyDescent="0.2">
      <c r="A14" s="66"/>
      <c r="B14" s="66" t="s">
        <v>164</v>
      </c>
      <c r="C14" s="66"/>
      <c r="D14" s="66" t="s">
        <v>206</v>
      </c>
      <c r="E14" s="66"/>
      <c r="F14" s="66"/>
      <c r="G14" s="66"/>
      <c r="H14" s="66"/>
      <c r="I14" s="66"/>
      <c r="J14" s="66"/>
      <c r="K14" s="66"/>
      <c r="L14" s="66" t="s">
        <v>180</v>
      </c>
      <c r="M14" s="66"/>
      <c r="N14" s="66"/>
    </row>
    <row r="15" spans="1:15" ht="15.75" customHeight="1" x14ac:dyDescent="0.2">
      <c r="A15" s="66"/>
      <c r="B15" s="66" t="s">
        <v>213</v>
      </c>
      <c r="C15" s="66"/>
      <c r="D15" s="66" t="s">
        <v>148</v>
      </c>
      <c r="E15" s="66"/>
      <c r="F15" s="66"/>
      <c r="G15" s="66"/>
      <c r="H15" s="66"/>
      <c r="I15" s="66"/>
      <c r="J15" s="66"/>
      <c r="K15" s="66"/>
      <c r="L15" s="66" t="s">
        <v>183</v>
      </c>
      <c r="M15" s="66"/>
      <c r="N15" s="66"/>
    </row>
    <row r="16" spans="1:15" ht="15.75" customHeight="1" x14ac:dyDescent="0.2">
      <c r="A16" s="66"/>
      <c r="B16" s="66" t="s">
        <v>214</v>
      </c>
      <c r="C16" s="66"/>
      <c r="D16" s="66" t="s">
        <v>199</v>
      </c>
      <c r="E16" s="66"/>
      <c r="F16" s="66"/>
      <c r="G16" s="66"/>
      <c r="H16" s="66"/>
      <c r="I16" s="66"/>
      <c r="J16" s="66"/>
      <c r="K16" s="66"/>
      <c r="L16" s="66" t="s">
        <v>184</v>
      </c>
      <c r="M16" s="66"/>
      <c r="N16" s="66"/>
    </row>
    <row r="17" spans="1:14" ht="15.75" customHeight="1" x14ac:dyDescent="0.2">
      <c r="A17" s="66"/>
      <c r="B17" s="66" t="s">
        <v>161</v>
      </c>
      <c r="C17" s="66"/>
      <c r="D17" s="66" t="s">
        <v>191</v>
      </c>
      <c r="E17" s="66"/>
      <c r="F17" s="66"/>
      <c r="G17" s="66"/>
      <c r="H17" s="66"/>
      <c r="I17" s="66"/>
      <c r="J17" s="66"/>
      <c r="K17" s="66"/>
      <c r="L17" s="66" t="s">
        <v>72</v>
      </c>
      <c r="M17" s="66"/>
      <c r="N17" s="66"/>
    </row>
    <row r="18" spans="1:14" ht="15.75" customHeight="1" x14ac:dyDescent="0.2">
      <c r="A18" s="66"/>
      <c r="B18" s="81" t="s">
        <v>100</v>
      </c>
      <c r="C18" s="66"/>
      <c r="D18" s="66" t="s">
        <v>113</v>
      </c>
      <c r="E18" s="66"/>
      <c r="F18" s="66"/>
      <c r="G18" s="66"/>
      <c r="H18" s="66"/>
      <c r="I18" s="66"/>
      <c r="J18" s="66"/>
      <c r="K18" s="66"/>
      <c r="L18" s="66" t="s">
        <v>143</v>
      </c>
      <c r="M18" s="66"/>
      <c r="N18" s="66"/>
    </row>
    <row r="19" spans="1:14" ht="15.75" customHeight="1" x14ac:dyDescent="0.2">
      <c r="A19" s="66"/>
      <c r="B19" s="66" t="s">
        <v>165</v>
      </c>
      <c r="C19" s="66"/>
      <c r="D19" s="66" t="s">
        <v>106</v>
      </c>
      <c r="E19" s="66"/>
      <c r="F19" s="66"/>
      <c r="G19" s="66"/>
      <c r="H19" s="66"/>
      <c r="I19" s="66"/>
      <c r="J19" s="66"/>
      <c r="K19" s="66"/>
      <c r="M19" s="66"/>
      <c r="N19" s="66"/>
    </row>
    <row r="20" spans="1:14" ht="15.75" customHeight="1" x14ac:dyDescent="0.2">
      <c r="A20" s="66"/>
      <c r="B20" s="66" t="s">
        <v>166</v>
      </c>
      <c r="C20" s="66"/>
      <c r="D20" s="66" t="s">
        <v>112</v>
      </c>
      <c r="E20" s="66"/>
      <c r="F20" s="66"/>
      <c r="G20" s="66"/>
      <c r="H20" s="66"/>
      <c r="I20" s="66"/>
      <c r="J20" s="66"/>
      <c r="K20" s="66"/>
      <c r="M20" s="66"/>
      <c r="N20" s="66"/>
    </row>
    <row r="21" spans="1:14" ht="15.75" customHeight="1" x14ac:dyDescent="0.2">
      <c r="A21" s="66"/>
      <c r="B21" s="81" t="s">
        <v>160</v>
      </c>
      <c r="C21" s="66"/>
      <c r="D21" s="66" t="s">
        <v>111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</row>
    <row r="22" spans="1:14" ht="15.75" customHeight="1" x14ac:dyDescent="0.2">
      <c r="A22" s="66"/>
      <c r="B22" s="81" t="s">
        <v>172</v>
      </c>
      <c r="C22" s="66"/>
      <c r="D22" s="66" t="s">
        <v>108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4" ht="15.75" customHeight="1" x14ac:dyDescent="0.2">
      <c r="A23" s="66"/>
      <c r="B23" s="81" t="s">
        <v>174</v>
      </c>
      <c r="C23" s="66"/>
      <c r="D23" s="66" t="s">
        <v>107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</row>
    <row r="24" spans="1:14" ht="15.75" customHeight="1" x14ac:dyDescent="0.2">
      <c r="A24" s="66"/>
      <c r="B24" s="81" t="s">
        <v>173</v>
      </c>
      <c r="C24" s="66"/>
      <c r="D24" s="66" t="s">
        <v>110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</row>
    <row r="25" spans="1:14" ht="15.75" customHeight="1" x14ac:dyDescent="0.2">
      <c r="A25" s="66"/>
      <c r="B25" s="81" t="s">
        <v>171</v>
      </c>
      <c r="C25" s="66"/>
      <c r="D25" s="66" t="s">
        <v>109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</row>
    <row r="26" spans="1:14" ht="15.75" customHeight="1" x14ac:dyDescent="0.2">
      <c r="B26" s="66" t="s">
        <v>71</v>
      </c>
      <c r="D26" s="66" t="s">
        <v>176</v>
      </c>
    </row>
    <row r="27" spans="1:14" ht="15.75" customHeight="1" x14ac:dyDescent="0.2">
      <c r="B27" s="66" t="s">
        <v>69</v>
      </c>
      <c r="D27" s="66" t="s">
        <v>69</v>
      </c>
    </row>
    <row r="28" spans="1:14" ht="15.75" customHeight="1" x14ac:dyDescent="0.2"/>
    <row r="29" spans="1:14" ht="15.75" customHeight="1" x14ac:dyDescent="0.2"/>
    <row r="30" spans="1:14" ht="15.75" customHeight="1" x14ac:dyDescent="0.2"/>
    <row r="31" spans="1:14" ht="15.75" customHeight="1" x14ac:dyDescent="0.2"/>
    <row r="32" spans="1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L2:L18">
    <sortCondition ref="L2:L18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Spikes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2023-03-02T22:12:12Z</dcterms:modified>
</cp:coreProperties>
</file>