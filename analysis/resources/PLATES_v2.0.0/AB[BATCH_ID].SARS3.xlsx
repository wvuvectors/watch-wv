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68DCDB85-3786-6E4F-AC74-760EB48A39DB}" xr6:coauthVersionLast="47" xr6:coauthVersionMax="47" xr10:uidLastSave="{00000000-0000-0000-0000-000000000000}"/>
  <bookViews>
    <workbookView xWindow="0" yWindow="760" windowWidth="30240" windowHeight="17900" activeTab="7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pike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<sst xmlns="http://schemas.openxmlformats.org/spreadsheetml/2006/main" count="343" uniqueCount="206">
  <si>
    <t>Assay</t>
  </si>
  <si>
    <t>Date</t>
  </si>
  <si>
    <t>Run by</t>
  </si>
  <si>
    <t>Machine</t>
  </si>
  <si>
    <t>ddPCR Formulation Worksheet</t>
  </si>
  <si>
    <t>Worksheet Version</t>
  </si>
  <si>
    <t>v2.1.1</t>
  </si>
  <si>
    <t>Enter or confirm any values that appear in the blue cells.</t>
  </si>
  <si>
    <t>Worksheet Release Date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</si>
  <si>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</si>
  <si>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</si>
  <si>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</si>
  <si>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</si>
  <si>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</si>
  <si>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</si>
  <si>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</si>
  <si>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</si>
  <si>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</si>
  <si>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</si>
  <si>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</si>
  <si>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</si>
  <si>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</si>
  <si>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</si>
  <si>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</si>
  <si>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</si>
  <si>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</si>
  <si>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</si>
  <si>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</si>
  <si>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</si>
  <si>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</si>
  <si>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</si>
  <si>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</si>
  <si>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</si>
  <si>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</si>
  <si>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</si>
  <si>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</si>
  <si>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</si>
  <si>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</si>
  <si>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</si>
  <si>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</si>
  <si>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</si>
  <si>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</si>
  <si>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</si>
  <si>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</si>
  <si>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</si>
  <si>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</si>
  <si>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</si>
  <si>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</si>
  <si>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</si>
  <si>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</si>
  <si>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</si>
  <si>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</si>
  <si>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</si>
  <si>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</si>
  <si>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</si>
  <si>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</si>
  <si>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</si>
  <si>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</si>
  <si>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</si>
  <si>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</si>
  <si>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</si>
  <si>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</si>
  <si>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</si>
  <si>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</si>
  <si>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</si>
  <si>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</si>
  <si>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</si>
  <si>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</si>
  <si>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</si>
  <si>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</si>
  <si>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</si>
  <si>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</si>
  <si>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</si>
  <si>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Norovirus (dEXD27733734)</t>
  </si>
  <si>
    <t>Adenovirus (dEXD92003507)</t>
  </si>
  <si>
    <t>HF183 (dEXD79194188)</t>
  </si>
  <si>
    <t>Enterococcus (dEXD14924415)</t>
  </si>
  <si>
    <t>Legionella (dEXD53463961)</t>
  </si>
  <si>
    <t>SARS-CoV-2 ddPCR Triplex (dEXD28563542)</t>
  </si>
  <si>
    <t>SARS-CoV-2</t>
  </si>
  <si>
    <t>Variant SARS-CoV-2 Multiplex (dEXD15841942)</t>
  </si>
  <si>
    <t>SARS-CoV-2 N1, N2 Duplex (dEXD15704188)</t>
  </si>
  <si>
    <t>SARS-CoV-2 N1 (dEXD54243734)</t>
  </si>
  <si>
    <t>SARS-CoV-2 N2 (dEXD28513507)</t>
  </si>
  <si>
    <t>SARS-CoV-2 HVdel69-70 (dMDS944624402)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</si>
  <si>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</si>
  <si>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</si>
  <si>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</si>
  <si>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</si>
  <si>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</si>
  <si>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</si>
  <si>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</si>
  <si>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</si>
  <si>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</si>
  <si>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</si>
  <si>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</si>
  <si>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</si>
  <si>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</si>
  <si>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</si>
  <si>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</si>
  <si>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</si>
  <si>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</si>
  <si>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</si>
  <si>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</si>
  <si>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</si>
  <si>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</si>
  <si>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</si>
  <si>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</si>
  <si>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</si>
  <si>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</si>
  <si>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</si>
  <si>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</si>
  <si>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</si>
  <si>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</si>
  <si>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</si>
  <si>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</si>
  <si>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</si>
  <si>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</si>
  <si>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Genes</t>
  </si>
  <si>
    <t>N1</t>
  </si>
  <si>
    <t>N2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</si>
  <si>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</si>
  <si>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</si>
  <si>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</si>
  <si>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</si>
  <si>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</si>
  <si>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</si>
  <si>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</si>
  <si>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</si>
  <si>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</si>
  <si>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</si>
  <si>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</si>
  <si>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</si>
  <si>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</si>
  <si>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</si>
  <si>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</si>
  <si>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</si>
  <si>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</si>
  <si>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</si>
  <si>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G1</t>
  </si>
  <si>
    <t>Control 1 Well</t>
  </si>
  <si>
    <t>Control 2 Well</t>
  </si>
  <si>
    <t>G2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</si>
  <si>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</si>
  <si>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</si>
  <si>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</si>
  <si>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</si>
  <si>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</si>
  <si>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</si>
  <si>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</si>
  <si>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</si>
  <si>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</si>
  <si>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</si>
  <si>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</si>
  <si>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</si>
  <si>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Mpox Virus (MPXV)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</si>
  <si>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</si>
  <si>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</si>
  <si>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</si>
  <si>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</si>
  <si>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</si>
  <si>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</si>
  <si>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</si>
  <si>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</si>
  <si>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</si>
  <si>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</si>
  <si>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</si>
  <si>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Spike-In</t>
  </si>
  <si>
    <t>(Same as target itself)</t>
  </si>
  <si>
    <t>Record for each spiked well on the "Spikes" sheet, as copies/µL reaction of the spike.</t>
  </si>
  <si>
    <t>Spikes</t>
  </si>
  <si>
    <t>Pre-concentration, Biological</t>
  </si>
  <si>
    <t>Pre-concentration, Nucleic Acid</t>
  </si>
  <si>
    <t>Post-concentration, Biological</t>
  </si>
  <si>
    <t>Post-concentration, Nucleic Acid</t>
  </si>
  <si>
    <t>Pre-concentration, Other</t>
  </si>
  <si>
    <t>Post-concentration, Other</t>
  </si>
  <si>
    <t>Post-extraction</t>
  </si>
  <si>
    <t>Gene or Genomic Element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</si>
  <si>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</si>
  <si>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</si>
  <si>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</si>
  <si>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</si>
  <si>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</si>
  <si>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</si>
  <si>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</si>
  <si>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</si>
  <si>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</si>
  <si>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Influenza Virus (Flu)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</si>
  <si>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</si>
  <si>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</si>
  <si>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</si>
  <si>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</si>
  <si>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</si>
  <si>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</si>
  <si>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</si>
  <si>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</si>
  <si>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SARS-CoV-2 N1, N2, BRSV N Triplex (dEXD41434415)</t>
  </si>
  <si>
    <t>MPXV Clade I C3b, Clade II TNFR Duplex (Custom)</t>
  </si>
  <si>
    <t>MPXV Clade I C3b (dEXD77548788)</t>
  </si>
  <si>
    <t>MPXV Clade II TNFR (dEXD51818561)</t>
  </si>
  <si>
    <t>RSV A/B G (dEXD77482599)</t>
  </si>
  <si>
    <t>Influenza A M, B NEP/NS1, Human RNAse P Triplex (dEXD84844642)</t>
  </si>
  <si>
    <t>SARS-CoV-2 N1, N2, Human RNAse P Triplex (dEXD28563542)</t>
  </si>
  <si>
    <t>TNFR</t>
  </si>
  <si>
    <t>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</si>
</sst>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8" fillId="2" borderId="5" xfId="0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2" borderId="5" xfId="0" applyFont="1" applyFill="1" applyBorder="1" applyAlignment="1">
      <alignment horizontal="right"/>
    </xf>
    <xf numFmtId="0" fontId="0" fillId="2" borderId="5" xfId="0" applyFill="1" applyBorder="1"/>
    <xf numFmtId="0" fontId="10" fillId="4" borderId="12" xfId="0" applyFont="1" applyFill="1" applyBorder="1" applyAlignment="1">
      <alignment horizontal="right" vertical="center"/>
    </xf>
    <xf numFmtId="0" fontId="10" fillId="4" borderId="13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4" borderId="16" xfId="0" applyFont="1" applyFill="1" applyBorder="1" applyAlignment="1">
      <alignment horizontal="right"/>
    </xf>
    <xf numFmtId="0" fontId="19" fillId="4" borderId="17" xfId="0" applyFont="1" applyFill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9" fillId="4" borderId="18" xfId="0" applyFont="1" applyFill="1" applyBorder="1" applyAlignment="1">
      <alignment horizontal="right"/>
    </xf>
    <xf numFmtId="0" fontId="19" fillId="4" borderId="19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22" fillId="3" borderId="5" xfId="0" applyFont="1" applyFill="1" applyBorder="1"/>
    <xf numFmtId="0" fontId="22" fillId="3" borderId="8" xfId="0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12" fillId="0" borderId="0" xfId="0" applyFont="1" applyAlignment="1">
      <alignment horizontal="center" vertical="center"/>
    </xf>
    <xf numFmtId="0" fontId="24" fillId="18" borderId="23" xfId="0" applyFont="1" applyFill="1" applyBorder="1" applyAlignment="1">
      <alignment horizontal="left" vertical="center"/>
    </xf>
    <xf numFmtId="0" fontId="24" fillId="18" borderId="24" xfId="0" applyFont="1" applyFill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4" fillId="18" borderId="25" xfId="0" applyFont="1" applyFill="1" applyBorder="1" applyAlignment="1">
      <alignment horizontal="left" vertical="center"/>
    </xf>
    <xf numFmtId="0" fontId="24" fillId="18" borderId="26" xfId="0" applyFont="1" applyFill="1" applyBorder="1" applyAlignment="1">
      <alignment vertical="center"/>
    </xf>
    <xf numFmtId="0" fontId="26" fillId="10" borderId="0" xfId="0" applyFont="1" applyFill="1" applyAlignment="1">
      <alignment horizontal="left" vertical="center"/>
    </xf>
    <xf numFmtId="14" fontId="26" fillId="10" borderId="0" xfId="0" applyNumberFormat="1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2" borderId="8" xfId="0" applyFont="1" applyFill="1" applyBorder="1" applyAlignment="1">
      <alignment horizontal="left" vertical="center"/>
    </xf>
    <xf numFmtId="0" fontId="26" fillId="16" borderId="8" xfId="0" applyFont="1" applyFill="1" applyBorder="1" applyAlignment="1">
      <alignment horizontal="left" vertical="center"/>
    </xf>
    <xf numFmtId="0" fontId="26" fillId="17" borderId="0" xfId="0" applyFont="1" applyFill="1" applyAlignment="1">
      <alignment vertical="center"/>
    </xf>
    <xf numFmtId="0" fontId="26" fillId="13" borderId="8" xfId="0" applyFont="1" applyFill="1" applyBorder="1" applyAlignment="1">
      <alignment horizontal="left" vertical="center"/>
    </xf>
    <xf numFmtId="0" fontId="26" fillId="11" borderId="0" xfId="0" applyFont="1" applyFill="1" applyAlignment="1">
      <alignment vertical="center"/>
    </xf>
    <xf numFmtId="0" fontId="26" fillId="11" borderId="8" xfId="0" applyFont="1" applyFill="1" applyBorder="1" applyAlignment="1">
      <alignment horizontal="left" vertical="center"/>
    </xf>
    <xf numFmtId="0" fontId="26" fillId="11" borderId="0" xfId="0" applyFont="1" applyFill="1" applyAlignment="1">
      <alignment horizontal="left" vertical="center"/>
    </xf>
    <xf numFmtId="0" fontId="26" fillId="15" borderId="8" xfId="0" applyFont="1" applyFill="1" applyBorder="1" applyAlignment="1">
      <alignment horizontal="left" vertical="center"/>
    </xf>
    <xf numFmtId="0" fontId="26" fillId="14" borderId="0" xfId="0" applyFont="1" applyFill="1" applyAlignment="1">
      <alignment vertical="center"/>
    </xf>
    <xf numFmtId="0" fontId="26" fillId="0" borderId="8" xfId="0" applyFont="1" applyBorder="1" applyAlignment="1">
      <alignment vertical="center"/>
    </xf>
    <xf numFmtId="0" fontId="26" fillId="14" borderId="8" xfId="0" applyFont="1" applyFill="1" applyBorder="1" applyAlignment="1">
      <alignment horizontal="left" vertical="center"/>
    </xf>
    <xf numFmtId="0" fontId="26" fillId="14" borderId="8" xfId="0" applyFont="1" applyFill="1" applyBorder="1" applyAlignment="1">
      <alignment vertical="center"/>
    </xf>
    <xf numFmtId="0" fontId="26" fillId="12" borderId="22" xfId="0" applyFont="1" applyFill="1" applyBorder="1" applyAlignment="1">
      <alignment horizontal="left" vertical="center"/>
    </xf>
    <xf numFmtId="0" fontId="26" fillId="14" borderId="21" xfId="0" applyFont="1" applyFill="1" applyBorder="1" applyAlignment="1">
      <alignment horizontal="left" vertical="center"/>
    </xf>
    <xf numFmtId="0" fontId="23" fillId="0" borderId="0" xfId="0" applyFont="1"/>
    <xf numFmtId="0" fontId="27" fillId="0" borderId="8" xfId="0" applyFont="1" applyBorder="1" applyAlignment="1">
      <alignment horizontal="center" vertical="center"/>
    </xf>
    <xf numFmtId="0" fontId="26" fillId="12" borderId="8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0" fillId="0" borderId="0" xfId="0" quotePrefix="1"/>
    <xf numFmtId="0" fontId="26" fillId="0" borderId="21" xfId="0" applyFont="1" applyBorder="1" applyAlignment="1">
      <alignment vertical="center"/>
    </xf>
    <xf numFmtId="0" fontId="26" fillId="10" borderId="27" xfId="0" applyFont="1" applyFill="1" applyBorder="1" applyAlignment="1">
      <alignment horizontal="left" vertical="center"/>
    </xf>
    <xf numFmtId="0" fontId="26" fillId="10" borderId="8" xfId="0" applyFont="1" applyFill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19" fillId="2" borderId="9" xfId="0" applyFont="1" applyFill="1" applyBorder="1" applyAlignment="1">
      <alignment horizontal="center" vertical="center"/>
    </xf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left" vertical="center" wrapText="1"/>
    </xf>
    <xf numFmtId="0" fontId="0" fillId="0" borderId="0" xfId="0"/>
    <xf numFmtId="0" fontId="19" fillId="7" borderId="14" xfId="0" applyFont="1" applyFill="1" applyBorder="1" applyAlignment="1">
      <alignment horizontal="right" vertical="center"/>
    </xf>
    <xf numFmtId="0" fontId="13" fillId="0" borderId="15" xfId="0" applyFont="1" applyBorder="1"/>
    <xf numFmtId="0" fontId="12" fillId="3" borderId="2" xfId="0" applyFont="1" applyFill="1" applyBorder="1" applyAlignment="1">
      <alignment horizontal="left" vertical="center"/>
    </xf>
    <xf numFmtId="0" fontId="13" fillId="0" borderId="3" xfId="0" applyFont="1" applyBorder="1"/>
    <xf numFmtId="0" fontId="13" fillId="0" borderId="4" xfId="0" applyFont="1" applyBorder="1"/>
    <xf numFmtId="0" fontId="15" fillId="2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3" fillId="0" borderId="8" xfId="0" applyFont="1" applyBorder="1"/>
    <xf numFmtId="0" fontId="1" fillId="0" borderId="0" xfId="0" applyFont="1"/>
    <xf numFmtId="0" fontId="26" fillId="17" borderId="8" xfId="0" applyFont="1" applyFill="1" applyBorder="1" applyAlignment="1">
      <alignment horizontal="left" vertical="center"/>
    </xf>
    <xf numFmtId="0" fontId="25" fillId="17" borderId="8" xfId="0" applyFont="1" applyFill="1" applyBorder="1" applyAlignment="1">
      <alignment horizontal="left" vertical="center"/>
    </xf>
    <xf numFmtId="0" fontId="24" fillId="12" borderId="8" xfId="0" applyFont="1" applyFill="1" applyBorder="1" applyAlignment="1">
      <alignment vertical="center"/>
    </xf>
    <xf numFmtId="0" fontId="24" fillId="17" borderId="0" xfId="0" applyFont="1" applyFill="1" applyAlignment="1">
      <alignment vertical="center"/>
    </xf>
    <xf numFmtId="0" fontId="24" fillId="17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24"/>
  <sheetViews>
    <sheetView topLeftCell="A16" zoomScale="89" zoomScaleNormal="70" workbookViewId="0">
      <selection activeCell="C52" sqref="C52"/>
    </sheetView>
  </sheetViews>
  <sheetFormatPr baseColWidth="10" defaultColWidth="11.42578125" defaultRowHeight="15" customHeight="1" x14ac:dyDescent="0.2"/>
  <cols>
    <col min="1" max="1" width="51.5703125" style="56" customWidth="1"/>
    <col min="2" max="2" width="58.28515625" style="56" customWidth="1"/>
    <col min="3" max="3" width="93.85546875" style="56" customWidth="1"/>
    <col min="4" max="26" width="26" style="56" customWidth="1"/>
    <col min="27" max="16384" width="11.42578125" style="56"/>
  </cols>
  <sheetData>
    <row r="1" spans="1:26" ht="32" customHeight="1" x14ac:dyDescent="0.2">
      <c r="A1" s="52" t="s">
        <v>144</v>
      </c>
      <c r="B1" s="53" t="s">
        <v>0</v>
      </c>
      <c r="C1" s="54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32" customHeight="1" thickBot="1" x14ac:dyDescent="0.25">
      <c r="A2" s="57" t="s">
        <v>145</v>
      </c>
      <c r="B2" s="58" t="s">
        <v>92</v>
      </c>
      <c r="C2" s="54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30" customHeight="1" x14ac:dyDescent="0.2">
      <c r="A3" s="59" t="s">
        <v>1</v>
      </c>
      <c r="B3" s="60">
        <v>1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30" customHeight="1" x14ac:dyDescent="0.2">
      <c r="A4" s="55" t="s">
        <v>2</v>
      </c>
      <c r="B4" s="55" t="s">
        <v>134</v>
      </c>
      <c r="C4" s="61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30" customHeight="1" x14ac:dyDescent="0.2">
      <c r="A5" s="59" t="s">
        <v>3</v>
      </c>
      <c r="B5" s="59" t="s">
        <v>156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30" customHeight="1" x14ac:dyDescent="0.2">
      <c r="A6" s="55" t="s">
        <v>154</v>
      </c>
      <c r="B6" s="55" t="s">
        <v>153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30" customHeight="1" x14ac:dyDescent="0.2">
      <c r="A7" s="85" t="s">
        <v>146</v>
      </c>
      <c r="B7" s="85" t="s">
        <v>163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30" customHeight="1" x14ac:dyDescent="0.2">
      <c r="A8" s="55" t="s">
        <v>137</v>
      </c>
      <c r="B8" s="55">
        <v>5</v>
      </c>
      <c r="C8" s="12" t="s">
        <v>138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30" customHeight="1" x14ac:dyDescent="0.2">
      <c r="A9" s="59" t="s">
        <v>150</v>
      </c>
      <c r="B9" s="59">
        <v>20</v>
      </c>
      <c r="C9" s="62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30" customHeight="1" x14ac:dyDescent="0.2">
      <c r="A10" s="55" t="s">
        <v>98</v>
      </c>
      <c r="B10" s="55" t="s">
        <v>70</v>
      </c>
      <c r="C10" s="62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30" customHeight="1" x14ac:dyDescent="0.2">
      <c r="A11" s="59" t="s">
        <v>96</v>
      </c>
      <c r="B11" s="59" t="s">
        <v>162</v>
      </c>
      <c r="C11" s="62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30" customHeight="1" x14ac:dyDescent="0.2">
      <c r="A12" s="55" t="s">
        <v>129</v>
      </c>
      <c r="B12" s="55" t="s">
        <v>100</v>
      </c>
      <c r="C12" s="62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30" customHeight="1" x14ac:dyDescent="0.2">
      <c r="A13" s="59" t="s">
        <v>149</v>
      </c>
      <c r="B13" s="59" t="s">
        <v>114</v>
      </c>
      <c r="C13" s="62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30" customHeight="1" x14ac:dyDescent="0.2">
      <c r="A14" s="55" t="s">
        <v>130</v>
      </c>
      <c r="B14" s="55" t="s">
        <v>78</v>
      </c>
      <c r="C14" s="62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30" customHeight="1" x14ac:dyDescent="0.2">
      <c r="A15" s="86" t="s">
        <v>131</v>
      </c>
      <c r="B15" s="86" t="s">
        <v>162</v>
      </c>
      <c r="C15" s="80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30" customHeight="1" thickBot="1" x14ac:dyDescent="0.25">
      <c r="A16" s="82" t="s">
        <v>147</v>
      </c>
      <c r="B16" s="84" t="s">
        <v>59</v>
      </c>
      <c r="C16" s="82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5" customHeight="1" x14ac:dyDescent="0.2">
      <c r="A17" s="81" t="s">
        <v>148</v>
      </c>
      <c r="B17" s="81" t="s">
        <v>61</v>
      </c>
      <c r="C17" s="106" t="s">
        <v>168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5" customHeight="1" x14ac:dyDescent="0.2">
      <c r="A18" s="65" t="s">
        <v>116</v>
      </c>
      <c r="B18" s="65" t="s">
        <v>79</v>
      </c>
      <c r="C18" s="105" t="s">
        <v>167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5" customHeight="1" x14ac:dyDescent="0.2">
      <c r="A19" s="66" t="s">
        <v>133</v>
      </c>
      <c r="B19" s="67" t="s">
        <v>119</v>
      </c>
      <c r="C19" s="107" t="s">
        <v>168</v>
      </c>
    </row>
    <row r="20" spans="1:26" ht="25" customHeight="1" x14ac:dyDescent="0.2">
      <c r="A20" s="65" t="s">
        <v>132</v>
      </c>
      <c r="B20" s="65" t="s">
        <v>110</v>
      </c>
      <c r="C20" s="10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5" customHeight="1" x14ac:dyDescent="0.2">
      <c r="A21" s="65" t="s">
        <v>90</v>
      </c>
      <c r="B21" s="65" t="s">
        <v>85</v>
      </c>
      <c r="C21" s="10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5" customHeight="1" x14ac:dyDescent="0.2">
      <c r="A22" s="65" t="s">
        <v>143</v>
      </c>
      <c r="B22" s="65">
        <v>0</v>
      </c>
      <c r="C22" s="108" t="s">
        <v>169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5" customHeight="1" x14ac:dyDescent="0.2">
      <c r="A23" s="68" t="s">
        <v>93</v>
      </c>
      <c r="B23" s="69" t="s">
        <v>103</v>
      </c>
      <c r="C23" s="64"/>
    </row>
    <row r="24" spans="1:26" ht="25" customHeight="1" x14ac:dyDescent="0.2">
      <c r="A24" s="68" t="s">
        <v>104</v>
      </c>
      <c r="B24" s="70" t="s">
        <v>158</v>
      </c>
      <c r="C24" s="6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5" customHeight="1" x14ac:dyDescent="0.2">
      <c r="A25" s="68" t="s">
        <v>88</v>
      </c>
      <c r="B25" s="69" t="s">
        <v>158</v>
      </c>
      <c r="C25" s="64"/>
    </row>
    <row r="26" spans="1:26" ht="25" customHeight="1" x14ac:dyDescent="0.2">
      <c r="A26" s="71" t="s">
        <v>140</v>
      </c>
      <c r="B26" s="70" t="s">
        <v>139</v>
      </c>
      <c r="C26" s="64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5" customHeight="1" x14ac:dyDescent="0.2">
      <c r="A27" s="71" t="s">
        <v>135</v>
      </c>
      <c r="B27" s="71">
        <v>0</v>
      </c>
      <c r="C27" s="64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25" customHeight="1" x14ac:dyDescent="0.2">
      <c r="A28" s="72" t="s">
        <v>94</v>
      </c>
      <c r="B28" s="73" t="s">
        <v>102</v>
      </c>
      <c r="C28" s="7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25" customHeight="1" x14ac:dyDescent="0.2">
      <c r="A29" s="75" t="s">
        <v>105</v>
      </c>
      <c r="B29" s="75" t="s">
        <v>109</v>
      </c>
      <c r="C29" s="62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5" customHeight="1" x14ac:dyDescent="0.2">
      <c r="A30" s="72" t="s">
        <v>89</v>
      </c>
      <c r="B30" s="76" t="s">
        <v>85</v>
      </c>
      <c r="C30" s="7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25" customHeight="1" x14ac:dyDescent="0.2">
      <c r="A31" s="75" t="s">
        <v>141</v>
      </c>
      <c r="B31" s="75" t="s">
        <v>142</v>
      </c>
      <c r="C31" s="62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25" customHeight="1" thickBot="1" x14ac:dyDescent="0.25">
      <c r="A32" s="78" t="s">
        <v>136</v>
      </c>
      <c r="B32" s="75">
        <v>100</v>
      </c>
      <c r="C32" s="63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1" customHeight="1" x14ac:dyDescent="0.2">
      <c r="A33" s="81" t="s">
        <v>148</v>
      </c>
      <c r="B33" s="77" t="s">
        <v>66</v>
      </c>
      <c r="C33" s="106" t="s">
        <v>168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1" customHeight="1" x14ac:dyDescent="0.2">
      <c r="A34" s="65" t="s">
        <v>116</v>
      </c>
      <c r="B34" s="65" t="s">
        <v>79</v>
      </c>
      <c r="C34" s="105" t="s">
        <v>167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21" customHeight="1" x14ac:dyDescent="0.2">
      <c r="A35" s="66" t="s">
        <v>133</v>
      </c>
      <c r="B35" s="67" t="s">
        <v>120</v>
      </c>
      <c r="C35" s="107" t="s">
        <v>168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1" customHeight="1" x14ac:dyDescent="0.2">
      <c r="A36" s="65" t="s">
        <v>132</v>
      </c>
      <c r="B36" s="65" t="s">
        <v>110</v>
      </c>
      <c r="C36" s="104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1" customHeight="1" x14ac:dyDescent="0.2">
      <c r="A37" s="65" t="s">
        <v>90</v>
      </c>
      <c r="B37" s="65" t="s">
        <v>85</v>
      </c>
      <c r="C37" s="10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1" customHeight="1" x14ac:dyDescent="0.2">
      <c r="A38" s="65" t="s">
        <v>143</v>
      </c>
      <c r="B38" s="65">
        <v>0</v>
      </c>
      <c r="C38" s="108" t="s">
        <v>169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1" customHeight="1" x14ac:dyDescent="0.2">
      <c r="A39" s="68" t="s">
        <v>93</v>
      </c>
      <c r="B39" s="69" t="s">
        <v>103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1" customHeight="1" x14ac:dyDescent="0.2">
      <c r="A40" s="68" t="s">
        <v>104</v>
      </c>
      <c r="B40" s="70" t="s">
        <v>158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1" customHeight="1" x14ac:dyDescent="0.2">
      <c r="A41" s="68" t="s">
        <v>88</v>
      </c>
      <c r="B41" s="69" t="s">
        <v>158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21" customHeight="1" x14ac:dyDescent="0.2">
      <c r="A42" s="71" t="s">
        <v>140</v>
      </c>
      <c r="B42" s="70" t="s">
        <v>164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1" customHeight="1" x14ac:dyDescent="0.2">
      <c r="A43" s="71" t="s">
        <v>135</v>
      </c>
      <c r="B43" s="71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1" customHeight="1" x14ac:dyDescent="0.2">
      <c r="A44" s="72" t="s">
        <v>94</v>
      </c>
      <c r="B44" s="73" t="s">
        <v>102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1" customHeight="1" x14ac:dyDescent="0.2">
      <c r="A45" s="75" t="s">
        <v>105</v>
      </c>
      <c r="B45" s="75" t="s">
        <v>109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1" customHeight="1" x14ac:dyDescent="0.2">
      <c r="A46" s="72" t="s">
        <v>89</v>
      </c>
      <c r="B46" s="76" t="s">
        <v>85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1" customHeight="1" x14ac:dyDescent="0.2">
      <c r="A47" s="75" t="s">
        <v>141</v>
      </c>
      <c r="B47" s="75" t="s">
        <v>164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21" customHeight="1" thickBot="1" x14ac:dyDescent="0.25">
      <c r="A48" s="78" t="s">
        <v>136</v>
      </c>
      <c r="B48" s="78">
        <v>600</v>
      </c>
      <c r="C48" s="63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21" customHeight="1" x14ac:dyDescent="0.2">
      <c r="A49" s="81" t="s">
        <v>148</v>
      </c>
      <c r="B49" s="77" t="s">
        <v>63</v>
      </c>
      <c r="C49" s="106" t="s">
        <v>168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21" customHeight="1" x14ac:dyDescent="0.2">
      <c r="A50" s="65" t="s">
        <v>116</v>
      </c>
      <c r="B50" s="65" t="s">
        <v>187</v>
      </c>
      <c r="C50" s="105" t="s">
        <v>167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21" customHeight="1" x14ac:dyDescent="0.2">
      <c r="A51" s="66" t="s">
        <v>133</v>
      </c>
      <c r="B51" s="67" t="s">
        <v>128</v>
      </c>
      <c r="C51" s="107" t="s">
        <v>168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21" customHeight="1" x14ac:dyDescent="0.2">
      <c r="A52" s="65" t="s">
        <v>132</v>
      </c>
      <c r="B52" s="65" t="s">
        <v>111</v>
      </c>
      <c r="C52" s="104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21" customHeight="1" x14ac:dyDescent="0.2">
      <c r="A53" s="65" t="s">
        <v>90</v>
      </c>
      <c r="B53" s="65" t="s">
        <v>85</v>
      </c>
      <c r="C53" s="104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21" customHeight="1" x14ac:dyDescent="0.2">
      <c r="A54" s="65" t="s">
        <v>143</v>
      </c>
      <c r="B54" s="65">
        <v>0</v>
      </c>
      <c r="C54" s="108" t="s">
        <v>169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21" customHeight="1" x14ac:dyDescent="0.2">
      <c r="A55" s="68" t="s">
        <v>93</v>
      </c>
      <c r="B55" s="69" t="s">
        <v>158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21" customHeight="1" x14ac:dyDescent="0.2">
      <c r="A56" s="68" t="s">
        <v>104</v>
      </c>
      <c r="B56" s="70" t="s">
        <v>158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21" customHeight="1" x14ac:dyDescent="0.2">
      <c r="A57" s="68" t="s">
        <v>88</v>
      </c>
      <c r="B57" s="69" t="s">
        <v>158</v>
      </c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21" customHeight="1" x14ac:dyDescent="0.2">
      <c r="A58" s="71" t="s">
        <v>140</v>
      </c>
      <c r="B58" s="70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21" customHeight="1" x14ac:dyDescent="0.2">
      <c r="A59" s="71" t="s">
        <v>135</v>
      </c>
      <c r="B59" s="71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21" customHeight="1" x14ac:dyDescent="0.2">
      <c r="A60" s="72" t="s">
        <v>94</v>
      </c>
      <c r="B60" s="73" t="s">
        <v>158</v>
      </c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21" customHeight="1" x14ac:dyDescent="0.2">
      <c r="A61" s="75" t="s">
        <v>105</v>
      </c>
      <c r="B61" s="75" t="s">
        <v>158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21" customHeight="1" x14ac:dyDescent="0.2">
      <c r="A62" s="72" t="s">
        <v>89</v>
      </c>
      <c r="B62" s="76" t="s">
        <v>158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21" customHeight="1" x14ac:dyDescent="0.2">
      <c r="A63" s="75" t="s">
        <v>141</v>
      </c>
      <c r="B63" s="7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21" customHeight="1" thickBot="1" x14ac:dyDescent="0.25">
      <c r="A64" s="78" t="s">
        <v>136</v>
      </c>
      <c r="B64" s="78"/>
      <c r="C64" s="63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s="79" customFormat="1" ht="21" customHeight="1" x14ac:dyDescent="0.2"/>
    <row r="66" spans="1:26" s="79" customFormat="1" ht="21" customHeight="1" x14ac:dyDescent="0.2"/>
    <row r="67" spans="1:26" s="79" customFormat="1" ht="21" customHeight="1" x14ac:dyDescent="0.2"/>
    <row r="68" spans="1:26" s="79" customFormat="1" ht="21" customHeight="1" x14ac:dyDescent="0.2"/>
    <row r="69" spans="1:26" ht="21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21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21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21" customHeight="1" x14ac:dyDescent="0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21" customHeight="1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21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21" customHeight="1" x14ac:dyDescent="0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21" customHeight="1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21" customHeight="1" x14ac:dyDescent="0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21" customHeight="1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21" customHeight="1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21" customHeight="1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21" customHeight="1" x14ac:dyDescent="0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21" customHeight="1" x14ac:dyDescent="0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21" customHeight="1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21" customHeight="1" x14ac:dyDescent="0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21" customHeight="1" x14ac:dyDescent="0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21" customHeight="1" x14ac:dyDescent="0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21" customHeight="1" x14ac:dyDescent="0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21" customHeight="1" x14ac:dyDescent="0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21" customHeight="1" x14ac:dyDescent="0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21" customHeight="1" x14ac:dyDescent="0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21" customHeight="1" x14ac:dyDescent="0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21" customHeight="1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21" customHeight="1" x14ac:dyDescent="0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21" customHeight="1" x14ac:dyDescent="0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21" customHeight="1" x14ac:dyDescent="0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21" customHeight="1" x14ac:dyDescent="0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21" customHeight="1" x14ac:dyDescent="0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21" customHeight="1" x14ac:dyDescent="0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21" customHeight="1" x14ac:dyDescent="0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21" customHeight="1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21" customHeight="1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21" customHeight="1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21" customHeight="1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21" customHeight="1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21" customHeight="1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21" customHeight="1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21" customHeight="1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21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21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21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21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21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21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21" customHeight="1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21" customHeight="1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21" customHeight="1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21" customHeight="1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21" customHeight="1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21" customHeight="1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21" customHeight="1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21" customHeight="1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21" customHeight="1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21" customHeight="1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21" customHeight="1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21" customHeight="1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21" customHeight="1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21" customHeight="1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21" customHeight="1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21" customHeight="1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21" customHeight="1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21" customHeight="1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21" customHeight="1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21" customHeight="1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21" customHeight="1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21" customHeight="1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21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21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21" customHeight="1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21" customHeight="1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21" customHeight="1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21" customHeight="1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21" customHeight="1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21" customHeight="1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21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21" customHeight="1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21" customHeight="1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21" customHeight="1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21" customHeight="1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21" customHeight="1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21" customHeight="1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21" customHeight="1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21" customHeight="1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21" customHeight="1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21" customHeight="1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21" customHeight="1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21" customHeight="1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21" customHeight="1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21" customHeight="1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21" customHeight="1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21" customHeight="1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21" customHeight="1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21" customHeight="1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21" customHeight="1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21" customHeight="1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21" customHeight="1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21" customHeight="1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21" customHeight="1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21" customHeight="1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21" customHeight="1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21" customHeight="1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21" customHeight="1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21" customHeight="1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21" customHeight="1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21" customHeight="1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21" customHeight="1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21" customHeight="1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21" customHeight="1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21" customHeight="1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21" customHeight="1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21" customHeight="1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21" customHeight="1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21" customHeight="1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21" customHeight="1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21" customHeight="1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21" customHeight="1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21" customHeight="1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21" customHeight="1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21" customHeight="1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21" customHeight="1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21" customHeight="1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21" customHeight="1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21" customHeight="1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21" customHeight="1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21" customHeight="1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21" customHeight="1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21" customHeight="1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21" customHeight="1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21" customHeight="1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21" customHeight="1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21" customHeight="1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21" customHeight="1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21" customHeight="1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21" customHeight="1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21" customHeight="1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21" customHeight="1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21" customHeight="1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21" customHeight="1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21" customHeight="1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21" customHeight="1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21" customHeight="1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21" customHeight="1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21" customHeight="1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21" customHeight="1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21" customHeight="1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21" customHeight="1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21" customHeight="1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21" customHeight="1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21" customHeight="1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21" customHeight="1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21" customHeight="1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21" customHeight="1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21" customHeight="1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21" customHeight="1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21" customHeight="1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21" customHeight="1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21" customHeight="1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21" customHeight="1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21" customHeight="1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21" customHeight="1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21" customHeight="1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21" customHeight="1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21" customHeight="1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21" customHeight="1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21" customHeight="1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21" customHeight="1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21" customHeight="1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21" customHeight="1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21" customHeight="1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21" customHeight="1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21" customHeight="1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21" customHeight="1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21" customHeight="1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21" customHeight="1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21" customHeight="1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21" customHeight="1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21" customHeight="1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21" customHeight="1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21" customHeight="1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21" customHeight="1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21" customHeight="1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21" customHeight="1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21" customHeight="1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21" customHeight="1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21" customHeight="1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21" customHeight="1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21" customHeight="1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21" customHeight="1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21" customHeight="1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21" customHeight="1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21" customHeight="1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21" customHeight="1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21" customHeight="1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21" customHeight="1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21" customHeight="1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21" customHeight="1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21" customHeight="1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21" customHeight="1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21" customHeight="1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21" customHeight="1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21" customHeight="1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21" customHeight="1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21" customHeight="1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21" customHeight="1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21" customHeight="1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21" customHeight="1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21" customHeight="1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21" customHeight="1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21" customHeight="1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21" customHeight="1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21" customHeight="1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21" customHeight="1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21" customHeight="1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21" customHeight="1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21" customHeight="1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21" customHeight="1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21" customHeight="1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21" customHeight="1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21" customHeight="1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21" customHeight="1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21" customHeight="1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21" customHeight="1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21" customHeight="1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21" customHeight="1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21" customHeight="1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21" customHeight="1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21" customHeight="1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21" customHeight="1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21" customHeight="1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21" customHeight="1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21" customHeight="1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21" customHeight="1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21" customHeight="1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21" customHeight="1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21" customHeight="1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21" customHeight="1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21" customHeight="1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21" customHeight="1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21" customHeight="1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21" customHeight="1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21" customHeight="1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21" customHeight="1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21" customHeight="1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21" customHeight="1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21" customHeight="1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21" customHeight="1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21" customHeight="1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21" customHeight="1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21" customHeight="1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21" customHeight="1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21" customHeight="1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21" customHeight="1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21" customHeight="1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21" customHeight="1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21" customHeight="1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21" customHeight="1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21" customHeight="1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21" customHeight="1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21" customHeight="1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21" customHeight="1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21" customHeight="1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21" customHeight="1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21" customHeight="1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21" customHeight="1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21" customHeight="1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21" customHeight="1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21" customHeight="1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21" customHeight="1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21" customHeight="1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21" customHeight="1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21" customHeight="1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21" customHeight="1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21" customHeight="1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21" customHeight="1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21" customHeight="1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21" customHeight="1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21" customHeight="1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21" customHeight="1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21" customHeight="1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21" customHeight="1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21" customHeight="1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21" customHeight="1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21" customHeight="1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21" customHeight="1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21" customHeight="1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21" customHeight="1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21" customHeight="1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21" customHeight="1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21" customHeight="1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21" customHeight="1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21" customHeight="1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21" customHeight="1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21" customHeight="1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21" customHeight="1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21" customHeight="1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21" customHeight="1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21" customHeight="1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21" customHeight="1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21" customHeight="1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21" customHeight="1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21" customHeight="1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21" customHeight="1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21" customHeight="1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21" customHeight="1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21" customHeight="1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21" customHeight="1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21" customHeight="1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21" customHeight="1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21" customHeight="1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21" customHeight="1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21" customHeight="1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21" customHeight="1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21" customHeight="1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21" customHeight="1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21" customHeight="1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21" customHeight="1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21" customHeight="1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21" customHeight="1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21" customHeight="1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21" customHeight="1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21" customHeight="1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21" customHeight="1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21" customHeight="1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21" customHeight="1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21" customHeight="1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21" customHeight="1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21" customHeight="1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21" customHeight="1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21" customHeight="1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21" customHeight="1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21" customHeight="1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21" customHeight="1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21" customHeight="1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21" customHeight="1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21" customHeight="1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21" customHeight="1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21" customHeight="1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21" customHeight="1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21" customHeight="1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21" customHeight="1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21" customHeight="1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21" customHeight="1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21" customHeight="1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21" customHeight="1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21" customHeight="1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21" customHeight="1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21" customHeight="1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21" customHeight="1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21" customHeight="1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21" customHeight="1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21" customHeight="1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21" customHeight="1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21" customHeight="1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21" customHeight="1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21" customHeight="1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21" customHeight="1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21" customHeight="1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21" customHeight="1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21" customHeight="1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21" customHeight="1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21" customHeight="1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21" customHeight="1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21" customHeight="1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21" customHeight="1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21" customHeight="1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21" customHeight="1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21" customHeight="1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21" customHeight="1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21" customHeight="1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21" customHeight="1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21" customHeight="1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21" customHeight="1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21" customHeight="1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21" customHeight="1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21" customHeight="1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21" customHeight="1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21" customHeight="1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21" customHeight="1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21" customHeight="1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21" customHeight="1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21" customHeight="1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21" customHeight="1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21" customHeight="1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21" customHeight="1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21" customHeight="1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21" customHeight="1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21" customHeight="1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21" customHeight="1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21" customHeight="1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21" customHeight="1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21" customHeight="1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21" customHeight="1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21" customHeight="1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21" customHeight="1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21" customHeight="1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21" customHeight="1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21" customHeight="1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21" customHeight="1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21" customHeight="1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21" customHeight="1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21" customHeight="1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21" customHeight="1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21" customHeight="1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21" customHeight="1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21" customHeight="1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21" customHeight="1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21" customHeight="1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21" customHeight="1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21" customHeight="1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21" customHeight="1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21" customHeight="1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21" customHeight="1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21" customHeight="1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21" customHeight="1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21" customHeight="1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21" customHeight="1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21" customHeight="1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21" customHeight="1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21" customHeight="1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21" customHeight="1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21" customHeight="1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21" customHeight="1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21" customHeight="1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21" customHeight="1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21" customHeight="1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21" customHeight="1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21" customHeight="1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21" customHeight="1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21" customHeight="1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21" customHeight="1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21" customHeight="1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21" customHeight="1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21" customHeight="1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21" customHeight="1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21" customHeight="1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21" customHeight="1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21" customHeight="1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21" customHeight="1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21" customHeight="1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21" customHeight="1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21" customHeight="1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21" customHeight="1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21" customHeight="1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21" customHeight="1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21" customHeight="1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21" customHeight="1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21" customHeight="1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21" customHeight="1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21" customHeight="1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21" customHeight="1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21" customHeight="1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21" customHeight="1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21" customHeight="1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21" customHeight="1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21" customHeight="1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21" customHeight="1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21" customHeight="1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21" customHeight="1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21" customHeight="1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21" customHeight="1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21" customHeight="1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21" customHeight="1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21" customHeight="1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21" customHeight="1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21" customHeight="1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21" customHeight="1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21" customHeight="1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21" customHeight="1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21" customHeight="1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21" customHeight="1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21" customHeight="1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21" customHeight="1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21" customHeight="1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21" customHeight="1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21" customHeight="1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21" customHeight="1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21" customHeight="1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21" customHeight="1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21" customHeight="1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21" customHeight="1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21" customHeight="1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21" customHeight="1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21" customHeight="1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21" customHeight="1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21" customHeight="1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21" customHeight="1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21" customHeight="1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21" customHeight="1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21" customHeight="1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21" customHeight="1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21" customHeight="1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21" customHeight="1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21" customHeight="1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21" customHeight="1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21" customHeight="1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21" customHeight="1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21" customHeight="1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21" customHeight="1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21" customHeight="1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21" customHeight="1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21" customHeight="1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21" customHeight="1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21" customHeight="1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21" customHeight="1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21" customHeight="1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21" customHeight="1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21" customHeight="1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21" customHeight="1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21" customHeight="1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21" customHeight="1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21" customHeight="1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21" customHeight="1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21" customHeight="1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21" customHeight="1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21" customHeight="1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21" customHeight="1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21" customHeight="1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21" customHeight="1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21" customHeight="1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21" customHeight="1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21" customHeight="1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21" customHeight="1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21" customHeight="1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21" customHeight="1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21" customHeight="1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21" customHeight="1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21" customHeight="1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21" customHeight="1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21" customHeight="1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21" customHeight="1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21" customHeight="1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21" customHeight="1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21" customHeight="1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21" customHeight="1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21" customHeight="1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21" customHeight="1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21" customHeight="1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21" customHeight="1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21" customHeight="1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21" customHeight="1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21" customHeight="1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21" customHeight="1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21" customHeight="1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21" customHeight="1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21" customHeight="1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21" customHeight="1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21" customHeight="1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21" customHeight="1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21" customHeight="1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21" customHeight="1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21" customHeight="1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21" customHeight="1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21" customHeight="1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21" customHeight="1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21" customHeight="1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21" customHeight="1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21" customHeight="1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21" customHeight="1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21" customHeight="1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21" customHeight="1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21" customHeight="1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21" customHeight="1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21" customHeight="1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21" customHeight="1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21" customHeight="1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21" customHeight="1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21" customHeight="1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21" customHeight="1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21" customHeight="1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21" customHeight="1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21" customHeight="1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21" customHeight="1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21" customHeight="1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21" customHeight="1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21" customHeight="1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21" customHeight="1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21" customHeight="1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21" customHeight="1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21" customHeight="1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21" customHeight="1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21" customHeight="1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21" customHeight="1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21" customHeight="1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21" customHeight="1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21" customHeight="1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21" customHeight="1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21" customHeight="1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21" customHeight="1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21" customHeight="1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21" customHeight="1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21" customHeight="1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21" customHeight="1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21" customHeight="1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21" customHeight="1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21" customHeight="1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21" customHeight="1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21" customHeight="1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21" customHeight="1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21" customHeight="1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21" customHeight="1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21" customHeight="1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21" customHeight="1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21" customHeight="1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21" customHeight="1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21" customHeight="1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21" customHeight="1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21" customHeight="1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21" customHeight="1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21" customHeight="1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21" customHeight="1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21" customHeight="1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21" customHeight="1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21" customHeight="1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21" customHeight="1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21" customHeight="1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21" customHeight="1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21" customHeight="1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21" customHeight="1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21" customHeight="1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21" customHeight="1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21" customHeight="1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21" customHeight="1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21" customHeight="1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21" customHeight="1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21" customHeight="1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21" customHeight="1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21" customHeight="1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21" customHeight="1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21" customHeight="1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21" customHeight="1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21" customHeight="1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21" customHeight="1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21" customHeight="1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21" customHeight="1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21" customHeight="1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21" customHeight="1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21" customHeight="1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21" customHeight="1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21" customHeight="1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21" customHeight="1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21" customHeight="1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21" customHeight="1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21" customHeight="1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21" customHeight="1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21" customHeight="1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21" customHeight="1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21" customHeight="1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21" customHeight="1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21" customHeight="1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21" customHeight="1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21" customHeight="1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21" customHeight="1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21" customHeight="1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21" customHeight="1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21" customHeight="1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21" customHeight="1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21" customHeight="1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21" customHeight="1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21" customHeight="1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21" customHeight="1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21" customHeight="1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21" customHeight="1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21" customHeight="1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21" customHeight="1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21" customHeight="1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21" customHeight="1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21" customHeight="1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21" customHeight="1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21" customHeight="1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21" customHeight="1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21" customHeight="1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21" customHeight="1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21" customHeight="1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21" customHeight="1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21" customHeight="1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21" customHeight="1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21" customHeight="1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21" customHeight="1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21" customHeight="1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21" customHeight="1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21" customHeight="1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21" customHeight="1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21" customHeight="1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21" customHeight="1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21" customHeight="1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21" customHeight="1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21" customHeight="1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21" customHeight="1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21" customHeight="1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21" customHeight="1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21" customHeight="1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21" customHeight="1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21" customHeight="1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21" customHeight="1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21" customHeight="1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21" customHeight="1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21" customHeight="1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21" customHeight="1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21" customHeight="1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21" customHeight="1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21" customHeight="1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21" customHeight="1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21" customHeight="1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21" customHeight="1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21" customHeight="1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21" customHeight="1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21" customHeight="1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21" customHeight="1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21" customHeight="1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21" customHeight="1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21" customHeight="1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21" customHeight="1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21" customHeight="1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21" customHeight="1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21" customHeight="1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21" customHeight="1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21" customHeight="1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21" customHeight="1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21" customHeight="1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21" customHeight="1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21" customHeight="1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21" customHeight="1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21" customHeight="1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21" customHeight="1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21" customHeight="1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21" customHeight="1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21" customHeight="1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21" customHeight="1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21" customHeight="1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21" customHeight="1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21" customHeight="1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21" customHeight="1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21" customHeight="1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21" customHeight="1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21" customHeight="1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21" customHeight="1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21" customHeight="1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21" customHeight="1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21" customHeight="1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21" customHeight="1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21" customHeight="1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21" customHeight="1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21" customHeight="1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21" customHeight="1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21" customHeight="1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21" customHeight="1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21" customHeight="1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21" customHeight="1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21" customHeight="1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21" customHeight="1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21" customHeight="1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21" customHeight="1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21" customHeight="1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21" customHeight="1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21" customHeight="1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21" customHeight="1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21" customHeight="1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21" customHeight="1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21" customHeight="1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21" customHeight="1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21" customHeight="1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21" customHeight="1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21" customHeight="1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21" customHeight="1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21" customHeight="1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21" customHeight="1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21" customHeight="1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21" customHeight="1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21" customHeight="1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21" customHeight="1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21" customHeight="1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21" customHeight="1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21" customHeight="1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21" customHeight="1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21" customHeight="1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21" customHeight="1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21" customHeight="1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21" customHeight="1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21" customHeight="1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21" customHeight="1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21" customHeight="1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21" customHeight="1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21" customHeight="1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21" customHeight="1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21" customHeight="1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21" customHeight="1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21" customHeight="1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21" customHeight="1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21" customHeight="1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21" customHeight="1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21" customHeight="1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21" customHeight="1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21" customHeight="1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21" customHeight="1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21" customHeight="1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21" customHeight="1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21" customHeight="1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21" customHeight="1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21" customHeight="1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21" customHeight="1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21" customHeight="1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21" customHeight="1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21" customHeight="1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21" customHeight="1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21" customHeight="1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21" customHeight="1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21" customHeight="1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21" customHeight="1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21" customHeight="1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21" customHeight="1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21" customHeight="1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21" customHeight="1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21" customHeight="1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21" customHeight="1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21" customHeight="1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21" customHeight="1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21" customHeight="1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21" customHeight="1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21" customHeight="1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21" customHeight="1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21" customHeight="1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21" customHeight="1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21" customHeight="1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21" customHeight="1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21" customHeight="1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21" customHeight="1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21" customHeight="1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21" customHeight="1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21" customHeight="1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21" customHeight="1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21" customHeight="1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21" customHeight="1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21" customHeight="1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21" customHeight="1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21" customHeight="1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21" customHeight="1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21" customHeight="1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21" customHeight="1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21" customHeight="1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21" customHeight="1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21" customHeight="1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21" customHeight="1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21" customHeight="1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21" customHeight="1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21" customHeight="1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21" customHeight="1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21" customHeight="1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21" customHeight="1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21" customHeight="1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21" customHeight="1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21" customHeight="1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21" customHeight="1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21" customHeight="1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21" customHeight="1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21" customHeight="1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9269EC84-DF31-1A4B-A990-FD99E0DF6A37}">
          <x14:formula1>
            <xm:f>Lists!$F$2:$F$10</xm:f>
          </x14:formula1>
          <xm:sqref>B29 B24 B45 B40 B61 B56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B39 B44 B55 B60 B23 B28</xm:sqref>
        </x14:dataValidation>
        <x14:dataValidation type="list" allowBlank="1" showErrorMessage="1" xr:uid="{4DE4111E-DA5E-784E-9D6F-05103F7D2493}">
          <x14:formula1>
            <xm:f>Lists!$L$2:$L$19</xm:f>
          </x14:formula1>
          <xm:sqref>B14</xm:sqref>
        </x14:dataValidation>
        <x14:dataValidation type="list" allowBlank="1" showErrorMessage="1" xr:uid="{FFB11884-705E-4C4B-9963-11B4FBF86EFD}">
          <x14:formula1>
            <xm:f>Lists!$A$2:$A$10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Lists!$I$2:$I$12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B25 B30 B41 B46 B37:C37 B57 B62 B53:C53 B21:C21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B39 B55</xm:sqref>
        </x14:dataValidation>
        <x14:dataValidation type="list" allowBlank="1" showErrorMessage="1" xr:uid="{C159AD43-387F-8A44-88E8-16412071B24C}">
          <x14:formula1>
            <xm:f>Lists!$C$2:$C$9</xm:f>
          </x14:formula1>
          <xm:sqref>B52 B36 B20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B36 B52 B20</xm:sqref>
        </x14:dataValidation>
        <x14:dataValidation type="list" allowBlank="1" showInputMessage="1" showErrorMessage="1" xr:uid="{EE6A7E99-E8C2-2C46-99ED-4766928B6A0B}">
          <x14:formula1>
            <xm:f>Lists!$N$2:$N$8</xm:f>
          </x14:formula1>
          <xm:sqref>C20 C36 C52</xm:sqref>
        </x14:dataValidation>
        <x14:dataValidation type="list" allowBlank="1" showErrorMessage="1" xr:uid="{970994F8-0C5A-954C-8A5B-082DB9E55E96}">
          <x14:formula1>
            <xm:f>Lists!$B$2:$B$25</xm:f>
          </x14:formula1>
          <xm:sqref>B50 B18 B34</xm:sqref>
        </x14:dataValidation>
        <x14:dataValidation type="list" allowBlank="1" showInputMessage="1" showErrorMessage="1" xr:uid="{E36366AC-D6BD-7D4B-94C1-F87AEC17F439}">
          <x14:formula1>
            <xm:f>Lists!$B$3:$B$15</xm:f>
          </x14:formula1>
          <xm:sqref>B50</xm:sqref>
        </x14:dataValidation>
        <x14:dataValidation type="list" allowBlank="1" showInputMessage="1" showErrorMessage="1" xr:uid="{F9DEF641-EE3D-B047-8D16-CAC81DB4BCBD}">
          <x14:formula1>
            <xm:f>Lists!$B$2:$B$15</xm:f>
          </x14:formula1>
          <xm:sqref>B34 B50</xm:sqref>
        </x14:dataValidation>
        <x14:dataValidation type="list" allowBlank="1" showInputMessage="1" showErrorMessage="1" xr:uid="{C377399E-4DEA-7E44-B16E-7301589BBC04}">
          <x14:formula1>
            <xm:f>Lists!$B$3:$B$25</xm:f>
          </x14:formula1>
          <xm:sqref>B34</xm:sqref>
        </x14:dataValidation>
        <x14:dataValidation type="list" allowBlank="1" showInputMessage="1" showErrorMessage="1" xr:uid="{4B8BFAEF-3C0C-4641-836E-A751B7E93527}">
          <x14:formula1>
            <xm:f>Lists!$B$2:$B$25</xm:f>
          </x14:formula1>
          <xm:sqref>B18</xm:sqref>
        </x14:dataValidation>
        <x14:dataValidation type="list" allowBlank="1" showInputMessage="1" showErrorMessage="1" xr:uid="{209ABDC6-7A4F-1043-BD31-F5067EDD9592}">
          <x14:formula1>
            <xm:f>Lists!$D$2:$D$22</xm:f>
          </x14:formula1>
          <xm:sqref>B19 B35 B51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B33 B17 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51"/>
      <c r="B1" s="51">
        <v>1</v>
      </c>
      <c r="C1" s="51">
        <v>2</v>
      </c>
      <c r="D1" s="51">
        <v>3</v>
      </c>
      <c r="E1" s="51">
        <v>4</v>
      </c>
      <c r="F1" s="51">
        <v>5</v>
      </c>
      <c r="G1" s="51">
        <v>6</v>
      </c>
      <c r="H1" s="51">
        <v>7</v>
      </c>
      <c r="I1" s="51">
        <v>8</v>
      </c>
      <c r="J1" s="51">
        <v>9</v>
      </c>
      <c r="K1" s="51">
        <v>10</v>
      </c>
      <c r="L1" s="51">
        <v>11</v>
      </c>
      <c r="M1" s="51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51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51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51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51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51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51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51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51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  <row r="1001" spans="1:1" ht="15.75" customHeight="1" x14ac:dyDescent="0.2">
      <c r="A1001" s="4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51"/>
      <c r="B1" s="51">
        <v>1</v>
      </c>
      <c r="C1" s="51">
        <v>2</v>
      </c>
      <c r="D1" s="51">
        <v>3</v>
      </c>
      <c r="E1" s="51">
        <v>4</v>
      </c>
      <c r="F1" s="51">
        <v>5</v>
      </c>
      <c r="G1" s="51">
        <v>6</v>
      </c>
      <c r="H1" s="51">
        <v>7</v>
      </c>
      <c r="I1" s="51">
        <v>8</v>
      </c>
      <c r="J1" s="51">
        <v>9</v>
      </c>
      <c r="K1" s="51">
        <v>10</v>
      </c>
      <c r="L1" s="51">
        <v>11</v>
      </c>
      <c r="M1" s="51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51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51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51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51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51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51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51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51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  <row r="1001" spans="1:1" ht="15.75" customHeight="1" x14ac:dyDescent="0.2">
      <c r="A1001" s="4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0"/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40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40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40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40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40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40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40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40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0"/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40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40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40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40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40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40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40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40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1D4-5508-E34C-A1ED-A24B8133857F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0"/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40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40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40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40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40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40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40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40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pane ySplit="3" topLeftCell="A7" activePane="bottomLeft" state="frozen"/>
      <selection pane="bottomLeft" activeCell="B24" sqref="B24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6" t="s">
        <v>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8"/>
      <c r="R1" s="2"/>
      <c r="S1" s="2"/>
    </row>
    <row r="2" spans="1:19" ht="31.5" customHeight="1" x14ac:dyDescent="0.2">
      <c r="A2" s="3" t="s">
        <v>5</v>
      </c>
      <c r="B2" s="3" t="s">
        <v>6</v>
      </c>
      <c r="C2" s="99" t="s">
        <v>7</v>
      </c>
      <c r="D2" s="97"/>
      <c r="E2" s="97"/>
      <c r="F2" s="97"/>
      <c r="G2" s="97"/>
      <c r="H2" s="97"/>
      <c r="I2" s="97"/>
      <c r="J2" s="97"/>
      <c r="K2" s="9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4" t="s">
        <v>8</v>
      </c>
      <c r="B3" s="5">
        <v>44426</v>
      </c>
      <c r="C3" s="6" t="s">
        <v>9</v>
      </c>
      <c r="D3" s="6"/>
      <c r="E3" s="6"/>
      <c r="F3" s="6"/>
      <c r="G3" s="6"/>
      <c r="H3" s="6"/>
      <c r="I3" s="6"/>
      <c r="J3" s="6"/>
      <c r="K3" s="7"/>
      <c r="L3" s="8"/>
      <c r="M3" s="8"/>
      <c r="N3" s="8"/>
      <c r="O3" s="8"/>
      <c r="P3" s="8"/>
      <c r="Q3" s="8"/>
      <c r="R3" s="9"/>
      <c r="S3" s="9"/>
    </row>
    <row r="4" spans="1:19" ht="21.7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31.5" customHeight="1" x14ac:dyDescent="0.2">
      <c r="A5" s="10" t="s">
        <v>10</v>
      </c>
      <c r="B5" s="11">
        <v>1</v>
      </c>
      <c r="C5" s="12" t="s">
        <v>11</v>
      </c>
      <c r="E5" s="13"/>
      <c r="F5" s="13"/>
      <c r="G5" s="13"/>
      <c r="H5" s="13"/>
      <c r="I5" s="13"/>
      <c r="J5" s="13"/>
      <c r="K5" s="13"/>
      <c r="L5" s="13"/>
    </row>
    <row r="6" spans="1:19" ht="22.5" customHeight="1" x14ac:dyDescent="0.2">
      <c r="A6" s="14" t="s">
        <v>12</v>
      </c>
      <c r="B6" s="15">
        <v>16.5</v>
      </c>
      <c r="C6" s="92" t="s">
        <v>13</v>
      </c>
      <c r="D6" s="93"/>
      <c r="E6" s="93"/>
      <c r="F6" s="13"/>
      <c r="G6" s="13"/>
      <c r="H6" s="13"/>
      <c r="I6" s="13"/>
      <c r="J6" s="13"/>
      <c r="K6" s="13"/>
      <c r="L6" s="13"/>
    </row>
    <row r="7" spans="1:19" ht="22.5" customHeight="1" x14ac:dyDescent="0.2">
      <c r="A7" s="14" t="s">
        <v>14</v>
      </c>
      <c r="B7" s="15">
        <v>5.5</v>
      </c>
      <c r="C7" s="93"/>
      <c r="D7" s="93"/>
      <c r="E7" s="93"/>
      <c r="F7" s="13"/>
      <c r="G7" s="13"/>
      <c r="H7" s="13"/>
      <c r="I7" s="13"/>
      <c r="J7" s="13"/>
      <c r="K7" s="13"/>
      <c r="L7" s="13"/>
    </row>
    <row r="8" spans="1:19" ht="22.5" customHeight="1" x14ac:dyDescent="0.2">
      <c r="A8" s="14" t="s">
        <v>15</v>
      </c>
      <c r="B8" s="15">
        <f>SUM(B6:B7)</f>
        <v>22</v>
      </c>
      <c r="C8" s="93"/>
      <c r="D8" s="93"/>
      <c r="E8" s="93"/>
      <c r="F8" s="13"/>
      <c r="G8" s="13"/>
      <c r="H8" s="13"/>
      <c r="I8" s="13"/>
      <c r="J8" s="13"/>
      <c r="K8" s="13"/>
      <c r="L8" s="13"/>
    </row>
    <row r="9" spans="1:19" ht="22.5" customHeight="1" x14ac:dyDescent="0.2">
      <c r="A9" s="14" t="s">
        <v>16</v>
      </c>
      <c r="B9" s="15">
        <v>20</v>
      </c>
      <c r="C9" s="93"/>
      <c r="D9" s="93"/>
      <c r="E9" s="93"/>
      <c r="F9" s="13"/>
      <c r="G9" s="13"/>
      <c r="H9" s="13"/>
      <c r="I9" s="13"/>
      <c r="J9" s="13"/>
      <c r="K9" s="13"/>
      <c r="L9" s="13"/>
    </row>
    <row r="10" spans="1:19" ht="30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9" ht="27.75" customHeight="1" x14ac:dyDescent="0.2">
      <c r="A11" s="100" t="s">
        <v>17</v>
      </c>
      <c r="B11" s="97"/>
      <c r="C11" s="97"/>
      <c r="D11" s="98"/>
      <c r="E11" s="17"/>
      <c r="F11" s="13"/>
      <c r="G11" s="13"/>
      <c r="H11" s="13"/>
      <c r="I11" s="13"/>
      <c r="J11" s="13"/>
      <c r="K11" s="13"/>
      <c r="L11" s="13"/>
    </row>
    <row r="12" spans="1:19" ht="15.75" customHeight="1" x14ac:dyDescent="0.2">
      <c r="A12" s="18" t="s">
        <v>18</v>
      </c>
      <c r="B12" s="19" t="s">
        <v>19</v>
      </c>
      <c r="C12" s="19" t="s">
        <v>20</v>
      </c>
      <c r="D12" s="19" t="s">
        <v>21</v>
      </c>
      <c r="E12" s="13"/>
    </row>
    <row r="13" spans="1:19" ht="15.75" customHeight="1" x14ac:dyDescent="0.25">
      <c r="A13" s="20" t="s">
        <v>22</v>
      </c>
      <c r="B13" s="21">
        <v>50</v>
      </c>
      <c r="C13" s="21">
        <v>60</v>
      </c>
      <c r="D13" s="21">
        <v>1</v>
      </c>
      <c r="E13" s="13"/>
    </row>
    <row r="14" spans="1:19" ht="15.75" customHeight="1" x14ac:dyDescent="0.2">
      <c r="A14" s="20" t="s">
        <v>23</v>
      </c>
      <c r="B14" s="22">
        <v>95</v>
      </c>
      <c r="C14" s="22">
        <v>10</v>
      </c>
      <c r="D14" s="22">
        <v>1</v>
      </c>
    </row>
    <row r="15" spans="1:19" ht="15.75" customHeight="1" x14ac:dyDescent="0.2">
      <c r="A15" s="20" t="s">
        <v>24</v>
      </c>
      <c r="B15" s="22">
        <v>94</v>
      </c>
      <c r="C15" s="22">
        <v>0.5</v>
      </c>
      <c r="D15" s="101">
        <v>40</v>
      </c>
    </row>
    <row r="16" spans="1:19" ht="15.75" customHeight="1" x14ac:dyDescent="0.2">
      <c r="A16" s="20" t="s">
        <v>25</v>
      </c>
      <c r="B16" s="22">
        <v>55</v>
      </c>
      <c r="C16" s="22">
        <v>1</v>
      </c>
      <c r="D16" s="102"/>
    </row>
    <row r="17" spans="1:26" ht="15.75" customHeight="1" x14ac:dyDescent="0.2">
      <c r="A17" s="20" t="s">
        <v>26</v>
      </c>
      <c r="B17" s="22">
        <v>98</v>
      </c>
      <c r="C17" s="22">
        <v>10</v>
      </c>
      <c r="D17" s="22">
        <v>1</v>
      </c>
    </row>
    <row r="18" spans="1:26" ht="15.75" customHeight="1" x14ac:dyDescent="0.2">
      <c r="A18" s="23"/>
      <c r="B18" s="17"/>
      <c r="C18" s="17"/>
      <c r="D18" s="17"/>
    </row>
    <row r="19" spans="1:26" ht="27" customHeight="1" x14ac:dyDescent="0.2">
      <c r="A19" s="89" t="s">
        <v>27</v>
      </c>
      <c r="B19" s="90"/>
      <c r="C19" s="90"/>
      <c r="D19" s="91"/>
    </row>
    <row r="20" spans="1:26" ht="15.75" customHeight="1" x14ac:dyDescent="0.25">
      <c r="A20" s="24" t="s">
        <v>28</v>
      </c>
      <c r="B20" s="22" t="s">
        <v>29</v>
      </c>
      <c r="C20" s="25"/>
      <c r="D20" s="25"/>
    </row>
    <row r="21" spans="1:26" ht="15.75" customHeight="1" x14ac:dyDescent="0.25">
      <c r="A21" s="24" t="s">
        <v>30</v>
      </c>
      <c r="B21" s="22" t="s">
        <v>31</v>
      </c>
      <c r="C21" s="25"/>
      <c r="D21" s="25"/>
    </row>
    <row r="22" spans="1:26" ht="15.75" customHeight="1" x14ac:dyDescent="0.25">
      <c r="A22" s="24" t="s">
        <v>32</v>
      </c>
      <c r="B22" s="22" t="s">
        <v>33</v>
      </c>
      <c r="C22" s="25"/>
      <c r="D22" s="25"/>
    </row>
    <row r="23" spans="1:26" ht="51" customHeight="1" x14ac:dyDescent="0.2"/>
    <row r="24" spans="1:26" ht="31.5" customHeight="1" x14ac:dyDescent="0.2">
      <c r="A24" s="26" t="s">
        <v>34</v>
      </c>
      <c r="B24" s="27">
        <f>COUNTIF('Sample IDs'!B2:M9,"&lt;&gt;"&amp;"")</f>
        <v>0</v>
      </c>
      <c r="C24" s="92" t="s">
        <v>35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26" ht="30" customHeight="1" x14ac:dyDescent="0.2">
      <c r="A25" s="28" t="s">
        <v>36</v>
      </c>
      <c r="B25" s="29">
        <v>1.1000000000000001</v>
      </c>
      <c r="C25" s="1" t="s">
        <v>37</v>
      </c>
      <c r="D25" s="16"/>
      <c r="E25" s="16"/>
      <c r="F25" s="16"/>
      <c r="G25" s="16"/>
      <c r="H25" s="16"/>
      <c r="I25" s="16"/>
      <c r="J25" s="16"/>
      <c r="K25" s="16"/>
      <c r="L25" s="16"/>
    </row>
    <row r="26" spans="1:26" ht="21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26" ht="27" customHeight="1" x14ac:dyDescent="0.2">
      <c r="A27" s="94" t="s">
        <v>38</v>
      </c>
      <c r="B27" s="95"/>
      <c r="C27" s="30"/>
      <c r="D27" s="30"/>
      <c r="E27" s="17"/>
      <c r="F27" s="17"/>
      <c r="G27" s="31"/>
      <c r="H27" s="31"/>
      <c r="I27" s="31"/>
      <c r="J27" s="31"/>
      <c r="K27" s="31"/>
      <c r="L27" s="17"/>
      <c r="M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2" t="s">
        <v>39</v>
      </c>
      <c r="B28" s="33">
        <f>ROUNDUP(B33-B29-B30-B31-($B$5*B32),0)</f>
        <v>0</v>
      </c>
      <c r="C28" s="34"/>
      <c r="D28" s="34"/>
      <c r="E28" s="13"/>
      <c r="F28" s="13"/>
      <c r="L28" s="13"/>
    </row>
    <row r="29" spans="1:26" ht="15.75" customHeight="1" x14ac:dyDescent="0.25">
      <c r="A29" s="32" t="s">
        <v>40</v>
      </c>
      <c r="B29" s="33">
        <f>ROUNDUP(5.5*($B$24*B25),0)</f>
        <v>0</v>
      </c>
      <c r="C29" s="35" t="s">
        <v>41</v>
      </c>
      <c r="D29" s="34"/>
      <c r="E29" s="13"/>
      <c r="F29" s="13"/>
      <c r="L29" s="13"/>
    </row>
    <row r="30" spans="1:26" ht="15.75" customHeight="1" x14ac:dyDescent="0.25">
      <c r="A30" s="32" t="s">
        <v>42</v>
      </c>
      <c r="B30" s="33">
        <f>ROUNDUP(2.2*($B$24*B25),1)</f>
        <v>0</v>
      </c>
      <c r="C30" s="35" t="s">
        <v>41</v>
      </c>
      <c r="D30" s="34"/>
      <c r="E30" s="13"/>
      <c r="F30" s="13"/>
      <c r="L30" s="13"/>
    </row>
    <row r="31" spans="1:26" ht="15.75" customHeight="1" x14ac:dyDescent="0.25">
      <c r="A31" s="32" t="s">
        <v>43</v>
      </c>
      <c r="B31" s="33">
        <f>ROUNDUP(1.1*$B$24*B25,1)</f>
        <v>0</v>
      </c>
      <c r="C31" s="35" t="s">
        <v>41</v>
      </c>
      <c r="D31" s="34"/>
      <c r="E31" s="13"/>
      <c r="F31" s="13"/>
      <c r="L31" s="13"/>
    </row>
    <row r="32" spans="1:26" ht="15.75" customHeight="1" x14ac:dyDescent="0.25">
      <c r="A32" s="32" t="s">
        <v>44</v>
      </c>
      <c r="B32" s="33">
        <f>ROUNDUP(1.1*$B$24*B25,1)</f>
        <v>0</v>
      </c>
      <c r="C32" s="35" t="s">
        <v>41</v>
      </c>
      <c r="D32" s="34"/>
      <c r="E32" s="13"/>
      <c r="F32" s="13"/>
      <c r="L32" s="13"/>
    </row>
    <row r="33" spans="1:12" ht="15.75" customHeight="1" x14ac:dyDescent="0.25">
      <c r="A33" s="36" t="s">
        <v>45</v>
      </c>
      <c r="B33" s="37">
        <f>ROUNDUP(B25*$B$24*16.5,0)</f>
        <v>0</v>
      </c>
      <c r="C33" s="35" t="s">
        <v>46</v>
      </c>
      <c r="D33" s="38"/>
      <c r="E33" s="39"/>
      <c r="F33" s="13"/>
      <c r="G33" s="13"/>
      <c r="H33" s="13"/>
      <c r="I33" s="13"/>
      <c r="J33" s="13"/>
      <c r="K33" s="13"/>
      <c r="L33" s="13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9:D19"/>
    <mergeCell ref="C24:L24"/>
    <mergeCell ref="A27:B27"/>
    <mergeCell ref="A1:Q1"/>
    <mergeCell ref="C2:K2"/>
    <mergeCell ref="C6:E9"/>
    <mergeCell ref="A11:D11"/>
    <mergeCell ref="D15:D1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abSelected="1" workbookViewId="0">
      <selection activeCell="H10" sqref="H10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22.57031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10" width="44.7109375" customWidth="1"/>
    <col min="11" max="11" width="21.5703125" customWidth="1"/>
    <col min="12" max="12" width="49.85546875" bestFit="1" customWidth="1"/>
    <col min="13" max="13" width="15.7109375" bestFit="1" customWidth="1"/>
    <col min="14" max="14" width="25" bestFit="1" customWidth="1"/>
    <col min="15" max="30" width="10.5703125" customWidth="1"/>
  </cols>
  <sheetData>
    <row r="1" spans="1:14" ht="15.75" customHeight="1" x14ac:dyDescent="0.2">
      <c r="A1" s="43" t="s">
        <v>55</v>
      </c>
      <c r="B1" s="44" t="s">
        <v>56</v>
      </c>
      <c r="C1" s="44" t="s">
        <v>117</v>
      </c>
      <c r="D1" s="43" t="s">
        <v>118</v>
      </c>
      <c r="E1" s="44" t="s">
        <v>90</v>
      </c>
      <c r="F1" s="43" t="s">
        <v>106</v>
      </c>
      <c r="G1" s="44" t="s">
        <v>95</v>
      </c>
      <c r="H1" s="43" t="s">
        <v>57</v>
      </c>
      <c r="I1" s="43" t="s">
        <v>97</v>
      </c>
      <c r="J1" s="44" t="s">
        <v>99</v>
      </c>
      <c r="K1" s="43" t="s">
        <v>87</v>
      </c>
      <c r="L1" s="43" t="s">
        <v>58</v>
      </c>
      <c r="M1" s="44" t="s">
        <v>151</v>
      </c>
      <c r="N1" s="44" t="s">
        <v>170</v>
      </c>
    </row>
    <row r="2" spans="1:14" ht="15.75" customHeight="1" x14ac:dyDescent="0.2">
      <c r="A2" s="87" t="s">
        <v>156</v>
      </c>
      <c r="B2" s="79" t="s">
        <v>158</v>
      </c>
      <c r="C2" s="79" t="s">
        <v>158</v>
      </c>
      <c r="D2" s="87" t="s">
        <v>158</v>
      </c>
      <c r="E2" s="87" t="s">
        <v>158</v>
      </c>
      <c r="F2" s="87" t="s">
        <v>158</v>
      </c>
      <c r="G2" s="87" t="s">
        <v>158</v>
      </c>
      <c r="H2" s="45" t="s">
        <v>61</v>
      </c>
      <c r="I2" s="45" t="s">
        <v>70</v>
      </c>
      <c r="J2" s="47" t="s">
        <v>100</v>
      </c>
      <c r="K2" s="49" t="s">
        <v>114</v>
      </c>
      <c r="L2" s="103" t="s">
        <v>203</v>
      </c>
      <c r="M2" s="83" t="s">
        <v>152</v>
      </c>
      <c r="N2" s="103" t="s">
        <v>171</v>
      </c>
    </row>
    <row r="3" spans="1:14" ht="15.75" customHeight="1" x14ac:dyDescent="0.2">
      <c r="A3" s="87" t="s">
        <v>157</v>
      </c>
      <c r="B3" s="103" t="s">
        <v>182</v>
      </c>
      <c r="C3" s="49" t="s">
        <v>110</v>
      </c>
      <c r="D3" s="103" t="s">
        <v>205</v>
      </c>
      <c r="E3" s="103" t="s">
        <v>86</v>
      </c>
      <c r="F3" s="48" t="s">
        <v>109</v>
      </c>
      <c r="G3" s="48" t="s">
        <v>103</v>
      </c>
      <c r="H3" s="45" t="s">
        <v>63</v>
      </c>
      <c r="I3" s="45" t="s">
        <v>71</v>
      </c>
      <c r="J3" s="47" t="s">
        <v>101</v>
      </c>
      <c r="K3" s="45" t="s">
        <v>64</v>
      </c>
      <c r="L3" s="103" t="s">
        <v>197</v>
      </c>
      <c r="M3" s="83" t="s">
        <v>153</v>
      </c>
      <c r="N3" s="103" t="s">
        <v>172</v>
      </c>
    </row>
    <row r="4" spans="1:14" ht="15.75" customHeight="1" x14ac:dyDescent="0.2">
      <c r="A4" s="45" t="s">
        <v>72</v>
      </c>
      <c r="B4" s="49" t="s">
        <v>113</v>
      </c>
      <c r="C4" s="103" t="s">
        <v>178</v>
      </c>
      <c r="D4" s="49" t="s">
        <v>65</v>
      </c>
      <c r="E4" s="103" t="s">
        <v>85</v>
      </c>
      <c r="F4" s="48" t="s">
        <v>79</v>
      </c>
      <c r="G4" s="48" t="s">
        <v>102</v>
      </c>
      <c r="H4" s="45" t="s">
        <v>67</v>
      </c>
      <c r="I4" s="45" t="s">
        <v>72</v>
      </c>
      <c r="J4" s="47" t="s">
        <v>72</v>
      </c>
      <c r="K4" s="49" t="s">
        <v>115</v>
      </c>
      <c r="L4" s="45" t="s">
        <v>81</v>
      </c>
      <c r="N4" s="103" t="s">
        <v>175</v>
      </c>
    </row>
    <row r="5" spans="1:14" ht="15.75" customHeight="1" x14ac:dyDescent="0.2">
      <c r="A5" s="45"/>
      <c r="B5" s="45" t="s">
        <v>65</v>
      </c>
      <c r="C5" s="49" t="s">
        <v>111</v>
      </c>
      <c r="D5" s="103" t="s">
        <v>51</v>
      </c>
      <c r="E5" s="46" t="s">
        <v>91</v>
      </c>
      <c r="F5" s="48" t="s">
        <v>107</v>
      </c>
      <c r="G5" s="46" t="s">
        <v>72</v>
      </c>
      <c r="H5" s="45" t="s">
        <v>68</v>
      </c>
      <c r="I5" s="45"/>
      <c r="J5" s="45"/>
      <c r="K5" s="45" t="s">
        <v>72</v>
      </c>
      <c r="L5" s="45" t="s">
        <v>82</v>
      </c>
      <c r="N5" s="103" t="s">
        <v>173</v>
      </c>
    </row>
    <row r="6" spans="1:14" ht="15.75" customHeight="1" x14ac:dyDescent="0.2">
      <c r="A6" s="45"/>
      <c r="B6" s="103" t="s">
        <v>183</v>
      </c>
      <c r="C6" s="46" t="s">
        <v>72</v>
      </c>
      <c r="D6" s="103" t="s">
        <v>53</v>
      </c>
      <c r="E6" s="46" t="s">
        <v>72</v>
      </c>
      <c r="F6" s="45" t="s">
        <v>60</v>
      </c>
      <c r="G6" s="46"/>
      <c r="H6" s="87" t="s">
        <v>159</v>
      </c>
      <c r="I6" s="45"/>
      <c r="J6" s="45"/>
      <c r="K6" s="45"/>
      <c r="L6" s="45" t="s">
        <v>83</v>
      </c>
      <c r="N6" s="103" t="s">
        <v>174</v>
      </c>
    </row>
    <row r="7" spans="1:14" ht="15.75" customHeight="1" x14ac:dyDescent="0.2">
      <c r="A7" s="45"/>
      <c r="B7" s="103" t="s">
        <v>179</v>
      </c>
      <c r="C7" s="49"/>
      <c r="D7" s="103" t="s">
        <v>165</v>
      </c>
      <c r="E7" s="45"/>
      <c r="F7" s="45" t="s">
        <v>62</v>
      </c>
      <c r="H7" s="87" t="s">
        <v>160</v>
      </c>
      <c r="I7" s="45"/>
      <c r="J7" s="45"/>
      <c r="K7" s="45"/>
      <c r="L7" s="45" t="s">
        <v>84</v>
      </c>
      <c r="N7" s="103" t="s">
        <v>176</v>
      </c>
    </row>
    <row r="8" spans="1:14" ht="15.75" customHeight="1" x14ac:dyDescent="0.2">
      <c r="A8" s="45"/>
      <c r="B8" s="103" t="s">
        <v>191</v>
      </c>
      <c r="C8" s="49"/>
      <c r="D8" s="103" t="s">
        <v>196</v>
      </c>
      <c r="E8" s="45"/>
      <c r="F8" s="45" t="s">
        <v>65</v>
      </c>
      <c r="G8" s="45"/>
      <c r="H8" s="45" t="s">
        <v>66</v>
      </c>
      <c r="I8" s="45"/>
      <c r="J8" s="45"/>
      <c r="K8" s="45"/>
      <c r="L8" s="45" t="s">
        <v>80</v>
      </c>
      <c r="N8" s="103" t="s">
        <v>177</v>
      </c>
    </row>
    <row r="9" spans="1:14" ht="15.75" customHeight="1" x14ac:dyDescent="0.2">
      <c r="A9" s="45"/>
      <c r="B9" s="103" t="s">
        <v>187</v>
      </c>
      <c r="C9" s="49"/>
      <c r="D9" s="103" t="s">
        <v>119</v>
      </c>
      <c r="E9" s="45"/>
      <c r="F9" s="48" t="s">
        <v>108</v>
      </c>
      <c r="G9" s="45"/>
      <c r="H9" s="45" t="s">
        <v>69</v>
      </c>
      <c r="I9" s="45"/>
      <c r="J9" s="45"/>
      <c r="K9" s="45"/>
      <c r="L9" s="103" t="s">
        <v>198</v>
      </c>
    </row>
    <row r="10" spans="1:14" ht="15.75" customHeight="1" x14ac:dyDescent="0.2">
      <c r="A10" s="45"/>
      <c r="B10" s="103" t="s">
        <v>189</v>
      </c>
      <c r="D10" s="103" t="s">
        <v>120</v>
      </c>
      <c r="E10" s="45"/>
      <c r="F10" s="46" t="s">
        <v>72</v>
      </c>
      <c r="G10" s="45"/>
      <c r="H10" s="87"/>
      <c r="I10" s="45"/>
      <c r="J10" s="45"/>
      <c r="K10" s="45"/>
      <c r="L10" s="103" t="s">
        <v>199</v>
      </c>
    </row>
    <row r="11" spans="1:14" ht="15.75" customHeight="1" x14ac:dyDescent="0.2">
      <c r="A11" s="45"/>
      <c r="B11" s="103" t="s">
        <v>190</v>
      </c>
      <c r="C11" s="45"/>
      <c r="D11" s="103" t="s">
        <v>166</v>
      </c>
      <c r="F11" s="45"/>
      <c r="G11" s="45"/>
      <c r="H11" s="45"/>
      <c r="I11" s="45"/>
      <c r="J11" s="45"/>
      <c r="K11" s="45"/>
      <c r="L11" s="103" t="s">
        <v>200</v>
      </c>
    </row>
    <row r="12" spans="1:14" ht="15.75" customHeight="1" x14ac:dyDescent="0.2">
      <c r="A12" s="45"/>
      <c r="B12" s="103" t="s">
        <v>188</v>
      </c>
      <c r="C12" s="45"/>
      <c r="D12" s="49" t="s">
        <v>60</v>
      </c>
      <c r="E12" s="45"/>
      <c r="F12" s="45"/>
      <c r="G12" s="45"/>
      <c r="H12" s="45"/>
      <c r="I12" s="45"/>
      <c r="J12" s="45"/>
      <c r="K12" s="45"/>
      <c r="L12" s="103" t="s">
        <v>201</v>
      </c>
    </row>
    <row r="13" spans="1:14" ht="15.75" customHeight="1" x14ac:dyDescent="0.2">
      <c r="A13" s="45"/>
      <c r="B13" s="103" t="s">
        <v>184</v>
      </c>
      <c r="C13" s="45"/>
      <c r="D13" s="103" t="s">
        <v>128</v>
      </c>
      <c r="E13" s="45"/>
      <c r="F13" s="45"/>
      <c r="G13" s="45"/>
      <c r="H13" s="45"/>
      <c r="I13" s="45"/>
      <c r="J13" s="45"/>
      <c r="K13" s="45"/>
      <c r="L13" s="103" t="s">
        <v>202</v>
      </c>
    </row>
    <row r="14" spans="1:14" ht="15.75" customHeight="1" x14ac:dyDescent="0.2">
      <c r="A14" s="45"/>
      <c r="B14" s="87" t="s">
        <v>155</v>
      </c>
      <c r="C14" s="45"/>
      <c r="D14" s="103" t="s">
        <v>121</v>
      </c>
      <c r="E14" s="45"/>
      <c r="F14" s="45"/>
      <c r="G14" s="45"/>
      <c r="H14" s="45"/>
      <c r="I14" s="45"/>
      <c r="J14" s="45"/>
      <c r="K14" s="45"/>
      <c r="L14" s="45" t="s">
        <v>73</v>
      </c>
    </row>
    <row r="15" spans="1:14" ht="15.75" customHeight="1" x14ac:dyDescent="0.2">
      <c r="A15" s="45"/>
      <c r="B15" s="103" t="s">
        <v>181</v>
      </c>
      <c r="C15" s="45"/>
      <c r="D15" s="50" t="s">
        <v>127</v>
      </c>
      <c r="E15" s="45"/>
      <c r="F15" s="45"/>
      <c r="G15" s="45"/>
      <c r="H15" s="45"/>
      <c r="I15" s="45"/>
      <c r="J15" s="45"/>
      <c r="K15" s="45"/>
      <c r="L15" s="45" t="s">
        <v>74</v>
      </c>
    </row>
    <row r="16" spans="1:14" ht="15.75" customHeight="1" x14ac:dyDescent="0.2">
      <c r="A16" s="45"/>
      <c r="B16" s="49" t="s">
        <v>112</v>
      </c>
      <c r="C16" s="45"/>
      <c r="D16" s="50" t="s">
        <v>126</v>
      </c>
      <c r="E16" s="45"/>
      <c r="F16" s="45"/>
      <c r="G16" s="45"/>
      <c r="H16" s="45"/>
      <c r="I16" s="45"/>
      <c r="J16" s="45"/>
      <c r="K16" s="45"/>
      <c r="L16" s="45" t="s">
        <v>75</v>
      </c>
    </row>
    <row r="17" spans="1:12" ht="15.75" customHeight="1" x14ac:dyDescent="0.2">
      <c r="A17" s="45"/>
      <c r="B17" s="103" t="s">
        <v>185</v>
      </c>
      <c r="C17" s="45"/>
      <c r="D17" s="50" t="s">
        <v>123</v>
      </c>
      <c r="E17" s="45"/>
      <c r="F17" s="45"/>
      <c r="G17" s="45"/>
      <c r="H17" s="45"/>
      <c r="I17" s="45"/>
      <c r="J17" s="45"/>
      <c r="K17" s="45"/>
      <c r="L17" s="45" t="s">
        <v>76</v>
      </c>
    </row>
    <row r="18" spans="1:12" ht="15.75" customHeight="1" x14ac:dyDescent="0.2">
      <c r="B18" s="103" t="s">
        <v>186</v>
      </c>
      <c r="D18" s="50" t="s">
        <v>122</v>
      </c>
      <c r="L18" s="45" t="s">
        <v>77</v>
      </c>
    </row>
    <row r="19" spans="1:12" ht="15.75" customHeight="1" x14ac:dyDescent="0.2">
      <c r="B19" s="103" t="s">
        <v>180</v>
      </c>
      <c r="D19" s="50" t="s">
        <v>125</v>
      </c>
      <c r="L19" s="88" t="s">
        <v>161</v>
      </c>
    </row>
    <row r="20" spans="1:12" ht="15.75" customHeight="1" x14ac:dyDescent="0.2">
      <c r="B20" s="103" t="s">
        <v>193</v>
      </c>
      <c r="D20" s="50" t="s">
        <v>124</v>
      </c>
    </row>
    <row r="21" spans="1:12" ht="15.75" customHeight="1" x14ac:dyDescent="0.2">
      <c r="B21" s="103" t="s">
        <v>195</v>
      </c>
      <c r="D21" s="103" t="s">
        <v>204</v>
      </c>
    </row>
    <row r="22" spans="1:12" ht="15.75" customHeight="1" x14ac:dyDescent="0.2">
      <c r="B22" s="103" t="s">
        <v>194</v>
      </c>
      <c r="D22" s="46" t="s">
        <v>72</v>
      </c>
    </row>
    <row r="23" spans="1:12" ht="15.75" customHeight="1" x14ac:dyDescent="0.2">
      <c r="B23" s="103" t="s">
        <v>192</v>
      </c>
    </row>
    <row r="24" spans="1:12" ht="15.75" customHeight="1" x14ac:dyDescent="0.2">
      <c r="B24" s="45" t="s">
        <v>79</v>
      </c>
    </row>
    <row r="25" spans="1:12" ht="15.75" customHeight="1" x14ac:dyDescent="0.2">
      <c r="B25" s="103" t="s">
        <v>72</v>
      </c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D3:D21">
    <sortCondition ref="D3:D2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Spikes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2023-02-27T22:28:52Z</dcterms:modified>
</cp:coreProperties>
</file>