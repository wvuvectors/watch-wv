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mc:AlternateContent xmlns:mc="http://schemas.openxmlformats.org/markup-compatibility/2006">
    <mc:Choice Requires="x15">
      <x15ac:absPath xmlns:x15ac="http://schemas.microsoft.com/office/spreadsheetml/2010/11/ac" url="/Users/tpd0001/Library/CloudStorage/GoogleDrive-wvuvectors@gmail.com/My Drive/DRISCOLL_LAB/2 PROJECTS/WaTCH/TESTING_LAB/WORKFLOW_RUNS/2026-10-15/"/>
    </mc:Choice>
  </mc:AlternateContent>
  <xr:revisionPtr revIDLastSave="0" documentId="13_ncr:1_{7CF93158-CAA3-2A4A-A8E5-AAEB61AB3F80}" xr6:coauthVersionLast="47" xr6:coauthVersionMax="47" xr10:uidLastSave="{00000000-0000-0000-0000-000000000000}"/>
  <bookViews>
    <workbookView xWindow="0" yWindow="660" windowWidth="30240" windowHeight="18980" xr2:uid="{00000000-000D-0000-FFFF-FFFF00000000}"/>
  </bookViews>
  <sheets>
    <sheet name="Metadata" sheetId="1" r:id="rId1"/>
    <sheet name="ASSAY Respiratory Multiplex" sheetId="9" r:id="rId2"/>
    <sheet name="ASSAY Norovirus" sheetId="21" r:id="rId3"/>
    <sheet name="ASSAY Pertussis" sheetId="22" r:id="rId4"/>
    <sheet name="ASSAY Measles" sheetId="23" r:id="rId5"/>
    <sheet name="Plate Map Review" sheetId="16" r:id="rId6"/>
    <sheet name="Lis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xPJQQCoaOzu+wtu2GwLx7XIKgcaMfvHhaDJ/Cq+kM="/>
    </ext>
  </extLst>
</workbook>
</file>

<file path=xl/calcChain.xml><?xml version="1.0" encoding="utf-8"?>
<calcChain xmlns="http://schemas.openxmlformats.org/spreadsheetml/2006/main">
  <c r="C10" i="16" l="1"/>
  <c r="D10" i="16"/>
  <c r="E10" i="16"/>
  <c r="F10" i="16"/>
  <c r="G10" i="16"/>
  <c r="H10" i="16"/>
  <c r="I10" i="16"/>
  <c r="J10" i="16"/>
  <c r="K10" i="16"/>
  <c r="L10" i="16"/>
  <c r="M10" i="16"/>
  <c r="N10" i="16"/>
  <c r="C11" i="16"/>
  <c r="D11" i="16"/>
  <c r="E11" i="16"/>
  <c r="F11" i="16"/>
  <c r="G11" i="16"/>
  <c r="H11" i="16"/>
  <c r="I11" i="16"/>
  <c r="J11" i="16"/>
  <c r="K11" i="16"/>
  <c r="L11" i="16"/>
  <c r="M11" i="16"/>
  <c r="N11" i="16"/>
  <c r="N17" i="16"/>
  <c r="M17" i="16"/>
  <c r="L17" i="16"/>
  <c r="K17" i="16"/>
  <c r="J17" i="16"/>
  <c r="I17" i="16"/>
  <c r="H17" i="16"/>
  <c r="G17" i="16"/>
  <c r="F17" i="16"/>
  <c r="E17" i="16"/>
  <c r="D17" i="16"/>
  <c r="C17" i="16"/>
  <c r="N16" i="16"/>
  <c r="M16" i="16"/>
  <c r="L16" i="16"/>
  <c r="K16" i="16"/>
  <c r="J16" i="16"/>
  <c r="I16" i="16"/>
  <c r="H16" i="16"/>
  <c r="G16" i="16"/>
  <c r="F16" i="16"/>
  <c r="E16" i="16"/>
  <c r="D16" i="16"/>
  <c r="C16" i="16"/>
  <c r="N15" i="16"/>
  <c r="M15" i="16"/>
  <c r="L15" i="16"/>
  <c r="K15" i="16"/>
  <c r="J15" i="16"/>
  <c r="I15" i="16"/>
  <c r="H15" i="16"/>
  <c r="G15" i="16"/>
  <c r="F15" i="16"/>
  <c r="E15" i="16"/>
  <c r="D15" i="16"/>
  <c r="C15" i="16"/>
  <c r="N14" i="16"/>
  <c r="M14" i="16"/>
  <c r="L14" i="16"/>
  <c r="K14" i="16"/>
  <c r="J14" i="16"/>
  <c r="I14" i="16"/>
  <c r="H14" i="16"/>
  <c r="G14" i="16"/>
  <c r="F14" i="16"/>
  <c r="E14" i="16"/>
  <c r="D14" i="16"/>
  <c r="C14" i="16"/>
  <c r="N13" i="16"/>
  <c r="M13" i="16"/>
  <c r="L13" i="16"/>
  <c r="K13" i="16"/>
  <c r="J13" i="16"/>
  <c r="I13" i="16"/>
  <c r="H13" i="16"/>
  <c r="G13" i="16"/>
  <c r="F13" i="16"/>
  <c r="E13" i="16"/>
  <c r="D13" i="16"/>
  <c r="C13" i="16"/>
  <c r="N12" i="16"/>
  <c r="M12" i="16"/>
  <c r="L12" i="16"/>
  <c r="K12" i="16"/>
  <c r="J12" i="16"/>
  <c r="I12" i="16"/>
  <c r="H12" i="16"/>
  <c r="G12" i="16"/>
  <c r="F12" i="16"/>
  <c r="E12" i="16"/>
  <c r="D12" i="16"/>
  <c r="C12" i="16"/>
  <c r="I7" i="23"/>
  <c r="I7" i="22"/>
  <c r="I7" i="21"/>
  <c r="I7" i="9"/>
  <c r="D30" i="23"/>
  <c r="K9" i="23" s="1"/>
  <c r="K16" i="23"/>
  <c r="K14" i="23"/>
  <c r="I8" i="23"/>
  <c r="I6" i="23"/>
  <c r="D30" i="22"/>
  <c r="K9" i="22" s="1"/>
  <c r="K16" i="22"/>
  <c r="K14" i="22"/>
  <c r="I8" i="22"/>
  <c r="I6" i="22"/>
  <c r="D30" i="21"/>
  <c r="K9" i="21" s="1"/>
  <c r="K16" i="21"/>
  <c r="K14" i="21"/>
  <c r="I8" i="21"/>
  <c r="I6" i="21"/>
  <c r="K16" i="9"/>
  <c r="K14" i="9"/>
  <c r="I6" i="9"/>
  <c r="I5" i="9" s="1"/>
  <c r="I8" i="9"/>
  <c r="D30" i="9"/>
  <c r="K9" i="9" s="1"/>
  <c r="I5" i="21" l="1"/>
  <c r="I10" i="21" s="1"/>
  <c r="D19" i="16"/>
  <c r="K6" i="23"/>
  <c r="K8" i="23"/>
  <c r="K7" i="23"/>
  <c r="K6" i="22"/>
  <c r="K7" i="22"/>
  <c r="K8" i="22"/>
  <c r="K7" i="21"/>
  <c r="K6" i="21"/>
  <c r="I5" i="23"/>
  <c r="I10" i="23" s="1"/>
  <c r="I5" i="22"/>
  <c r="I10" i="22" s="1"/>
  <c r="K10" i="21"/>
  <c r="K13" i="21"/>
  <c r="K15" i="21" s="1"/>
  <c r="K8" i="21"/>
  <c r="K7" i="9"/>
  <c r="K6" i="9"/>
  <c r="K8" i="9"/>
  <c r="I10" i="9"/>
  <c r="K5" i="21" l="1"/>
  <c r="K10" i="9"/>
  <c r="K5" i="9"/>
  <c r="K5" i="23"/>
  <c r="K13" i="23"/>
  <c r="K15" i="23" s="1"/>
  <c r="K10" i="23"/>
  <c r="K13" i="22"/>
  <c r="K15" i="22" s="1"/>
  <c r="K5" i="22"/>
  <c r="K10" i="22"/>
  <c r="K13" i="9"/>
  <c r="K15" i="9" s="1"/>
</calcChain>
</file>

<file path=xl/sharedStrings.xml><?xml version="1.0" encoding="utf-8"?>
<sst xmlns="http://schemas.openxmlformats.org/spreadsheetml/2006/main" count="543" uniqueCount="293">
  <si>
    <t>Batch Type</t>
  </si>
  <si>
    <t>Batch Record Version</t>
  </si>
  <si>
    <t>Date</t>
  </si>
  <si>
    <t>Run by</t>
  </si>
  <si>
    <t>Machine</t>
  </si>
  <si>
    <t>Zoo QX200</t>
  </si>
  <si>
    <t>Batch ID</t>
  </si>
  <si>
    <t>Analysis Software Version</t>
  </si>
  <si>
    <t>Bio-Rad OneStep RT-ddPCR Advanced Kit for Probes</t>
  </si>
  <si>
    <t>xxxxxxx</t>
  </si>
  <si>
    <t>Quantification Type</t>
  </si>
  <si>
    <t>Batch Comment</t>
  </si>
  <si>
    <t>None</t>
  </si>
  <si>
    <t>FAM</t>
  </si>
  <si>
    <t>Target</t>
  </si>
  <si>
    <t>SARS-CoV-2</t>
  </si>
  <si>
    <t>RNA</t>
  </si>
  <si>
    <t>PCR Negative</t>
  </si>
  <si>
    <t>NA</t>
  </si>
  <si>
    <t>PCR Positive</t>
  </si>
  <si>
    <t>LV-SARS_N</t>
  </si>
  <si>
    <t>FAM/HEX</t>
  </si>
  <si>
    <t>HEX</t>
  </si>
  <si>
    <t>A</t>
  </si>
  <si>
    <t>B</t>
  </si>
  <si>
    <t>C</t>
  </si>
  <si>
    <t>D</t>
  </si>
  <si>
    <t>E</t>
  </si>
  <si>
    <t>F</t>
  </si>
  <si>
    <t>G</t>
  </si>
  <si>
    <t>H</t>
  </si>
  <si>
    <t>Sample in each reaction mix (µL):</t>
  </si>
  <si>
    <t>Step</t>
  </si>
  <si>
    <t>Temp (°C)</t>
  </si>
  <si>
    <t>Time (min)</t>
  </si>
  <si>
    <t>Cycles</t>
  </si>
  <si>
    <t>Machine IDs</t>
  </si>
  <si>
    <t>Targets</t>
  </si>
  <si>
    <t>Categories</t>
  </si>
  <si>
    <t>Target Macromolecules</t>
  </si>
  <si>
    <t>Control Templates</t>
  </si>
  <si>
    <t>Control Types</t>
  </si>
  <si>
    <t>Fluorophores</t>
  </si>
  <si>
    <t>Amplification Methods</t>
  </si>
  <si>
    <t>Assay Types</t>
  </si>
  <si>
    <t>Assays</t>
  </si>
  <si>
    <t>Hosts</t>
  </si>
  <si>
    <t>Zoo QX600</t>
  </si>
  <si>
    <t>Pathogen</t>
  </si>
  <si>
    <t>DNA</t>
  </si>
  <si>
    <t>Bio-Rad ddPCR Supermix for Probes</t>
  </si>
  <si>
    <t>Rare Mutation Detection</t>
  </si>
  <si>
    <t>Other</t>
  </si>
  <si>
    <t>Gene or Genomic Region</t>
  </si>
  <si>
    <t>Cy5</t>
  </si>
  <si>
    <t>Avian</t>
  </si>
  <si>
    <t>Internal Control</t>
  </si>
  <si>
    <t>Protein</t>
  </si>
  <si>
    <t>Cy5.5</t>
  </si>
  <si>
    <t>Swine</t>
  </si>
  <si>
    <t>ROX</t>
  </si>
  <si>
    <t>Multiple</t>
  </si>
  <si>
    <t>PMMoV</t>
  </si>
  <si>
    <t>ATTO 590</t>
  </si>
  <si>
    <t>Cy5/Cy5.5</t>
  </si>
  <si>
    <t>Human</t>
  </si>
  <si>
    <t>GTM GT-Digital Flu;SC2;RSV Wastewater Surveillance Panel v1.0 for the Bio-Rad QX600 (100735)</t>
  </si>
  <si>
    <t>GTM GT-Digital MeV WT Wastewater Surveillance Assay v1.0 for the QX200/QX600 (100840)</t>
  </si>
  <si>
    <t>Zoo Qiacuity 1</t>
  </si>
  <si>
    <t>-----------------------------</t>
  </si>
  <si>
    <t>GTM dPCR NVO;Mpox Assay Kit v1.0 for the QX200-BETA (100458)</t>
  </si>
  <si>
    <t>QIAcuity OneStep Advanced Probe Kit</t>
  </si>
  <si>
    <t>GTM dPCR NVO;Mpox Assay Kit v1.0 for the QX200-BETA (100458) plus GT-Digitial Mpox Clade I OPG210 ROX Add-On for the QX600 (100865)</t>
  </si>
  <si>
    <t>GTM dPCR Norovirus GI;GII Assay Kit for the Bio-Rad QX200 (100468)</t>
  </si>
  <si>
    <t>Bio-Rad Influenza A (M), B (NEP/NS1), Human (RNAse P) Triplex (dEXD84844642)</t>
  </si>
  <si>
    <t>Bio-Rad SARS-CoV-2 (HVdel69-70) (dMDS944624402)</t>
  </si>
  <si>
    <t>Bio-Rad SARS-CoV-2 (N1, N2) Duplex (dEXD15704188)</t>
  </si>
  <si>
    <t>Bio-Rad SARS-CoV-2 (N1, N2), BRSV (N) Triplex (dEXD41434415)</t>
  </si>
  <si>
    <t>Bio-Rad SARS-CoV-2 (N1, N2), Human (RNAse P) Triplex (dEXD28563542)</t>
  </si>
  <si>
    <t>Bio-Rad SARS-CoV-2 (N1) (dEXD54243734)</t>
  </si>
  <si>
    <t>Bio-Rad SARS-CoV-2 (N2) (dEXD28513507)</t>
  </si>
  <si>
    <t>Bio-Rad Variant SARS-CoV-2 Multiplex (dEXD15841942)</t>
  </si>
  <si>
    <t>GTM GT-Digital infA;infB Assay Kit v1.1 for the QIAcuity-BETA (100519-1.1)</t>
  </si>
  <si>
    <t>GTM GT-Digital MeV WT M Gene WW Surveillance Assay v1.0 for the Qiacuity-BETA (101035)</t>
  </si>
  <si>
    <t>SARS-CoV-2 (N1)</t>
  </si>
  <si>
    <t>SARS-CoV-2 (N2)</t>
  </si>
  <si>
    <t>SARS-CoV-2 (SC2)</t>
  </si>
  <si>
    <t>Influenza Virus A (M)</t>
  </si>
  <si>
    <t>Influenza Virus B (NEP/NS1)</t>
  </si>
  <si>
    <t>Human Immunodeficiency Virus 1</t>
  </si>
  <si>
    <t>Human Immunodeficiency Virus 2</t>
  </si>
  <si>
    <t>Non-Variola Orthopoxviruses</t>
  </si>
  <si>
    <t>Pepper Mild Mottle Virus</t>
  </si>
  <si>
    <t>Human (RNase P)</t>
  </si>
  <si>
    <t>Norovirus GI, Human (ORF1_2)</t>
  </si>
  <si>
    <t>Norovirus GII, Human (ORF1_2)</t>
  </si>
  <si>
    <t>Oligomer</t>
  </si>
  <si>
    <t>Influenza A</t>
  </si>
  <si>
    <t>Influenza B</t>
  </si>
  <si>
    <t>Assay Method</t>
  </si>
  <si>
    <t>Assay Method Lot ID</t>
  </si>
  <si>
    <t>Amplification Method</t>
  </si>
  <si>
    <t>Amplification Method Lot ID</t>
  </si>
  <si>
    <t>Mpox Virus Clade I (F3L)</t>
  </si>
  <si>
    <t>Mpox Virus Clade II (F3L)</t>
  </si>
  <si>
    <t>Measles Virus, Wild-Type (N)</t>
  </si>
  <si>
    <t>GTM GT-Digital MeV Cy5 WW SurvAssay for QIAcuity v1.0 (100831)</t>
  </si>
  <si>
    <t>----------------------------- DROPLET DIGITAL ASSAYS -----------------------------</t>
  </si>
  <si>
    <t>----------------------------- DIGITAL ASSAYS -----------------------------</t>
  </si>
  <si>
    <t>GTM GT-Digital Norovirus GI;Norovirus GII Assay Kit for the QIAcuity Digital PCR System v1.1 (100469-1.1)</t>
  </si>
  <si>
    <t>GTM GT-Digital NVO;Mpox Assay Kit for the QIAcuity Digital PCR System v1.1 - BETA (100459-1.1)</t>
  </si>
  <si>
    <t>GTM GT-Digital C. auris;C. jejuni Assay Kit for the QIAcuity Digital PCR System v1.1 - BETA (100529-1.1)</t>
  </si>
  <si>
    <t>GTM GT-Digital Flu;SC2;RSV WW Surveillance Panel for QIAcuity R001 (100740)</t>
  </si>
  <si>
    <t>GTM GT-Digital B. pertussis WW Surv Assay v1.0 for the QIAcuity R001 (101125)</t>
  </si>
  <si>
    <t>Measles Virus, Wild-Type (M)</t>
  </si>
  <si>
    <t>Analysis Software Versions</t>
  </si>
  <si>
    <t>Pertussis, Bordetella</t>
  </si>
  <si>
    <t>Negative Control Wells</t>
  </si>
  <si>
    <t>Positive Control Template</t>
  </si>
  <si>
    <t>Positive Control Wells</t>
  </si>
  <si>
    <t>Fluorophore</t>
  </si>
  <si>
    <t>A01</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</si>
  <si>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</si>
  <si>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</si>
  <si>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</si>
  <si>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</si>
  <si>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</si>
  <si>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</si>
  <si>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</si>
  <si>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</si>
  <si>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</si>
  <si>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</si>
  <si>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</si>
  <si>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</si>
  <si>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</si>
  <si>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</si>
  <si>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</si>
  <si>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</si>
  <si>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</si>
  <si>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</si>
  <si>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</si>
  <si>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</si>
  <si>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</si>
  <si>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</si>
  <si>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</si>
  <si>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</si>
  <si>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</si>
  <si>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</si>
  <si>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</si>
  <si>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</si>
  <si>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</si>
  <si>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</si>
  <si>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</si>
  <si>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</si>
  <si>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</si>
  <si>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</si>
  <si>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</si>
  <si>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Well</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</si>
  <si>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</si>
  <si>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</si>
  <si>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</si>
  <si>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</si>
  <si>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</si>
  <si>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</si>
  <si>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</si>
  <si>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</si>
  <si>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</si>
  <si>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</si>
  <si>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</si>
  <si>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</si>
  <si>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</si>
  <si>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</si>
  <si>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</si>
  <si>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</si>
  <si>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</si>
  <si>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</si>
  <si>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</si>
  <si>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</si>
  <si>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</si>
  <si>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</si>
  <si>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</si>
  <si>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</si>
  <si>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</si>
  <si>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</si>
  <si>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</si>
  <si>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</si>
  <si>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</si>
  <si>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</si>
  <si>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</si>
  <si>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</si>
  <si>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</si>
  <si>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</si>
  <si>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</si>
  <si>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</si>
  <si>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</si>
  <si>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</si>
  <si>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</si>
  <si>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</si>
  <si>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</si>
  <si>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</si>
  <si>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</si>
  <si>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</si>
  <si>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</si>
  <si>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</si>
  <si>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</si>
  <si>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</si>
  <si>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</si>
  <si>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</si>
  <si>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</si>
  <si>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</si>
  <si>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</si>
  <si>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</si>
  <si>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</si>
  <si>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</si>
  <si>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</si>
  <si>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</si>
  <si>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</si>
  <si>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</si>
  <si>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Water (µL):</t>
  </si>
  <si>
    <t>Supermix (µL):</t>
  </si>
  <si>
    <t>Assay (20X) (µL):</t>
  </si>
  <si>
    <t>PCR Reaction Conditions</t>
  </si>
  <si>
    <t>Reverse Transcription (RT)</t>
  </si>
  <si>
    <t>Anneal &amp; Extend</t>
  </si>
  <si>
    <t>MASTERmix in each reaction mix (µL):</t>
  </si>
  <si>
    <t>RT (µL):</t>
  </si>
  <si>
    <t>Total Volume (µL):</t>
  </si>
  <si>
    <t>Enzyme Activation</t>
  </si>
  <si>
    <t>Denaturation</t>
  </si>
  <si>
    <t>&lt;- Do not change!</t>
  </si>
  <si>
    <t>These values are used to adjust the MASTERmix and reaction volumes so they can be pipetted effectively.</t>
  </si>
  <si>
    <t>Transfer Adjustment:</t>
  </si>
  <si>
    <t>MASTERmix Adjustment:</t>
  </si>
  <si>
    <t>Instructions</t>
  </si>
  <si>
    <t>Respiratory Syncytial Virus, Bovine</t>
  </si>
  <si>
    <t>Respiratory Syncytial Virus, Human (G)</t>
  </si>
  <si>
    <t>10 sec</t>
  </si>
  <si>
    <t>Quantification</t>
  </si>
  <si>
    <t>Reaction Vol uL</t>
  </si>
  <si>
    <t>Assay Comment</t>
  </si>
  <si>
    <t>Sample Input Vol uL</t>
  </si>
  <si>
    <t>Compatible molecular assays can be run on the same quantification (Q) plate, as long as the PCR cycling conditions are the same. This is accomplished by running each assay in a separate block of wells.</t>
  </si>
  <si>
    <t>This value auto-updates as you add sample and control IDs to the Plate Map above. It ensures a correct MASTERmix volume.</t>
  </si>
  <si>
    <t>&lt;- The Assay Plate is also known as the Partition Plate (QIAcuity) or ddPCR plate (QX System).</t>
  </si>
  <si>
    <t>&lt;- This is the total volume of each reaction in the PrePlate. There is a little extra volume to make sure you can pipette effectively in step 6.</t>
  </si>
  <si>
    <t>Real-Time qPCR (indirect)</t>
  </si>
  <si>
    <t>Digital PCR (dPCR)</t>
  </si>
  <si>
    <t>Droplet Digital PCR (ddPCR)</t>
  </si>
  <si>
    <t>&lt;- Use this volume to choose the necessary tube size.</t>
  </si>
  <si>
    <t>Vol (uL)</t>
  </si>
  <si>
    <t>Transfer vol for each well (µL):</t>
  </si>
  <si>
    <t>Total vol for each reaction mix (µL):</t>
  </si>
  <si>
    <t>Reaction mix ingredient</t>
  </si>
  <si>
    <t>MASTERmix ingredient</t>
  </si>
  <si>
    <t>TOTAL MASTERmix (uL)</t>
  </si>
  <si>
    <t>MASTERmix for single reaction (uL)</t>
  </si>
  <si>
    <t>DTT (300 mM) (uL):</t>
  </si>
  <si>
    <r>
      <t xml:space="preserve">The values in this sheet will automatically update as you complete the ASSAY sheets. </t>
    </r>
    <r>
      <rPr>
        <b/>
        <u/>
        <sz val="22"/>
        <color theme="1"/>
        <rFont val="Arial"/>
        <family val="2"/>
      </rPr>
      <t>This sheet is provided only as a convenience</t>
    </r>
    <r>
      <rPr>
        <sz val="22"/>
        <color theme="1"/>
        <rFont val="Arial"/>
        <family val="2"/>
      </rPr>
      <t>, particularly for final plate validation and run setup. It is not used in the data analysis workflow.</t>
    </r>
  </si>
  <si>
    <t>Just like the Plate Map above, this value auto-updates as you add sample and control IDs to the ASSAY sheets.</t>
  </si>
  <si>
    <t>Full Plate Map</t>
  </si>
  <si>
    <t>PLEASE DO NOT ENTER OR CHANGE VALUES IN THE PLATE MAP BELOW.</t>
  </si>
  <si>
    <t>For Review Only</t>
  </si>
  <si>
    <t>Confirm or update the Metadata in the panel to the left and the PCR Reaction Conditions in the panel above. Then complete each ASSAY sheet in this workbook. If you are not running an assay, simply leave the plate map on that sheet EMPTY.</t>
  </si>
  <si>
    <r>
      <t xml:space="preserve">1. (a) Enter the Assay metadata below. </t>
    </r>
    <r>
      <rPr>
        <sz val="18"/>
        <rFont val="Arial"/>
        <family val="2"/>
        <scheme val="minor"/>
      </rPr>
      <t xml:space="preserve">This can affect the MASTERmix formulation so it should be done before first. </t>
    </r>
    <r>
      <rPr>
        <b/>
        <sz val="18"/>
        <rFont val="Arial"/>
        <family val="2"/>
        <scheme val="minor"/>
      </rPr>
      <t>(b) Confirm the fluorophores &amp; targets</t>
    </r>
    <r>
      <rPr>
        <sz val="18"/>
        <rFont val="Arial"/>
        <family val="2"/>
        <scheme val="minor"/>
      </rPr>
      <t xml:space="preserve"> match the selected Assay. </t>
    </r>
    <r>
      <rPr>
        <b/>
        <sz val="18"/>
        <rFont val="Arial"/>
        <family val="2"/>
        <scheme val="minor"/>
      </rPr>
      <t>(c) Enter the control wells</t>
    </r>
    <r>
      <rPr>
        <sz val="18"/>
        <rFont val="Arial"/>
        <family val="2"/>
        <scheme val="minor"/>
      </rPr>
      <t>, separating multiple control wells with a comma as necessary.</t>
    </r>
  </si>
  <si>
    <r>
      <t xml:space="preserve">2. Enter the sample and control IDs in the Plate Map below. </t>
    </r>
    <r>
      <rPr>
        <sz val="18"/>
        <rFont val="Arial"/>
        <family val="2"/>
        <scheme val="minor"/>
      </rPr>
      <t xml:space="preserve">This determines the total reactions needed, and the volumes of each reagent to add, so it must be done </t>
    </r>
    <r>
      <rPr>
        <b/>
        <sz val="18"/>
        <rFont val="Arial"/>
        <family val="2"/>
        <scheme val="minor"/>
      </rPr>
      <t>before preparing the MASTERmix</t>
    </r>
    <r>
      <rPr>
        <sz val="18"/>
        <rFont val="Arial"/>
        <family val="2"/>
        <scheme val="minor"/>
      </rPr>
      <t>.</t>
    </r>
    <r>
      <rPr>
        <b/>
        <sz val="18"/>
        <rFont val="Arial"/>
        <family val="2"/>
        <scheme val="minor"/>
      </rPr>
      <t xml:space="preserve"> IMPORTANT: Do not change any values in these two panels manually! </t>
    </r>
    <r>
      <rPr>
        <sz val="18"/>
        <rFont val="Arial"/>
        <family val="2"/>
        <scheme val="minor"/>
      </rPr>
      <t>They are automatically calculated for you from the metadata and Plate Map data.</t>
    </r>
  </si>
  <si>
    <r>
      <rPr>
        <b/>
        <sz val="18"/>
        <rFont val="Arial"/>
        <family val="2"/>
        <scheme val="minor"/>
      </rPr>
      <t>3. Use the values in the TOTAL MASTERmix column of this panel to set up your MASTERmix</t>
    </r>
    <r>
      <rPr>
        <sz val="18"/>
        <rFont val="Arial"/>
        <family val="2"/>
        <scheme val="minor"/>
      </rPr>
      <t xml:space="preserve"> for all assay reactions (including positive and negative controls). Make sure all solutions are mixed thoroughly! The values in this panel update automatically as you add reactions to the Plate Map. </t>
    </r>
  </si>
  <si>
    <r>
      <t xml:space="preserve">4. Add this volume of MASTERmix (as prepared above) </t>
    </r>
    <r>
      <rPr>
        <sz val="16"/>
        <rFont val="Arial"/>
        <family val="2"/>
        <scheme val="minor"/>
      </rPr>
      <t>to each well of the PrePlate as laid out in the Plate Map below.</t>
    </r>
  </si>
  <si>
    <r>
      <t xml:space="preserve">5. Add this volume of sample (or control, or water for NTC) </t>
    </r>
    <r>
      <rPr>
        <sz val="16"/>
        <rFont val="Arial"/>
        <family val="2"/>
        <scheme val="minor"/>
      </rPr>
      <t>to each well of the PrePlate as laid out in the Plate Map below.</t>
    </r>
  </si>
  <si>
    <r>
      <t>6. Transfer this vol of reaction to each well of the Assay Plate</t>
    </r>
    <r>
      <rPr>
        <sz val="16"/>
        <rFont val="Arial"/>
        <family val="2"/>
        <scheme val="minor"/>
      </rPr>
      <t xml:space="preserve"> as laid out in the Plate Map below.</t>
    </r>
  </si>
  <si>
    <t>Samples in Block</t>
  </si>
  <si>
    <t>Samples on Plate</t>
  </si>
  <si>
    <t>BB</t>
  </si>
  <si>
    <t xml:space="preserve">First one with new template and multiple assays (Resp and Noro) </t>
  </si>
  <si>
    <t>C01-1379</t>
  </si>
  <si>
    <t>J01-1047</t>
  </si>
  <si>
    <t>C01-1380</t>
  </si>
  <si>
    <t>K01-0488</t>
  </si>
  <si>
    <t>C01-1381</t>
  </si>
  <si>
    <t>L01-1035</t>
  </si>
  <si>
    <t>C01-1382</t>
  </si>
  <si>
    <t>M03-1039</t>
  </si>
  <si>
    <t>C01-1383</t>
  </si>
  <si>
    <t>Q01-1047</t>
  </si>
  <si>
    <t>D01-1043</t>
  </si>
  <si>
    <t>R02-1045</t>
  </si>
  <si>
    <t>F01-1031</t>
  </si>
  <si>
    <t>U01-1016</t>
  </si>
  <si>
    <t>H01-1053</t>
  </si>
  <si>
    <t>W01-1032</t>
  </si>
  <si>
    <t>Pos</t>
  </si>
  <si>
    <t>NTC</t>
  </si>
  <si>
    <t>POS</t>
  </si>
  <si>
    <t>Q20261015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</si>
</sst>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x14ac:knownFonts="1">
    <font>
      <sz val="12"/>
      <color theme="1"/>
      <name val="Arial"/>
      <scheme val="minor"/>
    </font>
    <font>
      <sz val="12"/>
      <color theme="1"/>
      <name val="Arial"/>
      <family val="2"/>
      <scheme val="minor"/>
    </font>
    <font>
      <sz val="16"/>
      <color theme="1"/>
      <name val="Arial"/>
      <family val="2"/>
    </font>
    <font>
      <sz val="12"/>
      <color theme="1"/>
      <name val="Arial"/>
      <family val="2"/>
    </font>
    <font>
      <b/>
      <sz val="18"/>
      <color theme="1"/>
      <name val="Calibri"/>
      <family val="2"/>
    </font>
    <font>
      <sz val="12"/>
      <name val="Arial"/>
      <family val="2"/>
    </font>
    <font>
      <b/>
      <sz val="16"/>
      <color theme="1"/>
      <name val="Calibri"/>
      <family val="2"/>
    </font>
    <font>
      <sz val="14"/>
      <color theme="1"/>
      <name val="Arial"/>
      <family val="2"/>
    </font>
    <font>
      <b/>
      <sz val="12"/>
      <color theme="1"/>
      <name val="Arial"/>
      <family val="2"/>
    </font>
    <font>
      <sz val="12"/>
      <color rgb="FFFF0000"/>
      <name val="Arial"/>
      <family val="2"/>
    </font>
    <font>
      <b/>
      <sz val="14"/>
      <color theme="1"/>
      <name val="Arial"/>
      <family val="2"/>
      <scheme val="minor"/>
    </font>
    <font>
      <sz val="14"/>
      <color theme="1"/>
      <name val="Arial"/>
      <family val="2"/>
      <scheme val="minor"/>
    </font>
    <font>
      <sz val="14"/>
      <color theme="1"/>
      <name val="Arial (Body)"/>
    </font>
    <font>
      <b/>
      <sz val="16"/>
      <color theme="1"/>
      <name val="Arial"/>
      <family val="2"/>
      <scheme val="minor"/>
    </font>
    <font>
      <b/>
      <sz val="16"/>
      <color theme="0"/>
      <name val="Arial"/>
      <family val="2"/>
      <scheme val="minor"/>
    </font>
    <font>
      <sz val="16"/>
      <color theme="1"/>
      <name val="Arial"/>
      <family val="2"/>
      <scheme val="minor"/>
    </font>
    <font>
      <sz val="16"/>
      <color theme="1"/>
      <name val="Arial (Body)"/>
    </font>
    <font>
      <sz val="16"/>
      <name val="Arial"/>
      <family val="2"/>
    </font>
    <font>
      <i/>
      <sz val="16"/>
      <color theme="1"/>
      <name val="Arial"/>
      <family val="2"/>
      <scheme val="minor"/>
    </font>
    <font>
      <sz val="16"/>
      <color theme="0"/>
      <name val="Arial"/>
      <family val="2"/>
      <scheme val="minor"/>
    </font>
    <font>
      <b/>
      <sz val="18"/>
      <color theme="1"/>
      <name val="Arial"/>
      <family val="2"/>
      <scheme val="minor"/>
    </font>
    <font>
      <sz val="20"/>
      <color theme="1"/>
      <name val="Arial"/>
      <family val="2"/>
    </font>
    <font>
      <b/>
      <sz val="20"/>
      <color theme="1"/>
      <name val="Arial"/>
      <family val="2"/>
    </font>
    <font>
      <b/>
      <sz val="24"/>
      <color theme="1"/>
      <name val="Arial"/>
      <family val="2"/>
    </font>
    <font>
      <sz val="24"/>
      <color theme="1"/>
      <name val="Arial"/>
      <family val="2"/>
    </font>
    <font>
      <i/>
      <sz val="14"/>
      <color theme="1" tint="0.34998626667073579"/>
      <name val="Arial"/>
      <family val="2"/>
      <scheme val="minor"/>
    </font>
    <font>
      <sz val="36"/>
      <color theme="1"/>
      <name val="Arial"/>
      <family val="2"/>
    </font>
    <font>
      <i/>
      <sz val="16"/>
      <color theme="1"/>
      <name val="Arial"/>
      <family val="2"/>
    </font>
    <font>
      <sz val="15"/>
      <color theme="1"/>
      <name val="Arial"/>
      <family val="2"/>
      <scheme val="minor"/>
    </font>
    <font>
      <i/>
      <sz val="16"/>
      <color theme="1"/>
      <name val="Calibri"/>
      <family val="2"/>
    </font>
    <font>
      <sz val="18"/>
      <color theme="1"/>
      <name val="Arial"/>
      <family val="2"/>
    </font>
    <font>
      <b/>
      <sz val="18"/>
      <color theme="1"/>
      <name val="Arial"/>
      <family val="2"/>
    </font>
    <font>
      <b/>
      <sz val="24"/>
      <color theme="0"/>
      <name val="Arial"/>
      <family val="2"/>
      <scheme val="minor"/>
    </font>
    <font>
      <sz val="22"/>
      <color theme="1"/>
      <name val="Arial"/>
      <family val="2"/>
    </font>
    <font>
      <b/>
      <sz val="26"/>
      <color theme="1"/>
      <name val="Arial"/>
      <family val="2"/>
    </font>
    <font>
      <b/>
      <u/>
      <sz val="22"/>
      <color theme="1"/>
      <name val="Arial"/>
      <family val="2"/>
    </font>
    <font>
      <b/>
      <sz val="24"/>
      <name val="Arial"/>
      <family val="2"/>
    </font>
    <font>
      <i/>
      <sz val="16"/>
      <color theme="1"/>
      <name val="Arial (Body)"/>
    </font>
    <font>
      <b/>
      <sz val="18"/>
      <color rgb="FF000000"/>
      <name val="Calibri"/>
      <family val="2"/>
    </font>
    <font>
      <sz val="36"/>
      <color theme="1"/>
      <name val="Arial"/>
      <family val="2"/>
      <scheme val="minor"/>
    </font>
    <font>
      <i/>
      <sz val="26"/>
      <color theme="1"/>
      <name val="Arial"/>
      <family val="2"/>
      <scheme val="minor"/>
    </font>
    <font>
      <b/>
      <sz val="18"/>
      <color theme="0"/>
      <name val="Arial"/>
      <family val="2"/>
      <scheme val="minor"/>
    </font>
    <font>
      <b/>
      <sz val="18"/>
      <name val="Arial"/>
      <family val="2"/>
      <scheme val="minor"/>
    </font>
    <font>
      <sz val="18"/>
      <name val="Arial"/>
      <family val="2"/>
      <scheme val="minor"/>
    </font>
    <font>
      <i/>
      <sz val="18"/>
      <name val="Arial"/>
      <family val="2"/>
      <scheme val="minor"/>
    </font>
    <font>
      <b/>
      <sz val="16"/>
      <name val="Arial"/>
      <family val="2"/>
      <scheme val="minor"/>
    </font>
    <font>
      <sz val="16"/>
      <name val="Arial"/>
      <family val="2"/>
      <scheme val="minor"/>
    </font>
    <font>
      <i/>
      <sz val="14"/>
      <name val="Arial"/>
      <family val="2"/>
      <scheme val="minor"/>
    </font>
    <font>
      <b/>
      <sz val="20"/>
      <color theme="1"/>
      <name val="Calibri"/>
      <family val="2"/>
    </font>
    <font>
      <sz val="8"/>
      <name val="Arial"/>
      <family val="2"/>
      <scheme val="minor"/>
    </font>
  </fonts>
  <fills count="30">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rgb="FFFFE598"/>
        <bgColor rgb="FFFFE598"/>
      </patternFill>
    </fill>
    <fill>
      <patternFill patternType="solid">
        <fgColor theme="8"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rgb="FFDEEAF6"/>
      </patternFill>
    </fill>
    <fill>
      <patternFill patternType="solid">
        <fgColor theme="9" tint="-0.499984740745262"/>
        <bgColor rgb="FF00B0F0"/>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rgb="FFD8D8D8"/>
      </patternFill>
    </fill>
    <fill>
      <patternFill patternType="solid">
        <fgColor theme="8" tint="0.79998168889431442"/>
        <bgColor rgb="FFD8D8D8"/>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499984740745262"/>
        <bgColor rgb="FFDEEAF6"/>
      </patternFill>
    </fill>
    <fill>
      <patternFill patternType="solid">
        <fgColor theme="5" tint="0.79998168889431442"/>
        <bgColor rgb="FFDEEAF6"/>
      </patternFill>
    </fill>
    <fill>
      <patternFill patternType="solid">
        <fgColor rgb="FF7030A0"/>
        <bgColor indexed="64"/>
      </patternFill>
    </fill>
    <fill>
      <patternFill patternType="solid">
        <fgColor rgb="FFDED8FF"/>
        <bgColor indexed="64"/>
      </patternFill>
    </fill>
    <fill>
      <patternFill patternType="solid">
        <fgColor theme="0" tint="-4.9989318521683403E-2"/>
        <bgColor indexed="64"/>
      </patternFill>
    </fill>
    <fill>
      <patternFill patternType="solid">
        <fgColor rgb="FFE6EB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2F2F2"/>
        <bgColor rgb="FF000000"/>
      </patternFill>
    </fill>
    <fill>
      <patternFill patternType="solid">
        <fgColor rgb="FFD9D9D9"/>
        <bgColor rgb="FF000000"/>
      </patternFill>
    </fill>
  </fills>
  <borders count="3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4">
    <xf numFmtId="0" fontId="0" fillId="0" borderId="0" xfId="0"/>
    <xf numFmtId="0" fontId="2" fillId="0" borderId="0" xfId="0" applyFont="1" applyAlignment="1">
      <alignment horizontal="left" vertical="center"/>
    </xf>
    <xf numFmtId="0" fontId="2" fillId="0" borderId="0" xfId="0" applyFont="1"/>
    <xf numFmtId="0" fontId="3" fillId="0" borderId="0" xfId="0" applyFont="1"/>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8" fillId="4" borderId="1" xfId="0" applyFont="1" applyFill="1" applyBorder="1"/>
    <xf numFmtId="0" fontId="3" fillId="0" borderId="0" xfId="0" quotePrefix="1" applyFont="1"/>
    <xf numFmtId="0" fontId="9" fillId="0" borderId="0" xfId="0" applyFont="1"/>
    <xf numFmtId="0" fontId="8" fillId="4" borderId="3" xfId="0" applyFont="1" applyFill="1" applyBorder="1"/>
    <xf numFmtId="0" fontId="3" fillId="6" borderId="0" xfId="0" applyFont="1" applyFill="1"/>
    <xf numFmtId="0" fontId="8" fillId="4" borderId="3" xfId="0" applyFont="1" applyFill="1" applyBorder="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164" fontId="3" fillId="0" borderId="0" xfId="0" quotePrefix="1" applyNumberFormat="1" applyFont="1" applyAlignment="1">
      <alignment horizontal="left" vertical="center"/>
    </xf>
    <xf numFmtId="0" fontId="5" fillId="0" borderId="0" xfId="0" applyFont="1"/>
    <xf numFmtId="0" fontId="3" fillId="7" borderId="0" xfId="0" quotePrefix="1" applyFont="1" applyFill="1"/>
    <xf numFmtId="0" fontId="3" fillId="8" borderId="0" xfId="0" quotePrefix="1" applyFont="1" applyFill="1"/>
    <xf numFmtId="0" fontId="11" fillId="0" borderId="0" xfId="0" applyFont="1" applyAlignment="1">
      <alignment horizontal="center" vertical="center"/>
    </xf>
    <xf numFmtId="0" fontId="12" fillId="0" borderId="0" xfId="0" applyFont="1" applyAlignment="1">
      <alignment horizontal="center"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7" fillId="0" borderId="4" xfId="0" applyFont="1" applyBorder="1" applyAlignment="1">
      <alignment horizontal="center" vertical="center"/>
    </xf>
    <xf numFmtId="0" fontId="12" fillId="0" borderId="11" xfId="0" applyFont="1" applyBorder="1" applyAlignment="1">
      <alignment horizontal="center" vertical="center"/>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xf>
    <xf numFmtId="0" fontId="10" fillId="10"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2"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3" borderId="15"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10" xfId="0" applyFont="1" applyBorder="1" applyAlignment="1">
      <alignment horizontal="center" vertical="center"/>
    </xf>
    <xf numFmtId="0" fontId="4" fillId="3"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0" borderId="0" xfId="0" applyFont="1"/>
    <xf numFmtId="0" fontId="14" fillId="12" borderId="7" xfId="0" applyFont="1" applyFill="1" applyBorder="1" applyAlignment="1">
      <alignment horizontal="center" vertical="center"/>
    </xf>
    <xf numFmtId="0" fontId="13" fillId="5" borderId="9" xfId="0" applyFont="1" applyFill="1" applyBorder="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xf>
    <xf numFmtId="0" fontId="18" fillId="0" borderId="0" xfId="0" applyFont="1" applyAlignment="1">
      <alignment horizontal="left" vertical="center"/>
    </xf>
    <xf numFmtId="0" fontId="15" fillId="0" borderId="3" xfId="0" applyFont="1" applyBorder="1" applyAlignment="1">
      <alignment horizontal="left" vertical="center"/>
    </xf>
    <xf numFmtId="0" fontId="15" fillId="0" borderId="3" xfId="0" applyFont="1" applyBorder="1"/>
    <xf numFmtId="0" fontId="15" fillId="0" borderId="0" xfId="0" applyFont="1" applyAlignment="1">
      <alignment horizontal="right" vertical="center"/>
    </xf>
    <xf numFmtId="0" fontId="18" fillId="2" borderId="5" xfId="0" applyFont="1" applyFill="1" applyBorder="1" applyAlignment="1">
      <alignment horizontal="left" vertical="center"/>
    </xf>
    <xf numFmtId="0" fontId="18" fillId="2" borderId="7" xfId="0" applyFont="1" applyFill="1" applyBorder="1" applyAlignment="1">
      <alignment vertical="center"/>
    </xf>
    <xf numFmtId="0" fontId="18" fillId="2" borderId="18" xfId="0" applyFont="1" applyFill="1" applyBorder="1" applyAlignment="1">
      <alignment horizontal="left" vertical="center"/>
    </xf>
    <xf numFmtId="0" fontId="18" fillId="2" borderId="19" xfId="0" applyFont="1" applyFill="1" applyBorder="1" applyAlignment="1">
      <alignment horizontal="left" vertical="center"/>
    </xf>
    <xf numFmtId="0" fontId="1" fillId="0" borderId="0" xfId="0" applyFont="1"/>
    <xf numFmtId="0" fontId="13" fillId="5" borderId="3" xfId="0" applyFont="1" applyFill="1" applyBorder="1" applyAlignment="1">
      <alignment horizontal="center" vertical="center"/>
    </xf>
    <xf numFmtId="0" fontId="6" fillId="14" borderId="7" xfId="0" applyFont="1" applyFill="1" applyBorder="1" applyAlignment="1">
      <alignment horizontal="center" vertical="center"/>
    </xf>
    <xf numFmtId="0" fontId="15" fillId="6" borderId="8" xfId="0" applyFont="1" applyFill="1" applyBorder="1" applyAlignment="1">
      <alignment horizontal="left" vertical="center"/>
    </xf>
    <xf numFmtId="0" fontId="15" fillId="6" borderId="9" xfId="0" applyFont="1" applyFill="1" applyBorder="1" applyAlignment="1">
      <alignment horizontal="left" vertical="center"/>
    </xf>
    <xf numFmtId="0" fontId="28" fillId="13" borderId="5" xfId="0" applyFont="1" applyFill="1" applyBorder="1" applyAlignment="1">
      <alignment horizontal="right" vertical="center"/>
    </xf>
    <xf numFmtId="0" fontId="21" fillId="13" borderId="6" xfId="0" applyFont="1" applyFill="1" applyBorder="1" applyAlignment="1">
      <alignment horizontal="center" vertical="center"/>
    </xf>
    <xf numFmtId="0" fontId="28" fillId="13" borderId="10" xfId="0" applyFont="1" applyFill="1" applyBorder="1" applyAlignment="1">
      <alignment horizontal="right" vertical="center"/>
    </xf>
    <xf numFmtId="0" fontId="21" fillId="13" borderId="4" xfId="0" applyFont="1" applyFill="1" applyBorder="1" applyAlignment="1">
      <alignment horizontal="center" vertical="center"/>
    </xf>
    <xf numFmtId="0" fontId="0" fillId="0" borderId="3" xfId="0" applyBorder="1"/>
    <xf numFmtId="0" fontId="18" fillId="5" borderId="8" xfId="0" applyFont="1" applyFill="1" applyBorder="1" applyAlignment="1">
      <alignment horizontal="center" vertical="center"/>
    </xf>
    <xf numFmtId="0" fontId="18" fillId="5" borderId="10" xfId="0" applyFont="1" applyFill="1" applyBorder="1" applyAlignment="1">
      <alignment horizontal="center" vertical="center"/>
    </xf>
    <xf numFmtId="0" fontId="13" fillId="11" borderId="9" xfId="0" applyFont="1" applyFill="1" applyBorder="1" applyAlignment="1">
      <alignment horizontal="center" vertical="center"/>
    </xf>
    <xf numFmtId="0" fontId="12" fillId="0" borderId="3" xfId="0" applyFont="1" applyBorder="1" applyAlignment="1">
      <alignment horizontal="center" vertical="center"/>
    </xf>
    <xf numFmtId="0" fontId="13" fillId="11" borderId="11" xfId="0" applyFont="1" applyFill="1" applyBorder="1" applyAlignment="1">
      <alignment horizontal="center" vertical="center"/>
    </xf>
    <xf numFmtId="0" fontId="2" fillId="0" borderId="3" xfId="0" applyFont="1" applyBorder="1" applyAlignment="1">
      <alignment horizontal="left" vertical="center"/>
    </xf>
    <xf numFmtId="0" fontId="15" fillId="15" borderId="8" xfId="0" applyFont="1" applyFill="1" applyBorder="1" applyAlignment="1">
      <alignment horizontal="left" vertical="center"/>
    </xf>
    <xf numFmtId="0" fontId="15" fillId="15" borderId="9" xfId="0" applyFont="1" applyFill="1" applyBorder="1" applyAlignment="1">
      <alignment horizontal="left" vertical="center"/>
    </xf>
    <xf numFmtId="0" fontId="15" fillId="18" borderId="8" xfId="0" applyFont="1" applyFill="1" applyBorder="1" applyAlignment="1">
      <alignment horizontal="left" vertical="center"/>
    </xf>
    <xf numFmtId="0" fontId="15" fillId="18" borderId="9" xfId="0" applyFont="1" applyFill="1" applyBorder="1" applyAlignment="1">
      <alignment horizontal="left" vertical="center"/>
    </xf>
    <xf numFmtId="0" fontId="15" fillId="16" borderId="8" xfId="0" applyFont="1" applyFill="1" applyBorder="1" applyAlignment="1">
      <alignment horizontal="left" vertical="center"/>
    </xf>
    <xf numFmtId="14" fontId="15" fillId="16" borderId="9" xfId="0" applyNumberFormat="1" applyFont="1" applyFill="1" applyBorder="1" applyAlignment="1">
      <alignment horizontal="left" vertical="center"/>
    </xf>
    <xf numFmtId="0" fontId="14" fillId="19" borderId="5" xfId="0" applyFont="1" applyFill="1" applyBorder="1" applyAlignment="1">
      <alignment horizontal="center" vertical="center"/>
    </xf>
    <xf numFmtId="0" fontId="19" fillId="19" borderId="7" xfId="0" applyFont="1" applyFill="1" applyBorder="1" applyAlignment="1">
      <alignment horizontal="left" vertical="center"/>
    </xf>
    <xf numFmtId="0" fontId="14" fillId="19" borderId="8" xfId="0" applyFont="1" applyFill="1" applyBorder="1" applyAlignment="1">
      <alignment horizontal="center" vertical="center"/>
    </xf>
    <xf numFmtId="0" fontId="14" fillId="20" borderId="3" xfId="0" applyFont="1" applyFill="1" applyBorder="1" applyAlignment="1">
      <alignment horizontal="center" vertical="center"/>
    </xf>
    <xf numFmtId="0" fontId="19" fillId="19" borderId="9" xfId="0" applyFont="1" applyFill="1" applyBorder="1" applyAlignment="1">
      <alignment horizontal="left" vertical="center"/>
    </xf>
    <xf numFmtId="0" fontId="15" fillId="10" borderId="8" xfId="0" applyFont="1" applyFill="1" applyBorder="1" applyAlignment="1">
      <alignment horizontal="left" vertical="center"/>
    </xf>
    <xf numFmtId="0" fontId="15" fillId="21" borderId="3" xfId="0" applyFont="1" applyFill="1" applyBorder="1" applyAlignment="1">
      <alignment horizontal="center" vertical="center"/>
    </xf>
    <xf numFmtId="0" fontId="15" fillId="10" borderId="9" xfId="0" applyFont="1" applyFill="1" applyBorder="1" applyAlignment="1">
      <alignment horizontal="left" vertical="center"/>
    </xf>
    <xf numFmtId="0" fontId="15" fillId="21" borderId="21" xfId="0" applyFont="1" applyFill="1" applyBorder="1" applyAlignment="1">
      <alignment horizontal="center" vertical="center"/>
    </xf>
    <xf numFmtId="0" fontId="15" fillId="21" borderId="22" xfId="0" applyFont="1" applyFill="1" applyBorder="1" applyAlignment="1">
      <alignment horizontal="center" vertical="center"/>
    </xf>
    <xf numFmtId="0" fontId="15" fillId="21" borderId="24" xfId="0" applyFont="1" applyFill="1" applyBorder="1" applyAlignment="1">
      <alignment horizontal="center" vertical="center"/>
    </xf>
    <xf numFmtId="0" fontId="15" fillId="21" borderId="20" xfId="0" applyFont="1" applyFill="1" applyBorder="1" applyAlignment="1">
      <alignment horizontal="center" vertical="center"/>
    </xf>
    <xf numFmtId="0" fontId="18" fillId="17" borderId="8" xfId="0" applyFont="1" applyFill="1" applyBorder="1" applyAlignment="1">
      <alignment horizontal="left" vertical="center"/>
    </xf>
    <xf numFmtId="0" fontId="15" fillId="17" borderId="3" xfId="0" applyFont="1" applyFill="1" applyBorder="1" applyAlignment="1">
      <alignment horizontal="center" vertical="center"/>
    </xf>
    <xf numFmtId="0" fontId="15" fillId="17" borderId="9" xfId="0" applyFont="1" applyFill="1" applyBorder="1" applyAlignment="1">
      <alignment horizontal="left" vertical="center"/>
    </xf>
    <xf numFmtId="0" fontId="15" fillId="17" borderId="8" xfId="0" applyFont="1" applyFill="1" applyBorder="1" applyAlignment="1">
      <alignment horizontal="left" vertical="center"/>
    </xf>
    <xf numFmtId="0" fontId="15" fillId="17" borderId="10" xfId="0" applyFont="1" applyFill="1" applyBorder="1" applyAlignment="1">
      <alignment horizontal="left" vertical="center"/>
    </xf>
    <xf numFmtId="0" fontId="15" fillId="17" borderId="4" xfId="0" applyFont="1" applyFill="1" applyBorder="1" applyAlignment="1">
      <alignment horizontal="right" vertical="center"/>
    </xf>
    <xf numFmtId="0" fontId="15" fillId="17" borderId="4" xfId="0" applyFont="1" applyFill="1" applyBorder="1" applyAlignment="1">
      <alignment horizontal="center" vertical="center"/>
    </xf>
    <xf numFmtId="0" fontId="15" fillId="17" borderId="11" xfId="0" applyFont="1" applyFill="1" applyBorder="1" applyAlignment="1">
      <alignment horizontal="left" vertical="center"/>
    </xf>
    <xf numFmtId="164" fontId="15" fillId="15" borderId="9" xfId="0" applyNumberFormat="1" applyFont="1" applyFill="1" applyBorder="1" applyAlignment="1">
      <alignment horizontal="left" vertical="center"/>
    </xf>
    <xf numFmtId="0" fontId="15" fillId="15" borderId="18" xfId="0" applyFont="1" applyFill="1" applyBorder="1" applyAlignment="1">
      <alignment horizontal="left" vertical="center"/>
    </xf>
    <xf numFmtId="0" fontId="15" fillId="15" borderId="19" xfId="0" applyFont="1" applyFill="1" applyBorder="1" applyAlignment="1">
      <alignment horizontal="left" vertical="center"/>
    </xf>
    <xf numFmtId="0" fontId="2" fillId="0" borderId="3" xfId="0" applyFont="1" applyBorder="1" applyAlignment="1">
      <alignment horizontal="center" vertical="center"/>
    </xf>
    <xf numFmtId="0" fontId="4" fillId="24" borderId="2" xfId="0" applyFont="1" applyFill="1" applyBorder="1" applyAlignment="1">
      <alignment horizontal="center" vertical="center"/>
    </xf>
    <xf numFmtId="0" fontId="4" fillId="24" borderId="15" xfId="0" applyFont="1" applyFill="1" applyBorder="1" applyAlignment="1">
      <alignment horizontal="center" vertical="center"/>
    </xf>
    <xf numFmtId="0" fontId="4" fillId="24" borderId="16" xfId="0" applyFont="1" applyFill="1" applyBorder="1" applyAlignment="1">
      <alignment horizontal="center" vertical="center"/>
    </xf>
    <xf numFmtId="0" fontId="20" fillId="0" borderId="3" xfId="0" applyFont="1" applyBorder="1" applyAlignment="1">
      <alignment vertical="center" wrapText="1"/>
    </xf>
    <xf numFmtId="0" fontId="23" fillId="0" borderId="3" xfId="0" applyFont="1" applyBorder="1" applyAlignment="1">
      <alignment vertical="center" wrapText="1"/>
    </xf>
    <xf numFmtId="0" fontId="36" fillId="0" borderId="3" xfId="0" applyFont="1" applyBorder="1" applyAlignment="1">
      <alignment vertical="center" wrapText="1"/>
    </xf>
    <xf numFmtId="0" fontId="4" fillId="26" borderId="2" xfId="0" applyFont="1" applyFill="1" applyBorder="1" applyAlignment="1">
      <alignment horizontal="center" vertical="center"/>
    </xf>
    <xf numFmtId="0" fontId="4" fillId="26" borderId="16" xfId="0" applyFont="1" applyFill="1" applyBorder="1" applyAlignment="1">
      <alignment horizontal="center" vertical="center"/>
    </xf>
    <xf numFmtId="0" fontId="4" fillId="24" borderId="17" xfId="0" applyFont="1" applyFill="1" applyBorder="1" applyAlignment="1">
      <alignment horizontal="center" vertical="center"/>
    </xf>
    <xf numFmtId="0" fontId="4" fillId="26" borderId="15" xfId="0" applyFont="1" applyFill="1" applyBorder="1" applyAlignment="1">
      <alignment horizontal="center" vertical="center"/>
    </xf>
    <xf numFmtId="0" fontId="7" fillId="0" borderId="3" xfId="0" applyFont="1" applyBorder="1" applyAlignment="1">
      <alignment horizontal="center" vertical="center" wrapText="1"/>
    </xf>
    <xf numFmtId="0" fontId="29" fillId="14" borderId="5" xfId="0" applyFont="1" applyFill="1" applyBorder="1" applyAlignment="1">
      <alignment horizontal="center" vertical="center" wrapText="1"/>
    </xf>
    <xf numFmtId="0" fontId="17" fillId="14" borderId="6" xfId="0" applyFont="1" applyFill="1" applyBorder="1" applyAlignment="1">
      <alignment horizontal="center" vertical="center"/>
    </xf>
    <xf numFmtId="0" fontId="13" fillId="5" borderId="19"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11" xfId="0" applyFont="1" applyFill="1" applyBorder="1" applyAlignment="1">
      <alignment horizontal="center" vertical="center"/>
    </xf>
    <xf numFmtId="0" fontId="18" fillId="11" borderId="9" xfId="0" applyFont="1" applyFill="1" applyBorder="1" applyAlignment="1">
      <alignment horizontal="center" vertical="center"/>
    </xf>
    <xf numFmtId="0" fontId="11" fillId="0" borderId="0" xfId="0" applyFont="1" applyAlignment="1">
      <alignment horizontal="center" vertical="center" wrapText="1"/>
    </xf>
    <xf numFmtId="0" fontId="18" fillId="27" borderId="18" xfId="0" applyFont="1" applyFill="1" applyBorder="1" applyAlignment="1">
      <alignment horizontal="center" vertical="center"/>
    </xf>
    <xf numFmtId="0" fontId="13" fillId="27" borderId="20" xfId="0" applyFont="1" applyFill="1" applyBorder="1" applyAlignment="1">
      <alignment horizontal="center" vertical="center"/>
    </xf>
    <xf numFmtId="0" fontId="38" fillId="28" borderId="2" xfId="0" applyFont="1" applyFill="1" applyBorder="1" applyAlignment="1">
      <alignment horizontal="center" vertical="center"/>
    </xf>
    <xf numFmtId="0" fontId="38" fillId="29" borderId="33" xfId="0" applyFont="1" applyFill="1" applyBorder="1" applyAlignment="1">
      <alignment horizontal="center" vertical="center"/>
    </xf>
    <xf numFmtId="0" fontId="38" fillId="29" borderId="34" xfId="0" applyFont="1" applyFill="1" applyBorder="1" applyAlignment="1">
      <alignment horizontal="center" vertical="center"/>
    </xf>
    <xf numFmtId="0" fontId="38" fillId="28" borderId="35" xfId="0" applyFont="1" applyFill="1" applyBorder="1" applyAlignment="1">
      <alignment horizontal="center" vertical="center"/>
    </xf>
    <xf numFmtId="0" fontId="38" fillId="28" borderId="34" xfId="0" applyFont="1" applyFill="1" applyBorder="1" applyAlignment="1">
      <alignment horizontal="center" vertical="center"/>
    </xf>
    <xf numFmtId="0" fontId="38" fillId="29" borderId="35" xfId="0" applyFont="1" applyFill="1" applyBorder="1" applyAlignment="1">
      <alignment horizontal="center" vertical="center"/>
    </xf>
    <xf numFmtId="0" fontId="48" fillId="2" borderId="2" xfId="0" applyFont="1" applyFill="1" applyBorder="1" applyAlignment="1">
      <alignment horizontal="center" vertical="center"/>
    </xf>
    <xf numFmtId="0" fontId="48" fillId="3" borderId="2" xfId="0" applyFont="1" applyFill="1" applyBorder="1" applyAlignment="1">
      <alignment horizontal="center" vertical="center"/>
    </xf>
    <xf numFmtId="0" fontId="14" fillId="20" borderId="6" xfId="0" applyFont="1" applyFill="1" applyBorder="1" applyAlignment="1">
      <alignment horizontal="center" vertical="center"/>
    </xf>
    <xf numFmtId="0" fontId="15" fillId="6" borderId="10" xfId="0" applyFont="1" applyFill="1" applyBorder="1" applyAlignment="1">
      <alignment horizontal="left" vertical="center"/>
    </xf>
    <xf numFmtId="0" fontId="11" fillId="6" borderId="9" xfId="0" applyFont="1" applyFill="1" applyBorder="1" applyAlignment="1">
      <alignment horizontal="left" vertical="center"/>
    </xf>
    <xf numFmtId="0" fontId="11" fillId="6" borderId="11" xfId="0" applyFont="1" applyFill="1" applyBorder="1" applyAlignment="1">
      <alignment horizontal="left" vertical="center"/>
    </xf>
    <xf numFmtId="0" fontId="15" fillId="21" borderId="23" xfId="0" applyFont="1" applyFill="1" applyBorder="1" applyAlignment="1">
      <alignment horizontal="center" vertical="center" wrapText="1"/>
    </xf>
    <xf numFmtId="0" fontId="15" fillId="21" borderId="25" xfId="0" applyFont="1" applyFill="1" applyBorder="1" applyAlignment="1">
      <alignment horizontal="center" vertical="center" wrapText="1"/>
    </xf>
    <xf numFmtId="0" fontId="41" fillId="22" borderId="5" xfId="0" applyFont="1" applyFill="1" applyBorder="1" applyAlignment="1">
      <alignment horizontal="center" vertical="center"/>
    </xf>
    <xf numFmtId="0" fontId="41" fillId="22" borderId="6" xfId="0" applyFont="1" applyFill="1" applyBorder="1" applyAlignment="1">
      <alignment horizontal="center" vertical="center"/>
    </xf>
    <xf numFmtId="0" fontId="41" fillId="22" borderId="7" xfId="0" applyFont="1" applyFill="1" applyBorder="1" applyAlignment="1">
      <alignment horizontal="center" vertical="center"/>
    </xf>
    <xf numFmtId="0" fontId="15" fillId="23" borderId="8"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5" fillId="23" borderId="9" xfId="0" applyFont="1" applyFill="1" applyBorder="1" applyAlignment="1">
      <alignment horizontal="center" vertical="center" wrapText="1"/>
    </xf>
    <xf numFmtId="0" fontId="15" fillId="23" borderId="10" xfId="0" applyFont="1" applyFill="1" applyBorder="1" applyAlignment="1">
      <alignment horizontal="center" vertical="center" wrapText="1"/>
    </xf>
    <xf numFmtId="0" fontId="15" fillId="23" borderId="4"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37" fillId="0" borderId="0" xfId="0" applyFont="1" applyAlignment="1">
      <alignment horizontal="left" vertical="center"/>
    </xf>
    <xf numFmtId="0" fontId="15" fillId="0" borderId="3" xfId="0" applyFont="1" applyBorder="1" applyAlignment="1">
      <alignment horizontal="left" vertical="center"/>
    </xf>
    <xf numFmtId="0" fontId="15" fillId="0" borderId="9" xfId="0" applyFont="1" applyBorder="1" applyAlignment="1">
      <alignment horizontal="left" vertical="center"/>
    </xf>
    <xf numFmtId="0" fontId="2" fillId="0" borderId="3"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11" xfId="0" applyFont="1" applyBorder="1" applyAlignment="1">
      <alignment horizontal="left" vertical="center" wrapText="1"/>
    </xf>
    <xf numFmtId="0" fontId="44" fillId="23" borderId="18" xfId="0" applyFont="1" applyFill="1" applyBorder="1" applyAlignment="1">
      <alignment horizontal="left" vertical="center" wrapText="1"/>
    </xf>
    <xf numFmtId="0" fontId="44" fillId="23" borderId="20" xfId="0" applyFont="1" applyFill="1" applyBorder="1" applyAlignment="1">
      <alignment horizontal="left" vertical="center" wrapText="1"/>
    </xf>
    <xf numFmtId="0" fontId="44" fillId="23" borderId="25" xfId="0" applyFont="1" applyFill="1" applyBorder="1" applyAlignment="1">
      <alignment horizontal="left" vertical="center" wrapText="1"/>
    </xf>
    <xf numFmtId="0" fontId="43" fillId="23" borderId="28" xfId="0" applyFont="1" applyFill="1" applyBorder="1" applyAlignment="1">
      <alignment horizontal="center" vertical="center" wrapText="1"/>
    </xf>
    <xf numFmtId="0" fontId="43" fillId="23" borderId="22" xfId="0" applyFont="1" applyFill="1" applyBorder="1" applyAlignment="1">
      <alignment horizontal="center" vertical="center" wrapText="1"/>
    </xf>
    <xf numFmtId="0" fontId="43" fillId="23" borderId="23"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43" fillId="23" borderId="26" xfId="0" applyFont="1" applyFill="1" applyBorder="1" applyAlignment="1">
      <alignment horizontal="center" vertical="center" wrapText="1"/>
    </xf>
    <xf numFmtId="0" fontId="18" fillId="11" borderId="8" xfId="0" applyFont="1" applyFill="1" applyBorder="1" applyAlignment="1">
      <alignment horizontal="right" vertical="center"/>
    </xf>
    <xf numFmtId="0" fontId="18" fillId="11" borderId="3" xfId="0" applyFont="1" applyFill="1" applyBorder="1" applyAlignment="1">
      <alignment horizontal="right" vertical="center"/>
    </xf>
    <xf numFmtId="0" fontId="13" fillId="11" borderId="10" xfId="0" applyFont="1" applyFill="1" applyBorder="1" applyAlignment="1">
      <alignment horizontal="right" vertical="center" wrapText="1"/>
    </xf>
    <xf numFmtId="0" fontId="13" fillId="11" borderId="4" xfId="0" applyFont="1" applyFill="1" applyBorder="1" applyAlignment="1">
      <alignment horizontal="right" vertical="center" wrapText="1"/>
    </xf>
    <xf numFmtId="0" fontId="45" fillId="23" borderId="28" xfId="0" applyFont="1" applyFill="1" applyBorder="1" applyAlignment="1">
      <alignment horizontal="left" vertical="center" wrapText="1"/>
    </xf>
    <xf numFmtId="0" fontId="45" fillId="23" borderId="22" xfId="0" applyFont="1" applyFill="1" applyBorder="1" applyAlignment="1">
      <alignment horizontal="left" vertical="center" wrapText="1"/>
    </xf>
    <xf numFmtId="0" fontId="45" fillId="23" borderId="23" xfId="0" applyFont="1" applyFill="1" applyBorder="1" applyAlignment="1">
      <alignment horizontal="left" vertical="center" wrapText="1"/>
    </xf>
    <xf numFmtId="0" fontId="45" fillId="23" borderId="8" xfId="0" applyFont="1" applyFill="1" applyBorder="1" applyAlignment="1">
      <alignment horizontal="left" vertical="center" wrapText="1"/>
    </xf>
    <xf numFmtId="0" fontId="45" fillId="23" borderId="3" xfId="0" applyFont="1" applyFill="1" applyBorder="1" applyAlignment="1">
      <alignment horizontal="left" vertical="center" wrapText="1"/>
    </xf>
    <xf numFmtId="0" fontId="45" fillId="23" borderId="26" xfId="0" applyFont="1" applyFill="1" applyBorder="1" applyAlignment="1">
      <alignment horizontal="left" vertical="center" wrapText="1"/>
    </xf>
    <xf numFmtId="0" fontId="42" fillId="23" borderId="30" xfId="0" applyFont="1" applyFill="1" applyBorder="1" applyAlignment="1">
      <alignment horizontal="center" vertical="center" wrapText="1"/>
    </xf>
    <xf numFmtId="0" fontId="42" fillId="23" borderId="31" xfId="0" applyFont="1" applyFill="1" applyBorder="1" applyAlignment="1">
      <alignment horizontal="center" vertical="center" wrapText="1"/>
    </xf>
    <xf numFmtId="0" fontId="42" fillId="23" borderId="32" xfId="0" applyFont="1" applyFill="1" applyBorder="1" applyAlignment="1">
      <alignment horizontal="center"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5" fillId="0" borderId="3" xfId="0" applyFont="1" applyBorder="1" applyAlignment="1">
      <alignment horizontal="center" vertical="center" wrapText="1"/>
    </xf>
    <xf numFmtId="0" fontId="14" fillId="12" borderId="5" xfId="0" applyFont="1" applyFill="1" applyBorder="1" applyAlignment="1">
      <alignment horizontal="right" vertical="center"/>
    </xf>
    <xf numFmtId="0" fontId="14" fillId="12" borderId="6" xfId="0" applyFont="1" applyFill="1" applyBorder="1" applyAlignment="1">
      <alignment horizontal="right" vertical="center"/>
    </xf>
    <xf numFmtId="0" fontId="2" fillId="0" borderId="3" xfId="0" applyFont="1" applyBorder="1" applyAlignment="1">
      <alignment horizontal="center" vertical="center"/>
    </xf>
    <xf numFmtId="0" fontId="0" fillId="0" borderId="8"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9" xfId="0" applyFont="1" applyBorder="1" applyAlignment="1">
      <alignment horizontal="left" vertical="center"/>
    </xf>
    <xf numFmtId="0" fontId="47" fillId="23" borderId="8" xfId="0" applyFont="1" applyFill="1" applyBorder="1" applyAlignment="1">
      <alignment horizontal="center" vertical="center" wrapText="1"/>
    </xf>
    <xf numFmtId="0" fontId="47" fillId="23" borderId="3" xfId="0" applyFont="1" applyFill="1" applyBorder="1" applyAlignment="1">
      <alignment horizontal="center" vertical="center" wrapText="1"/>
    </xf>
    <xf numFmtId="0" fontId="47" fillId="23" borderId="26" xfId="0" applyFont="1" applyFill="1" applyBorder="1" applyAlignment="1">
      <alignment horizontal="center" vertical="center" wrapText="1"/>
    </xf>
    <xf numFmtId="0" fontId="45" fillId="23" borderId="18" xfId="0" applyFont="1" applyFill="1" applyBorder="1" applyAlignment="1">
      <alignment horizontal="left" vertical="center" wrapText="1"/>
    </xf>
    <xf numFmtId="0" fontId="45" fillId="23" borderId="20" xfId="0" applyFont="1" applyFill="1" applyBorder="1" applyAlignment="1">
      <alignment horizontal="left" vertical="center" wrapText="1"/>
    </xf>
    <xf numFmtId="0" fontId="45" fillId="23" borderId="25" xfId="0" applyFont="1" applyFill="1" applyBorder="1" applyAlignment="1">
      <alignment horizontal="left" vertical="center" wrapText="1"/>
    </xf>
    <xf numFmtId="0" fontId="13" fillId="11" borderId="8" xfId="0" applyFont="1" applyFill="1" applyBorder="1" applyAlignment="1">
      <alignment horizontal="right" vertical="center"/>
    </xf>
    <xf numFmtId="0" fontId="13" fillId="11" borderId="3" xfId="0" applyFont="1" applyFill="1" applyBorder="1" applyAlignment="1">
      <alignment horizontal="right" vertical="center"/>
    </xf>
    <xf numFmtId="0" fontId="31" fillId="13" borderId="6" xfId="0" applyFont="1" applyFill="1" applyBorder="1" applyAlignment="1">
      <alignment horizontal="left" vertical="center" wrapText="1"/>
    </xf>
    <xf numFmtId="0" fontId="30" fillId="13" borderId="4"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 fillId="0" borderId="4" xfId="0" applyFont="1" applyBorder="1" applyAlignment="1">
      <alignment horizontal="center" vertical="center"/>
    </xf>
    <xf numFmtId="0" fontId="0" fillId="0" borderId="27" xfId="0" applyBorder="1" applyAlignment="1">
      <alignment horizontal="center"/>
    </xf>
    <xf numFmtId="0" fontId="31" fillId="13" borderId="5" xfId="0" applyFont="1" applyFill="1" applyBorder="1" applyAlignment="1">
      <alignment horizontal="right" vertical="center"/>
    </xf>
    <xf numFmtId="0" fontId="31" fillId="13" borderId="10" xfId="0" applyFont="1" applyFill="1" applyBorder="1" applyAlignment="1">
      <alignment horizontal="right" vertical="center"/>
    </xf>
    <xf numFmtId="0" fontId="26" fillId="13" borderId="6" xfId="0" applyFont="1" applyFill="1" applyBorder="1" applyAlignment="1">
      <alignment horizontal="center" vertical="center"/>
    </xf>
    <xf numFmtId="0" fontId="26" fillId="13" borderId="4" xfId="0" applyFont="1" applyFill="1" applyBorder="1" applyAlignment="1">
      <alignment horizontal="center" vertical="center"/>
    </xf>
    <xf numFmtId="0" fontId="31" fillId="13" borderId="4" xfId="0" applyFont="1" applyFill="1" applyBorder="1" applyAlignment="1">
      <alignment horizontal="left" vertical="center" wrapText="1"/>
    </xf>
    <xf numFmtId="0" fontId="32" fillId="22" borderId="12" xfId="0" applyFont="1" applyFill="1" applyBorder="1" applyAlignment="1">
      <alignment horizontal="center" vertical="center" wrapText="1"/>
    </xf>
    <xf numFmtId="0" fontId="32" fillId="22" borderId="13" xfId="0" applyFont="1" applyFill="1" applyBorder="1" applyAlignment="1">
      <alignment horizontal="center" vertical="center" wrapText="1"/>
    </xf>
    <xf numFmtId="0" fontId="32" fillId="22" borderId="14" xfId="0" applyFont="1" applyFill="1" applyBorder="1" applyAlignment="1">
      <alignment horizontal="center" vertical="center" wrapText="1"/>
    </xf>
    <xf numFmtId="0" fontId="24" fillId="23" borderId="28" xfId="0" applyFont="1" applyFill="1" applyBorder="1" applyAlignment="1">
      <alignment horizontal="center" vertical="center" wrapText="1"/>
    </xf>
    <xf numFmtId="0" fontId="24" fillId="23" borderId="22" xfId="0" applyFont="1" applyFill="1" applyBorder="1" applyAlignment="1">
      <alignment horizontal="center" vertical="center" wrapText="1"/>
    </xf>
    <xf numFmtId="0" fontId="24" fillId="23" borderId="29" xfId="0" applyFont="1" applyFill="1" applyBorder="1" applyAlignment="1">
      <alignment horizontal="center" vertical="center" wrapText="1"/>
    </xf>
    <xf numFmtId="0" fontId="24" fillId="23" borderId="8" xfId="0"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23" borderId="9" xfId="0" applyFont="1" applyFill="1" applyBorder="1" applyAlignment="1">
      <alignment horizontal="center" vertical="center" wrapText="1"/>
    </xf>
    <xf numFmtId="0" fontId="34" fillId="23" borderId="8" xfId="0" applyFont="1" applyFill="1" applyBorder="1" applyAlignment="1">
      <alignment horizontal="center" vertical="center" wrapText="1"/>
    </xf>
    <xf numFmtId="0" fontId="34" fillId="23" borderId="3"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3" fillId="23" borderId="8" xfId="0" applyFont="1" applyFill="1" applyBorder="1" applyAlignment="1">
      <alignment horizontal="center" vertical="center" wrapText="1"/>
    </xf>
    <xf numFmtId="0" fontId="33" fillId="23" borderId="3" xfId="0" applyFont="1" applyFill="1" applyBorder="1" applyAlignment="1">
      <alignment horizontal="center" vertical="center" wrapText="1"/>
    </xf>
    <xf numFmtId="0" fontId="33" fillId="23" borderId="9" xfId="0" applyFont="1" applyFill="1" applyBorder="1" applyAlignment="1">
      <alignment horizontal="center" vertical="center" wrapText="1"/>
    </xf>
    <xf numFmtId="0" fontId="33" fillId="23" borderId="10" xfId="0" applyFont="1" applyFill="1" applyBorder="1" applyAlignment="1">
      <alignment horizontal="center" vertical="center" wrapText="1"/>
    </xf>
    <xf numFmtId="0" fontId="33" fillId="23" borderId="4" xfId="0" applyFont="1" applyFill="1" applyBorder="1" applyAlignment="1">
      <alignment horizontal="center" vertical="center" wrapText="1"/>
    </xf>
    <xf numFmtId="0" fontId="33" fillId="23" borderId="11" xfId="0" applyFont="1" applyFill="1" applyBorder="1" applyAlignment="1">
      <alignment horizontal="center" vertical="center" wrapText="1"/>
    </xf>
    <xf numFmtId="0" fontId="39" fillId="25" borderId="5" xfId="0" applyFont="1" applyFill="1" applyBorder="1" applyAlignment="1">
      <alignment horizontal="center" vertical="center" wrapText="1"/>
    </xf>
    <xf numFmtId="0" fontId="39" fillId="25" borderId="6" xfId="0" applyFont="1" applyFill="1" applyBorder="1" applyAlignment="1">
      <alignment horizontal="center" vertical="center" wrapText="1"/>
    </xf>
    <xf numFmtId="0" fontId="39" fillId="25" borderId="7" xfId="0" applyFont="1" applyFill="1" applyBorder="1" applyAlignment="1">
      <alignment horizontal="center" vertical="center" wrapText="1"/>
    </xf>
    <xf numFmtId="0" fontId="39" fillId="25" borderId="8" xfId="0" applyFont="1" applyFill="1" applyBorder="1" applyAlignment="1">
      <alignment horizontal="center" vertical="center" wrapText="1"/>
    </xf>
    <xf numFmtId="0" fontId="39" fillId="25" borderId="3" xfId="0" applyFont="1" applyFill="1" applyBorder="1" applyAlignment="1">
      <alignment horizontal="center" vertical="center" wrapText="1"/>
    </xf>
    <xf numFmtId="0" fontId="39" fillId="25" borderId="9" xfId="0" applyFont="1" applyFill="1" applyBorder="1" applyAlignment="1">
      <alignment horizontal="center" vertical="center" wrapText="1"/>
    </xf>
    <xf numFmtId="0" fontId="39" fillId="25" borderId="10" xfId="0" applyFont="1" applyFill="1" applyBorder="1" applyAlignment="1">
      <alignment horizontal="center" vertical="center" wrapText="1"/>
    </xf>
    <xf numFmtId="0" fontId="39" fillId="25" borderId="4" xfId="0" applyFont="1" applyFill="1" applyBorder="1" applyAlignment="1">
      <alignment horizontal="center" vertical="center" wrapText="1"/>
    </xf>
    <xf numFmtId="0" fontId="39" fillId="25" borderId="11" xfId="0" applyFont="1" applyFill="1" applyBorder="1" applyAlignment="1">
      <alignment horizontal="center" vertical="center" wrapText="1"/>
    </xf>
    <xf numFmtId="0" fontId="40" fillId="7" borderId="36" xfId="0" applyFont="1" applyFill="1" applyBorder="1" applyAlignment="1">
      <alignment horizontal="center" vertical="center"/>
    </xf>
    <xf numFmtId="0" fontId="40" fillId="7" borderId="27" xfId="0" applyFont="1" applyFill="1" applyBorder="1" applyAlignment="1">
      <alignment horizontal="center" vertical="center"/>
    </xf>
    <xf numFmtId="0" fontId="40" fillId="7" borderId="37" xfId="0" applyFont="1" applyFill="1" applyBorder="1" applyAlignment="1">
      <alignment horizontal="center" vertical="center"/>
    </xf>
    <xf numFmtId="0" fontId="30" fillId="13" borderId="5" xfId="0" applyFont="1" applyFill="1" applyBorder="1" applyAlignment="1">
      <alignment horizontal="right" vertical="center"/>
    </xf>
    <xf numFmtId="0" fontId="30" fillId="13" borderId="10" xfId="0" applyFont="1" applyFill="1" applyBorder="1" applyAlignment="1">
      <alignment horizontal="right" vertical="center"/>
    </xf>
    <xf numFmtId="0" fontId="22" fillId="13" borderId="6" xfId="0" applyFont="1" applyFill="1" applyBorder="1" applyAlignment="1">
      <alignment horizontal="center" vertical="center" wrapText="1"/>
    </xf>
    <xf numFmtId="0" fontId="22" fillId="1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ED8FF"/>
      <color rgb="FFE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B913"/>
  <sheetViews>
    <sheetView tabSelected="1" zoomScale="85" workbookViewId="0">
      <selection activeCell="C12" sqref="C12:C13"/>
    </sheetView>
  </sheetViews>
  <sheetFormatPr baseColWidth="10" defaultColWidth="10.140625" defaultRowHeight="15" customHeight="1" x14ac:dyDescent="0.2"/>
  <cols>
    <col min="1" max="1" width="1.7109375" style="45" customWidth="1"/>
    <col min="2" max="2" width="34.42578125" style="45" customWidth="1"/>
    <col min="3" max="3" width="64.7109375" style="45" customWidth="1"/>
    <col min="4" max="4" width="15.85546875" style="45" customWidth="1"/>
    <col min="5" max="5" width="1.7109375" style="45" customWidth="1"/>
    <col min="6" max="6" width="31.7109375" style="45" customWidth="1"/>
    <col min="7" max="7" width="21.5703125" style="45" customWidth="1"/>
    <col min="8" max="8" width="18.140625" style="45" customWidth="1"/>
    <col min="9" max="9" width="17.5703125" style="45" customWidth="1"/>
    <col min="10" max="10" width="1.7109375" style="45" customWidth="1"/>
    <col min="11" max="25" width="26" style="45" customWidth="1"/>
    <col min="26" max="28" width="11.42578125" style="45" customWidth="1"/>
    <col min="29" max="16384" width="10.140625" style="45"/>
  </cols>
  <sheetData>
    <row r="1" spans="2:28" ht="12" customHeight="1" thickBot="1" x14ac:dyDescent="0.25">
      <c r="E1" s="52"/>
      <c r="F1" s="52"/>
      <c r="G1" s="52"/>
      <c r="H1" s="52"/>
      <c r="I1" s="52"/>
      <c r="J1" s="52"/>
    </row>
    <row r="2" spans="2:28" ht="31.5" customHeight="1" x14ac:dyDescent="0.2">
      <c r="B2" s="54" t="s">
        <v>0</v>
      </c>
      <c r="C2" s="55" t="s">
        <v>237</v>
      </c>
      <c r="D2" s="48"/>
      <c r="E2" s="80"/>
      <c r="F2" s="132" t="s">
        <v>221</v>
      </c>
      <c r="G2" s="132"/>
      <c r="H2" s="132"/>
      <c r="I2" s="132"/>
      <c r="J2" s="81"/>
      <c r="K2" s="49"/>
      <c r="L2" s="49"/>
      <c r="M2" s="49"/>
      <c r="N2" s="49"/>
      <c r="O2" s="49"/>
      <c r="P2" s="49"/>
      <c r="Q2" s="49"/>
      <c r="R2" s="49"/>
      <c r="S2" s="49"/>
      <c r="T2" s="49"/>
      <c r="U2" s="49"/>
      <c r="V2" s="49"/>
      <c r="W2" s="49"/>
      <c r="X2" s="49"/>
      <c r="Y2" s="49"/>
      <c r="Z2" s="49"/>
      <c r="AA2" s="49"/>
      <c r="AB2" s="49"/>
    </row>
    <row r="3" spans="2:28" ht="31.5" customHeight="1" x14ac:dyDescent="0.2">
      <c r="B3" s="56" t="s">
        <v>1</v>
      </c>
      <c r="C3" s="57">
        <v>2.2999999999999998</v>
      </c>
      <c r="D3" s="48"/>
      <c r="E3" s="82"/>
      <c r="F3" s="83" t="s">
        <v>32</v>
      </c>
      <c r="G3" s="83" t="s">
        <v>33</v>
      </c>
      <c r="H3" s="83" t="s">
        <v>34</v>
      </c>
      <c r="I3" s="83" t="s">
        <v>35</v>
      </c>
      <c r="J3" s="84"/>
      <c r="K3" s="49"/>
      <c r="L3" s="49"/>
      <c r="M3" s="49"/>
      <c r="N3" s="49"/>
      <c r="O3" s="49"/>
      <c r="P3" s="49"/>
      <c r="Q3" s="49"/>
      <c r="R3" s="49"/>
      <c r="S3" s="49"/>
      <c r="T3" s="49"/>
      <c r="U3" s="49"/>
      <c r="V3" s="49"/>
      <c r="W3" s="49"/>
      <c r="X3" s="49"/>
      <c r="Y3" s="49"/>
      <c r="Z3" s="49"/>
      <c r="AA3" s="49"/>
      <c r="AB3" s="49"/>
    </row>
    <row r="4" spans="2:28" ht="30" customHeight="1" x14ac:dyDescent="0.2">
      <c r="B4" s="74" t="s">
        <v>4</v>
      </c>
      <c r="C4" s="75" t="s">
        <v>47</v>
      </c>
      <c r="D4" s="49"/>
      <c r="E4" s="85"/>
      <c r="F4" s="86" t="s">
        <v>222</v>
      </c>
      <c r="G4" s="86">
        <v>50</v>
      </c>
      <c r="H4" s="86">
        <v>30</v>
      </c>
      <c r="I4" s="86">
        <v>1</v>
      </c>
      <c r="J4" s="87"/>
      <c r="K4" s="49"/>
      <c r="L4" s="49"/>
      <c r="M4" s="49"/>
      <c r="N4" s="49"/>
      <c r="O4" s="49"/>
      <c r="P4" s="49"/>
      <c r="Q4" s="49"/>
      <c r="R4" s="49"/>
      <c r="S4" s="49"/>
      <c r="T4" s="49"/>
      <c r="U4" s="49"/>
      <c r="V4" s="49"/>
      <c r="W4" s="49"/>
      <c r="X4" s="49"/>
      <c r="Y4" s="49"/>
      <c r="Z4" s="49"/>
      <c r="AA4" s="49"/>
      <c r="AB4" s="49"/>
    </row>
    <row r="5" spans="2:28" ht="30" customHeight="1" x14ac:dyDescent="0.2">
      <c r="B5" s="74" t="s">
        <v>7</v>
      </c>
      <c r="C5" s="100">
        <v>1.2</v>
      </c>
      <c r="D5" s="50"/>
      <c r="E5" s="92"/>
      <c r="F5" s="93" t="s">
        <v>227</v>
      </c>
      <c r="G5" s="93">
        <v>95</v>
      </c>
      <c r="H5" s="93">
        <v>2</v>
      </c>
      <c r="I5" s="93">
        <v>1</v>
      </c>
      <c r="J5" s="94"/>
      <c r="K5" s="49"/>
      <c r="L5" s="49"/>
      <c r="M5" s="49"/>
      <c r="N5" s="49"/>
      <c r="O5" s="49"/>
      <c r="P5" s="49"/>
      <c r="Q5" s="49"/>
      <c r="R5" s="49"/>
      <c r="S5" s="49"/>
      <c r="T5" s="49"/>
      <c r="U5" s="49"/>
      <c r="V5" s="49"/>
      <c r="W5" s="49"/>
      <c r="X5" s="49"/>
      <c r="Y5" s="49"/>
      <c r="Z5" s="49"/>
      <c r="AA5" s="49"/>
      <c r="AB5" s="49"/>
    </row>
    <row r="6" spans="2:28" ht="30" customHeight="1" x14ac:dyDescent="0.2">
      <c r="B6" s="76" t="s">
        <v>101</v>
      </c>
      <c r="C6" s="77" t="s">
        <v>8</v>
      </c>
      <c r="D6" s="49"/>
      <c r="E6" s="85"/>
      <c r="F6" s="88" t="s">
        <v>228</v>
      </c>
      <c r="G6" s="89">
        <v>95</v>
      </c>
      <c r="H6" s="89" t="s">
        <v>236</v>
      </c>
      <c r="I6" s="136">
        <v>45</v>
      </c>
      <c r="J6" s="87"/>
      <c r="K6" s="49"/>
      <c r="L6" s="49"/>
      <c r="M6" s="49"/>
      <c r="N6" s="49"/>
      <c r="O6" s="49"/>
      <c r="P6" s="49"/>
      <c r="Q6" s="49"/>
      <c r="R6" s="49"/>
      <c r="S6" s="49"/>
      <c r="T6" s="49"/>
      <c r="U6" s="49"/>
      <c r="V6" s="49"/>
      <c r="W6" s="49"/>
      <c r="X6" s="49"/>
      <c r="Y6" s="49"/>
      <c r="Z6" s="49"/>
      <c r="AA6" s="49"/>
      <c r="AB6" s="49"/>
    </row>
    <row r="7" spans="2:28" ht="30" customHeight="1" x14ac:dyDescent="0.2">
      <c r="B7" s="74" t="s">
        <v>102</v>
      </c>
      <c r="C7" s="75">
        <v>64733650</v>
      </c>
      <c r="D7" s="49"/>
      <c r="E7" s="95"/>
      <c r="F7" s="90" t="s">
        <v>223</v>
      </c>
      <c r="G7" s="91">
        <v>57</v>
      </c>
      <c r="H7" s="91">
        <v>1</v>
      </c>
      <c r="I7" s="137"/>
      <c r="J7" s="94"/>
      <c r="K7" s="49"/>
      <c r="L7" s="49"/>
      <c r="M7" s="49"/>
      <c r="N7" s="49"/>
      <c r="O7" s="49"/>
      <c r="P7" s="49"/>
      <c r="Q7" s="49"/>
      <c r="R7" s="49"/>
      <c r="S7" s="49"/>
      <c r="T7" s="49"/>
      <c r="U7" s="49"/>
      <c r="V7" s="49"/>
      <c r="W7" s="49"/>
      <c r="X7" s="49"/>
      <c r="Y7" s="49"/>
      <c r="Z7" s="49"/>
      <c r="AA7" s="49"/>
      <c r="AB7" s="49"/>
    </row>
    <row r="8" spans="2:28" ht="30" customHeight="1" thickBot="1" x14ac:dyDescent="0.25">
      <c r="B8" s="101" t="s">
        <v>10</v>
      </c>
      <c r="C8" s="102" t="s">
        <v>247</v>
      </c>
      <c r="D8" s="49"/>
      <c r="E8" s="96"/>
      <c r="F8" s="97"/>
      <c r="G8" s="98"/>
      <c r="H8" s="98"/>
      <c r="I8" s="98"/>
      <c r="J8" s="99"/>
      <c r="K8" s="49"/>
      <c r="L8" s="49"/>
      <c r="M8" s="49"/>
      <c r="N8" s="49"/>
      <c r="O8" s="49"/>
      <c r="P8" s="49"/>
      <c r="Q8" s="49"/>
      <c r="R8" s="49"/>
      <c r="S8" s="49"/>
      <c r="T8" s="49"/>
      <c r="U8" s="49"/>
      <c r="V8" s="49"/>
      <c r="W8" s="49"/>
      <c r="X8" s="49"/>
      <c r="Y8" s="49"/>
      <c r="Z8" s="49"/>
      <c r="AA8" s="49"/>
      <c r="AB8" s="49"/>
    </row>
    <row r="9" spans="2:28" ht="30" customHeight="1" thickBot="1" x14ac:dyDescent="0.25">
      <c r="B9" s="78" t="s">
        <v>2</v>
      </c>
      <c r="C9" s="79">
        <v>46311</v>
      </c>
      <c r="D9" s="49"/>
      <c r="E9" s="49"/>
      <c r="F9" s="53"/>
      <c r="G9" s="43"/>
      <c r="H9" s="43"/>
      <c r="I9" s="43"/>
      <c r="J9" s="49"/>
      <c r="K9" s="49"/>
      <c r="L9" s="49"/>
      <c r="M9" s="49"/>
      <c r="N9" s="49"/>
      <c r="O9" s="49"/>
      <c r="P9" s="49"/>
      <c r="Q9" s="49"/>
      <c r="R9" s="49"/>
      <c r="S9" s="49"/>
      <c r="T9" s="49"/>
      <c r="U9" s="49"/>
      <c r="V9" s="49"/>
      <c r="W9" s="49"/>
      <c r="X9" s="49"/>
      <c r="Y9" s="49"/>
      <c r="Z9" s="49"/>
      <c r="AA9" s="49"/>
      <c r="AB9" s="49"/>
    </row>
    <row r="10" spans="2:28" ht="30" customHeight="1" x14ac:dyDescent="0.2">
      <c r="B10" s="61" t="s">
        <v>3</v>
      </c>
      <c r="C10" s="62" t="s">
        <v>271</v>
      </c>
      <c r="D10" s="49"/>
      <c r="E10" s="138" t="s">
        <v>233</v>
      </c>
      <c r="F10" s="139"/>
      <c r="G10" s="139"/>
      <c r="H10" s="139"/>
      <c r="I10" s="139"/>
      <c r="J10" s="140"/>
      <c r="K10" s="49"/>
      <c r="L10" s="49"/>
      <c r="M10" s="49"/>
      <c r="N10" s="49"/>
      <c r="O10" s="49"/>
      <c r="P10" s="49"/>
      <c r="Q10" s="49"/>
      <c r="R10" s="49"/>
      <c r="S10" s="49"/>
      <c r="T10" s="49"/>
      <c r="U10" s="49"/>
      <c r="V10" s="49"/>
      <c r="W10" s="49"/>
      <c r="X10" s="49"/>
      <c r="Y10" s="49"/>
      <c r="Z10" s="49"/>
      <c r="AA10" s="49"/>
      <c r="AB10" s="49"/>
    </row>
    <row r="11" spans="2:28" ht="30" customHeight="1" x14ac:dyDescent="0.2">
      <c r="B11" s="61" t="s">
        <v>6</v>
      </c>
      <c r="C11" s="62" t="s">
        <v>292</v>
      </c>
      <c r="D11" s="49"/>
      <c r="E11" s="141" t="s">
        <v>262</v>
      </c>
      <c r="F11" s="142"/>
      <c r="G11" s="142"/>
      <c r="H11" s="142"/>
      <c r="I11" s="142"/>
      <c r="J11" s="143"/>
      <c r="K11" s="49"/>
      <c r="L11" s="49"/>
      <c r="M11" s="49"/>
      <c r="N11" s="49"/>
      <c r="O11" s="49"/>
      <c r="P11" s="49"/>
      <c r="Q11" s="49"/>
      <c r="R11" s="49"/>
      <c r="S11" s="49"/>
      <c r="T11" s="49"/>
      <c r="U11" s="49"/>
      <c r="V11" s="49"/>
      <c r="W11" s="49"/>
      <c r="X11" s="49"/>
      <c r="Y11" s="49"/>
      <c r="Z11" s="49"/>
      <c r="AA11" s="49"/>
      <c r="AB11" s="49"/>
    </row>
    <row r="12" spans="2:28" s="52" customFormat="1" ht="30" customHeight="1" thickBot="1" x14ac:dyDescent="0.25">
      <c r="B12" s="133" t="s">
        <v>11</v>
      </c>
      <c r="C12" s="134" t="s">
        <v>272</v>
      </c>
      <c r="D12" s="51"/>
      <c r="E12" s="141"/>
      <c r="F12" s="142"/>
      <c r="G12" s="142"/>
      <c r="H12" s="142"/>
      <c r="I12" s="142"/>
      <c r="J12" s="143"/>
      <c r="K12" s="51"/>
      <c r="L12" s="51"/>
      <c r="M12" s="51"/>
      <c r="N12" s="51"/>
      <c r="O12" s="51"/>
      <c r="P12" s="51"/>
      <c r="Q12" s="51"/>
      <c r="R12" s="51"/>
      <c r="S12" s="51"/>
      <c r="T12" s="51"/>
      <c r="U12" s="51"/>
      <c r="V12" s="51"/>
      <c r="W12" s="51"/>
      <c r="X12" s="51"/>
      <c r="Y12" s="51"/>
      <c r="Z12" s="51"/>
      <c r="AA12" s="51"/>
      <c r="AB12" s="51"/>
    </row>
    <row r="13" spans="2:28" ht="21" thickBot="1" x14ac:dyDescent="0.25">
      <c r="B13" s="133"/>
      <c r="C13" s="135"/>
      <c r="D13" s="49"/>
      <c r="E13" s="144"/>
      <c r="F13" s="145"/>
      <c r="G13" s="145"/>
      <c r="H13" s="145"/>
      <c r="I13" s="145"/>
      <c r="J13" s="146"/>
      <c r="K13" s="49"/>
      <c r="L13" s="49"/>
      <c r="M13" s="49"/>
      <c r="N13" s="49"/>
      <c r="O13" s="49"/>
      <c r="P13" s="49"/>
      <c r="Q13" s="49"/>
      <c r="R13" s="49"/>
      <c r="S13" s="49"/>
      <c r="T13" s="49"/>
      <c r="U13" s="49"/>
      <c r="V13" s="49"/>
      <c r="W13" s="49"/>
      <c r="X13" s="49"/>
      <c r="Y13" s="49"/>
      <c r="Z13" s="49"/>
      <c r="AA13" s="49"/>
      <c r="AB13" s="49"/>
    </row>
    <row r="14" spans="2:28" ht="21" customHeight="1" x14ac:dyDescent="0.2">
      <c r="G14" s="49"/>
      <c r="H14" s="49"/>
      <c r="I14" s="49"/>
      <c r="J14" s="49"/>
      <c r="K14" s="49"/>
      <c r="L14" s="49"/>
      <c r="M14" s="49"/>
      <c r="N14" s="49"/>
      <c r="O14" s="49"/>
      <c r="P14" s="49"/>
      <c r="Q14" s="49"/>
      <c r="R14" s="49"/>
      <c r="S14" s="49"/>
      <c r="T14" s="49"/>
      <c r="U14" s="49"/>
      <c r="V14" s="49"/>
      <c r="W14" s="49"/>
      <c r="X14" s="49"/>
      <c r="Y14" s="49"/>
      <c r="Z14" s="49"/>
      <c r="AA14" s="49"/>
      <c r="AB14" s="49"/>
    </row>
    <row r="15" spans="2:28" ht="21" customHeight="1" x14ac:dyDescent="0.2">
      <c r="G15" s="49"/>
      <c r="H15" s="49"/>
      <c r="I15" s="49"/>
      <c r="J15" s="49"/>
      <c r="K15" s="49"/>
      <c r="L15" s="49"/>
      <c r="M15" s="49"/>
      <c r="N15" s="49"/>
      <c r="O15" s="49"/>
      <c r="P15" s="49"/>
      <c r="Q15" s="49"/>
      <c r="R15" s="49"/>
      <c r="S15" s="49"/>
      <c r="T15" s="49"/>
      <c r="U15" s="49"/>
      <c r="V15" s="49"/>
      <c r="W15" s="49"/>
      <c r="X15" s="49"/>
      <c r="Y15" s="49"/>
      <c r="Z15" s="49"/>
      <c r="AA15" s="49"/>
      <c r="AB15" s="49"/>
    </row>
    <row r="16" spans="2:28" ht="20" x14ac:dyDescent="0.2">
      <c r="G16" s="49"/>
      <c r="H16" s="49"/>
      <c r="I16" s="49"/>
      <c r="J16" s="49"/>
      <c r="K16" s="49"/>
      <c r="L16" s="49"/>
      <c r="M16" s="49"/>
      <c r="N16" s="49"/>
      <c r="O16" s="49"/>
      <c r="P16" s="49"/>
      <c r="Q16" s="49"/>
      <c r="R16" s="49"/>
      <c r="S16" s="49"/>
      <c r="T16" s="49"/>
      <c r="U16" s="49"/>
      <c r="V16" s="49"/>
      <c r="W16" s="49"/>
      <c r="X16" s="49"/>
      <c r="Y16" s="49"/>
      <c r="Z16" s="49"/>
      <c r="AA16" s="49"/>
      <c r="AB16" s="49"/>
    </row>
    <row r="17" spans="2:28" ht="21" customHeight="1" x14ac:dyDescent="0.2">
      <c r="G17" s="49"/>
      <c r="H17" s="49"/>
      <c r="I17" s="49"/>
      <c r="J17" s="49"/>
      <c r="K17" s="49"/>
      <c r="L17" s="49"/>
      <c r="M17" s="49"/>
      <c r="N17" s="49"/>
      <c r="O17" s="49"/>
      <c r="P17" s="49"/>
      <c r="Q17" s="49"/>
      <c r="R17" s="49"/>
      <c r="S17" s="49"/>
      <c r="T17" s="49"/>
      <c r="U17" s="49"/>
      <c r="V17" s="49"/>
      <c r="W17" s="49"/>
      <c r="X17" s="49"/>
      <c r="Y17" s="49"/>
      <c r="Z17" s="49"/>
      <c r="AA17" s="49"/>
      <c r="AB17" s="49"/>
    </row>
    <row r="18" spans="2:28" ht="21" customHeight="1" x14ac:dyDescent="0.2">
      <c r="G18" s="49"/>
      <c r="H18" s="49"/>
      <c r="I18" s="49"/>
      <c r="J18" s="49"/>
      <c r="K18" s="49"/>
      <c r="L18" s="49"/>
      <c r="M18" s="49"/>
      <c r="N18" s="49"/>
      <c r="O18" s="49"/>
      <c r="P18" s="49"/>
      <c r="Q18" s="49"/>
      <c r="R18" s="49"/>
      <c r="S18" s="49"/>
      <c r="T18" s="49"/>
      <c r="U18" s="49"/>
      <c r="V18" s="49"/>
      <c r="W18" s="49"/>
      <c r="X18" s="49"/>
      <c r="Y18" s="49"/>
      <c r="Z18" s="49"/>
      <c r="AA18" s="49"/>
      <c r="AB18" s="49"/>
    </row>
    <row r="19" spans="2:28" ht="21" customHeight="1" x14ac:dyDescent="0.2">
      <c r="G19" s="49"/>
      <c r="H19" s="49"/>
      <c r="I19" s="49"/>
      <c r="J19" s="49"/>
      <c r="K19" s="49"/>
      <c r="L19" s="49"/>
      <c r="M19" s="49"/>
      <c r="N19" s="49"/>
      <c r="O19" s="49"/>
      <c r="P19" s="49"/>
      <c r="Q19" s="49"/>
      <c r="R19" s="49"/>
      <c r="S19" s="49"/>
      <c r="T19" s="49"/>
      <c r="U19" s="49"/>
      <c r="V19" s="49"/>
      <c r="W19" s="49"/>
      <c r="X19" s="49"/>
      <c r="Y19" s="49"/>
      <c r="Z19" s="49"/>
      <c r="AA19" s="49"/>
      <c r="AB19" s="49"/>
    </row>
    <row r="20" spans="2:28" ht="21" customHeight="1" x14ac:dyDescent="0.2">
      <c r="G20" s="49"/>
      <c r="H20" s="49"/>
      <c r="I20" s="49"/>
      <c r="J20" s="49"/>
      <c r="K20" s="49"/>
      <c r="L20" s="49"/>
      <c r="M20" s="49"/>
      <c r="N20" s="49"/>
      <c r="O20" s="49"/>
      <c r="P20" s="49"/>
      <c r="Q20" s="49"/>
      <c r="R20" s="49"/>
      <c r="S20" s="49"/>
      <c r="T20" s="49"/>
      <c r="U20" s="49"/>
      <c r="V20" s="49"/>
      <c r="W20" s="49"/>
      <c r="X20" s="49"/>
      <c r="Y20" s="49"/>
      <c r="Z20" s="49"/>
      <c r="AA20" s="49"/>
      <c r="AB20" s="49"/>
    </row>
    <row r="21" spans="2:28" ht="21" customHeight="1" x14ac:dyDescent="0.2">
      <c r="G21" s="49"/>
      <c r="H21" s="49"/>
      <c r="I21" s="49"/>
      <c r="J21" s="49"/>
      <c r="K21" s="49"/>
      <c r="L21" s="49"/>
      <c r="M21" s="49"/>
      <c r="N21" s="49"/>
      <c r="O21" s="49"/>
      <c r="P21" s="49"/>
      <c r="Q21" s="49"/>
      <c r="R21" s="49"/>
      <c r="S21" s="49"/>
      <c r="T21" s="49"/>
      <c r="U21" s="49"/>
      <c r="V21" s="49"/>
      <c r="W21" s="49"/>
      <c r="X21" s="49"/>
      <c r="Y21" s="49"/>
      <c r="Z21" s="49"/>
      <c r="AA21" s="49"/>
      <c r="AB21" s="49"/>
    </row>
    <row r="22" spans="2:28" ht="21" customHeight="1" x14ac:dyDescent="0.2">
      <c r="G22" s="49"/>
      <c r="H22" s="49"/>
      <c r="I22" s="49"/>
      <c r="J22" s="49"/>
      <c r="K22" s="49"/>
      <c r="L22" s="49"/>
      <c r="M22" s="49"/>
      <c r="N22" s="49"/>
      <c r="O22" s="49"/>
      <c r="P22" s="49"/>
      <c r="Q22" s="49"/>
      <c r="R22" s="49"/>
      <c r="S22" s="49"/>
      <c r="T22" s="49"/>
      <c r="U22" s="49"/>
      <c r="V22" s="49"/>
      <c r="W22" s="49"/>
      <c r="X22" s="49"/>
      <c r="Y22" s="49"/>
      <c r="Z22" s="49"/>
      <c r="AA22" s="49"/>
      <c r="AB22" s="49"/>
    </row>
    <row r="23" spans="2:28" ht="21" customHeight="1" x14ac:dyDescent="0.2">
      <c r="G23" s="49"/>
      <c r="H23" s="49"/>
      <c r="I23" s="49"/>
      <c r="J23" s="49"/>
      <c r="K23" s="49"/>
      <c r="L23" s="49"/>
      <c r="M23" s="49"/>
      <c r="N23" s="49"/>
      <c r="O23" s="49"/>
      <c r="P23" s="49"/>
      <c r="Q23" s="49"/>
      <c r="R23" s="49"/>
      <c r="S23" s="49"/>
      <c r="T23" s="49"/>
      <c r="U23" s="49"/>
      <c r="V23" s="49"/>
      <c r="W23" s="49"/>
      <c r="X23" s="49"/>
      <c r="Y23" s="49"/>
      <c r="Z23" s="49"/>
      <c r="AA23" s="49"/>
      <c r="AB23" s="49"/>
    </row>
    <row r="24" spans="2:28" ht="21" customHeight="1" x14ac:dyDescent="0.2">
      <c r="G24" s="49"/>
      <c r="H24" s="49"/>
      <c r="I24" s="49"/>
      <c r="J24" s="49"/>
      <c r="K24" s="49"/>
      <c r="L24" s="49"/>
      <c r="M24" s="49"/>
      <c r="N24" s="49"/>
      <c r="O24" s="49"/>
      <c r="P24" s="49"/>
      <c r="Q24" s="49"/>
      <c r="R24" s="49"/>
      <c r="S24" s="49"/>
      <c r="T24" s="49"/>
      <c r="U24" s="49"/>
      <c r="V24" s="49"/>
      <c r="W24" s="49"/>
      <c r="X24" s="49"/>
      <c r="Y24" s="49"/>
      <c r="Z24" s="49"/>
      <c r="AA24" s="49"/>
      <c r="AB24" s="49"/>
    </row>
    <row r="25" spans="2:28" ht="21" customHeight="1" x14ac:dyDescent="0.2">
      <c r="G25" s="49"/>
      <c r="H25" s="49"/>
      <c r="I25" s="49"/>
      <c r="J25" s="49"/>
      <c r="K25" s="49"/>
      <c r="L25" s="49"/>
      <c r="M25" s="49"/>
      <c r="N25" s="49"/>
      <c r="O25" s="49"/>
      <c r="P25" s="49"/>
      <c r="Q25" s="49"/>
      <c r="R25" s="49"/>
      <c r="S25" s="49"/>
      <c r="T25" s="49"/>
      <c r="U25" s="49"/>
      <c r="V25" s="49"/>
      <c r="W25" s="49"/>
      <c r="X25" s="49"/>
      <c r="Y25" s="49"/>
      <c r="Z25" s="49"/>
      <c r="AA25" s="49"/>
      <c r="AB25" s="49"/>
    </row>
    <row r="26" spans="2:28" ht="21" customHeight="1" x14ac:dyDescent="0.2">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spans="2:28" ht="21" customHeight="1" x14ac:dyDescent="0.2">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spans="2:28" ht="21" customHeight="1" x14ac:dyDescent="0.2">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spans="2:28" ht="21" customHeight="1" x14ac:dyDescent="0.2">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spans="2:28" ht="21" customHeight="1" x14ac:dyDescent="0.2">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spans="2:28" ht="21" customHeight="1"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spans="2:28" ht="21" customHeight="1" x14ac:dyDescent="0.2">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spans="2:28" ht="21" customHeight="1" x14ac:dyDescent="0.2">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spans="2:28" ht="21" customHeight="1" x14ac:dyDescent="0.2">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spans="2:28" ht="21" customHeight="1" x14ac:dyDescent="0.2">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spans="2:28" ht="21" customHeight="1" x14ac:dyDescent="0.2">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spans="2:28" ht="21" customHeight="1" x14ac:dyDescent="0.2">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spans="2:28" ht="21" customHeight="1" x14ac:dyDescent="0.2">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spans="2:28" ht="21" customHeight="1" x14ac:dyDescent="0.2">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spans="2:28" ht="21" customHeight="1" x14ac:dyDescent="0.2">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spans="2:28" ht="21" customHeight="1" x14ac:dyDescent="0.2">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spans="2:28" ht="21" customHeight="1" x14ac:dyDescent="0.2">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spans="2:28" ht="21" customHeight="1" x14ac:dyDescent="0.2">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spans="2:28" ht="21" customHeight="1" x14ac:dyDescent="0.2">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spans="2:28" ht="21" customHeight="1" x14ac:dyDescent="0.2">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spans="2:28" ht="21" customHeight="1" x14ac:dyDescent="0.2">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spans="2:28" ht="21" customHeight="1" x14ac:dyDescent="0.2">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spans="2:28" ht="21" customHeight="1" x14ac:dyDescent="0.2">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spans="2:28" ht="21" customHeight="1" x14ac:dyDescent="0.2">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spans="2:28" ht="21" customHeight="1" x14ac:dyDescent="0.2">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spans="2:28" ht="21" customHeight="1" x14ac:dyDescent="0.2">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spans="2:28" ht="21" customHeight="1" x14ac:dyDescent="0.2">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spans="2:28" ht="21" customHeight="1" x14ac:dyDescent="0.2">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spans="2:28" ht="21" customHeight="1" x14ac:dyDescent="0.2">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spans="2:28" ht="21" customHeight="1" x14ac:dyDescent="0.2">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spans="2:28" ht="21" customHeight="1" x14ac:dyDescent="0.2">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spans="2:28" ht="21" customHeight="1" x14ac:dyDescent="0.2">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spans="2:28" ht="21" customHeight="1" x14ac:dyDescent="0.2">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spans="2:28" ht="21" customHeight="1" x14ac:dyDescent="0.2">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spans="2:28" ht="21" customHeight="1" x14ac:dyDescent="0.2">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spans="2:28" ht="21" customHeight="1" x14ac:dyDescent="0.2">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spans="2:28" ht="21" customHeight="1" x14ac:dyDescent="0.2">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spans="2:28" ht="21" customHeight="1" x14ac:dyDescent="0.2">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spans="2:28" ht="21" customHeight="1" x14ac:dyDescent="0.2">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spans="2:28" ht="21" customHeight="1" x14ac:dyDescent="0.2">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spans="2:28" ht="21" customHeight="1" x14ac:dyDescent="0.2">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spans="2:28" ht="21" customHeight="1" x14ac:dyDescent="0.2">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spans="2:28" ht="21" customHeight="1" x14ac:dyDescent="0.2">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spans="2:28" ht="21" customHeight="1" x14ac:dyDescent="0.2">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spans="2:28" ht="21" customHeight="1" x14ac:dyDescent="0.2">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spans="2:28" ht="21" customHeight="1" x14ac:dyDescent="0.2">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spans="2:28" ht="21" customHeight="1" x14ac:dyDescent="0.2">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spans="2:28" ht="21" customHeight="1" x14ac:dyDescent="0.2">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spans="2:28" ht="21" customHeight="1" x14ac:dyDescent="0.2">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spans="2:28" ht="21" customHeight="1" x14ac:dyDescent="0.2">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spans="2:28" ht="21" customHeight="1" x14ac:dyDescent="0.2">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spans="2:28" ht="21" customHeight="1" x14ac:dyDescent="0.2">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spans="2:28" ht="21" customHeight="1" x14ac:dyDescent="0.2">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2:28" ht="21" customHeight="1" x14ac:dyDescent="0.2">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2:28" ht="21" customHeight="1" x14ac:dyDescent="0.2">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2:28" ht="21" customHeight="1" x14ac:dyDescent="0.2">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2:28" ht="21" customHeight="1" x14ac:dyDescent="0.2">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spans="2:28" ht="21" customHeight="1" x14ac:dyDescent="0.2">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spans="2:28" ht="21" customHeight="1" x14ac:dyDescent="0.2">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spans="2:28" ht="21" customHeight="1" x14ac:dyDescent="0.2">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spans="2:28" ht="21" customHeight="1" x14ac:dyDescent="0.2">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spans="2:28" ht="21" customHeight="1" x14ac:dyDescent="0.2">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spans="2:28" ht="21" customHeight="1" x14ac:dyDescent="0.2">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spans="2:28" ht="21" customHeight="1" x14ac:dyDescent="0.2">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spans="2:28" ht="21" customHeight="1" x14ac:dyDescent="0.2">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spans="2:28" ht="21" customHeight="1" x14ac:dyDescent="0.2">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spans="2:28" ht="21" customHeight="1" x14ac:dyDescent="0.2">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spans="2:28" ht="21" customHeight="1" x14ac:dyDescent="0.2">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spans="2:28" ht="21" customHeight="1" x14ac:dyDescent="0.2">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spans="2:28" ht="21" customHeight="1" x14ac:dyDescent="0.2">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spans="2:28" ht="21" customHeight="1" x14ac:dyDescent="0.2">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spans="2:28" ht="21" customHeight="1" x14ac:dyDescent="0.2">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spans="2:28" ht="21" customHeight="1" x14ac:dyDescent="0.2">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spans="2:28" ht="21" customHeight="1" x14ac:dyDescent="0.2">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spans="2:28" ht="21" customHeight="1" x14ac:dyDescent="0.2">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spans="2:28" ht="21" customHeight="1" x14ac:dyDescent="0.2">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spans="2:28" ht="21" customHeight="1" x14ac:dyDescent="0.2">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spans="2:28" ht="21" customHeight="1" x14ac:dyDescent="0.2">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spans="2:28" ht="21" customHeight="1" x14ac:dyDescent="0.2">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spans="2:28" ht="21" customHeight="1" x14ac:dyDescent="0.2">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spans="2:28" ht="21" customHeight="1" x14ac:dyDescent="0.2">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spans="2:28" ht="21" customHeight="1" x14ac:dyDescent="0.2">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spans="2:28" ht="21" customHeight="1" x14ac:dyDescent="0.2">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spans="2:28" ht="21" customHeight="1" x14ac:dyDescent="0.2">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spans="2:28" ht="21" customHeight="1" x14ac:dyDescent="0.2">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spans="2:28" ht="21" customHeight="1" x14ac:dyDescent="0.2">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spans="2:28" ht="21" customHeight="1" x14ac:dyDescent="0.2">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spans="2:28" ht="21" customHeight="1" x14ac:dyDescent="0.2">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spans="2:28" ht="21" customHeight="1" x14ac:dyDescent="0.2">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spans="2:28" ht="21" customHeight="1" x14ac:dyDescent="0.2">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spans="2:28" ht="21" customHeight="1" x14ac:dyDescent="0.2">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spans="2:28" ht="21" customHeight="1" x14ac:dyDescent="0.2">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spans="2:28" ht="21" customHeight="1" x14ac:dyDescent="0.2">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spans="2:28" ht="21" customHeight="1" x14ac:dyDescent="0.2">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spans="2:28" ht="21" customHeight="1" x14ac:dyDescent="0.2">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spans="2:28" ht="21" customHeight="1" x14ac:dyDescent="0.2">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spans="2:28" ht="21" customHeight="1" x14ac:dyDescent="0.2">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spans="2:28" ht="21" customHeight="1" x14ac:dyDescent="0.2">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spans="2:28" ht="21" customHeight="1" x14ac:dyDescent="0.2">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spans="2:28" ht="21" customHeight="1" x14ac:dyDescent="0.2">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spans="2:28" ht="21" customHeight="1" x14ac:dyDescent="0.2">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spans="2:28" ht="21" customHeight="1" x14ac:dyDescent="0.2">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spans="2:28" ht="21" customHeight="1" x14ac:dyDescent="0.2">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spans="2:28" ht="21" customHeight="1" x14ac:dyDescent="0.2">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spans="2:28" ht="21" customHeight="1" x14ac:dyDescent="0.2">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spans="2:28" ht="21" customHeight="1" x14ac:dyDescent="0.2">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spans="2:28" ht="21" customHeight="1" x14ac:dyDescent="0.2">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spans="2:28" ht="21" customHeight="1" x14ac:dyDescent="0.2">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spans="2:28" ht="21" customHeight="1" x14ac:dyDescent="0.2">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spans="2:28" ht="21" customHeight="1" x14ac:dyDescent="0.2">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spans="2:28" ht="21" customHeight="1" x14ac:dyDescent="0.2">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spans="2:28" ht="21" customHeight="1" x14ac:dyDescent="0.2">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spans="2:28" ht="21" customHeight="1" x14ac:dyDescent="0.2">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spans="2:28" ht="21" customHeight="1" x14ac:dyDescent="0.2">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spans="2:28" ht="21" customHeight="1" x14ac:dyDescent="0.2">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spans="2:28" ht="21" customHeight="1" x14ac:dyDescent="0.2">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spans="2:28" ht="21" customHeight="1" x14ac:dyDescent="0.2">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spans="2:28" ht="21" customHeight="1" x14ac:dyDescent="0.2">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spans="2:28" ht="21" customHeight="1" x14ac:dyDescent="0.2">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spans="2:28" ht="21" customHeight="1" x14ac:dyDescent="0.2">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spans="2:28" ht="21" customHeight="1" x14ac:dyDescent="0.2">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spans="2:28" ht="21" customHeight="1" x14ac:dyDescent="0.2">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spans="2:28" ht="21" customHeight="1" x14ac:dyDescent="0.2">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spans="2:28" ht="21" customHeight="1" x14ac:dyDescent="0.2">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spans="2:28" ht="21" customHeight="1" x14ac:dyDescent="0.2">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spans="2:28" ht="21" customHeight="1" x14ac:dyDescent="0.2">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spans="2:28" ht="21" customHeight="1" x14ac:dyDescent="0.2">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spans="2:28" ht="21" customHeight="1" x14ac:dyDescent="0.2">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spans="2:28" ht="21" customHeight="1" x14ac:dyDescent="0.2">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spans="2:28" ht="21" customHeight="1" x14ac:dyDescent="0.2">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spans="2:28" ht="21" customHeight="1" x14ac:dyDescent="0.2">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spans="2:28" ht="21" customHeight="1" x14ac:dyDescent="0.2">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spans="2:28" ht="21" customHeight="1" x14ac:dyDescent="0.2">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spans="2:28" ht="21" customHeight="1" x14ac:dyDescent="0.2">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spans="2:28" ht="21" customHeight="1" x14ac:dyDescent="0.2">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spans="2:28" ht="21" customHeight="1" x14ac:dyDescent="0.2">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spans="2:28" ht="21" customHeight="1" x14ac:dyDescent="0.2">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spans="2:28" ht="21" customHeight="1" x14ac:dyDescent="0.2">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spans="2:28" ht="21" customHeight="1" x14ac:dyDescent="0.2">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spans="2:28" ht="21" customHeight="1" x14ac:dyDescent="0.2">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spans="2:28" ht="21" customHeight="1" x14ac:dyDescent="0.2">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spans="2:28" ht="21" customHeight="1" x14ac:dyDescent="0.2">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spans="2:28" ht="21" customHeight="1" x14ac:dyDescent="0.2">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spans="2:28" ht="21" customHeight="1" x14ac:dyDescent="0.2">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spans="2:28" ht="21" customHeight="1" x14ac:dyDescent="0.2">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spans="2:28" ht="21" customHeight="1" x14ac:dyDescent="0.2">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spans="2:28" ht="21" customHeight="1" x14ac:dyDescent="0.2">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spans="2:28" ht="21" customHeight="1" x14ac:dyDescent="0.2">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spans="2:28" ht="21" customHeight="1" x14ac:dyDescent="0.2">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spans="2:28" ht="15.75" customHeight="1" x14ac:dyDescent="0.2"/>
    <row r="176" spans="2:28"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sheetData>
  <mergeCells count="6">
    <mergeCell ref="F2:I2"/>
    <mergeCell ref="B12:B13"/>
    <mergeCell ref="C12:C13"/>
    <mergeCell ref="I6:I7"/>
    <mergeCell ref="E10:J10"/>
    <mergeCell ref="E11:J1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Lists!$K$2:$K$4</xm:f>
          </x14:formula1>
          <xm:sqref>C5</xm:sqref>
        </x14:dataValidation>
        <x14:dataValidation type="list" allowBlank="1" showErrorMessage="1" xr:uid="{00000000-0002-0000-0000-000002000000}">
          <x14:formula1>
            <xm:f>Lists!$H$2:$H$7</xm:f>
          </x14:formula1>
          <xm:sqref>C6</xm:sqref>
        </x14:dataValidation>
        <x14:dataValidation type="list" allowBlank="1" showErrorMessage="1" xr:uid="{00000000-0002-0000-0000-000003000000}">
          <x14:formula1>
            <xm:f>Lists!$A$2:$A$5</xm:f>
          </x14:formula1>
          <xm:sqref>C4</xm:sqref>
        </x14:dataValidation>
        <x14:dataValidation type="list" allowBlank="1" showErrorMessage="1" xr:uid="{00000000-0002-0000-0000-00000B000000}">
          <x14:formula1>
            <xm:f>Lists!$I$2:$I$6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A090-BB90-2E4A-8FAD-41DA052B53B4}">
  <sheetPr codeName="Sheet2"/>
  <dimension ref="B2:AB912"/>
  <sheetViews>
    <sheetView zoomScale="56" zoomScaleNormal="75" workbookViewId="0">
      <selection activeCell="D5" sqref="D5:G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73" t="s">
        <v>263</v>
      </c>
      <c r="D2" s="174"/>
      <c r="E2" s="174"/>
      <c r="F2" s="174"/>
      <c r="G2" s="175"/>
      <c r="I2" s="173" t="s">
        <v>264</v>
      </c>
      <c r="J2" s="174"/>
      <c r="K2" s="174"/>
      <c r="L2" s="174"/>
      <c r="M2" s="174"/>
      <c r="N2" s="175"/>
    </row>
    <row r="3" spans="2:28" ht="15" customHeight="1" thickBot="1" x14ac:dyDescent="0.25"/>
    <row r="4" spans="2:28" ht="65" customHeight="1" x14ac:dyDescent="0.2">
      <c r="C4" s="21" t="s">
        <v>99</v>
      </c>
      <c r="D4" s="185" t="s">
        <v>66</v>
      </c>
      <c r="E4" s="185"/>
      <c r="F4" s="185"/>
      <c r="G4" s="186"/>
      <c r="H4" s="181"/>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87">
        <v>22318</v>
      </c>
      <c r="E5" s="187"/>
      <c r="F5" s="187"/>
      <c r="G5" s="188"/>
      <c r="H5" s="181"/>
      <c r="I5" s="68">
        <f>$D$7 - $D$6 - SUM(I6:I9)</f>
        <v>2</v>
      </c>
      <c r="J5" s="59" t="s">
        <v>218</v>
      </c>
      <c r="K5" s="47">
        <f>(I10*$D$30*$D$34)-SUM(K6:K9)</f>
        <v>41.399999999999977</v>
      </c>
      <c r="L5" s="157" t="s">
        <v>265</v>
      </c>
      <c r="M5" s="158"/>
      <c r="N5" s="159"/>
      <c r="O5" s="108"/>
      <c r="P5" s="108"/>
      <c r="Q5" s="108"/>
      <c r="R5" s="1"/>
      <c r="S5" s="1"/>
      <c r="T5" s="1"/>
      <c r="U5" s="1"/>
      <c r="V5" s="1"/>
      <c r="W5" s="1"/>
      <c r="X5" s="1"/>
      <c r="Y5" s="1"/>
      <c r="Z5" s="1"/>
      <c r="AA5" s="1"/>
      <c r="AB5" s="1"/>
    </row>
    <row r="6" spans="2:28" ht="34" customHeight="1" x14ac:dyDescent="0.2">
      <c r="C6" s="22" t="s">
        <v>240</v>
      </c>
      <c r="D6" s="148">
        <v>5</v>
      </c>
      <c r="E6" s="148"/>
      <c r="F6" s="148"/>
      <c r="G6" s="149"/>
      <c r="H6" s="181"/>
      <c r="I6" s="68">
        <f>IF(Metadata!C8="Digital PCR (dPCR)",$D$7/4,$D$7/2)</f>
        <v>10</v>
      </c>
      <c r="J6" s="59" t="s">
        <v>219</v>
      </c>
      <c r="K6" s="47">
        <f>ROUNDUP(I6*$D$30*$D$34,0)</f>
        <v>207</v>
      </c>
      <c r="L6" s="160"/>
      <c r="M6" s="161"/>
      <c r="N6" s="162"/>
      <c r="O6" s="109"/>
      <c r="P6" s="109"/>
      <c r="Q6" s="109"/>
      <c r="R6" s="109"/>
      <c r="S6" s="1"/>
      <c r="T6" s="1"/>
      <c r="U6" s="1"/>
      <c r="V6" s="1"/>
      <c r="W6" s="1"/>
      <c r="X6" s="1"/>
      <c r="Y6" s="1"/>
      <c r="Z6" s="1"/>
      <c r="AA6" s="1"/>
      <c r="AB6" s="1"/>
    </row>
    <row r="7" spans="2:28" ht="34" customHeight="1" x14ac:dyDescent="0.2">
      <c r="C7" s="22" t="s">
        <v>238</v>
      </c>
      <c r="D7" s="187">
        <v>20</v>
      </c>
      <c r="E7" s="187"/>
      <c r="F7" s="187"/>
      <c r="G7" s="188"/>
      <c r="H7" s="181"/>
      <c r="I7" s="68">
        <f>IF(Metadata!C8="Digital PCR (dPCR)",$D$7/100,$D$7/10)</f>
        <v>2</v>
      </c>
      <c r="J7" s="59" t="s">
        <v>225</v>
      </c>
      <c r="K7" s="47">
        <f>ROUNDUP(I7*$D$30*$D$34,1)</f>
        <v>41.4</v>
      </c>
      <c r="L7" s="160"/>
      <c r="M7" s="161"/>
      <c r="N7" s="162"/>
      <c r="O7" s="109"/>
      <c r="P7" s="109"/>
      <c r="Q7" s="109"/>
      <c r="R7" s="109"/>
      <c r="S7" s="1"/>
      <c r="T7" s="1"/>
      <c r="U7" s="1"/>
      <c r="V7" s="1"/>
      <c r="W7" s="1"/>
      <c r="X7" s="1"/>
      <c r="Y7" s="1"/>
      <c r="Z7" s="1"/>
      <c r="AA7" s="1"/>
      <c r="AB7" s="1"/>
    </row>
    <row r="8" spans="2:28" ht="39" customHeight="1" x14ac:dyDescent="0.2">
      <c r="C8" s="176" t="s">
        <v>239</v>
      </c>
      <c r="D8" s="150"/>
      <c r="E8" s="150"/>
      <c r="F8" s="150"/>
      <c r="G8" s="151"/>
      <c r="H8" s="181"/>
      <c r="I8" s="68">
        <f>IF(Metadata!C8="Digital PCR (dPCR)",$D$7/20,$D$7/20)</f>
        <v>1</v>
      </c>
      <c r="J8" s="59" t="s">
        <v>220</v>
      </c>
      <c r="K8" s="47">
        <f>ROUNDUP(I8*$D$30*$D$34,1)</f>
        <v>20.7</v>
      </c>
      <c r="L8" s="160"/>
      <c r="M8" s="161"/>
      <c r="N8" s="162"/>
      <c r="O8" s="109"/>
      <c r="P8" s="109"/>
      <c r="Q8" s="109"/>
      <c r="R8" s="109"/>
      <c r="S8" s="1"/>
      <c r="T8" s="1"/>
      <c r="U8" s="1"/>
      <c r="V8" s="1"/>
      <c r="W8" s="1"/>
      <c r="X8" s="1"/>
      <c r="Y8" s="1"/>
      <c r="Z8" s="1"/>
      <c r="AA8" s="1"/>
      <c r="AB8" s="1"/>
    </row>
    <row r="9" spans="2:28" ht="39" customHeight="1" x14ac:dyDescent="0.2">
      <c r="C9" s="176"/>
      <c r="D9" s="150"/>
      <c r="E9" s="150"/>
      <c r="F9" s="150"/>
      <c r="G9" s="151"/>
      <c r="H9" s="181"/>
      <c r="I9" s="122">
        <v>0</v>
      </c>
      <c r="J9" s="123" t="s">
        <v>256</v>
      </c>
      <c r="K9" s="117">
        <f>ROUNDUP(I9*$D$30*$D$34,1)</f>
        <v>0</v>
      </c>
      <c r="L9" s="160"/>
      <c r="M9" s="161"/>
      <c r="N9" s="162"/>
      <c r="O9" s="109"/>
      <c r="P9" s="109"/>
      <c r="Q9" s="109"/>
      <c r="R9" s="109"/>
      <c r="S9" s="1"/>
      <c r="T9" s="1"/>
      <c r="U9" s="1"/>
      <c r="V9" s="1"/>
      <c r="W9" s="1"/>
      <c r="X9" s="1"/>
      <c r="Y9" s="1"/>
      <c r="Z9" s="1"/>
      <c r="AA9" s="1"/>
      <c r="AB9" s="1"/>
    </row>
    <row r="10" spans="2:28" ht="39" customHeight="1" thickBot="1" x14ac:dyDescent="0.25">
      <c r="C10" s="177"/>
      <c r="D10" s="152"/>
      <c r="E10" s="152"/>
      <c r="F10" s="152"/>
      <c r="G10" s="153"/>
      <c r="H10" s="103"/>
      <c r="I10" s="69">
        <f>SUM(I5:I8)</f>
        <v>15</v>
      </c>
      <c r="J10" s="118" t="s">
        <v>226</v>
      </c>
      <c r="K10" s="119">
        <f>ROUNDUP(I10*$D$30*$D$34,0)</f>
        <v>311</v>
      </c>
      <c r="L10" s="154" t="s">
        <v>248</v>
      </c>
      <c r="M10" s="155"/>
      <c r="N10" s="156"/>
      <c r="O10" s="109"/>
      <c r="P10" s="109"/>
      <c r="Q10" s="109"/>
      <c r="R10" s="109"/>
      <c r="S10" s="1"/>
      <c r="T10" s="1"/>
      <c r="U10" s="1"/>
      <c r="V10" s="1"/>
      <c r="W10" s="1"/>
      <c r="X10" s="1"/>
      <c r="Y10" s="1"/>
      <c r="Z10" s="1"/>
      <c r="AA10" s="1"/>
      <c r="AB10" s="1"/>
    </row>
    <row r="11" spans="2:28" ht="22" customHeight="1" thickBot="1" x14ac:dyDescent="0.25">
      <c r="B11" s="67"/>
      <c r="C11" s="181"/>
      <c r="D11" s="181"/>
      <c r="E11" s="181"/>
      <c r="F11" s="181"/>
      <c r="G11" s="181"/>
      <c r="H11" s="181"/>
      <c r="I11" s="181"/>
      <c r="J11" s="181"/>
      <c r="K11" s="181"/>
      <c r="L11" s="181"/>
      <c r="M11" s="181"/>
      <c r="N11" s="181"/>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82"/>
      <c r="I12" s="179" t="s">
        <v>252</v>
      </c>
      <c r="J12" s="180"/>
      <c r="K12" s="46" t="s">
        <v>249</v>
      </c>
      <c r="L12" s="178"/>
      <c r="M12" s="178"/>
      <c r="N12" s="178"/>
      <c r="O12" s="109"/>
      <c r="P12" s="109"/>
      <c r="Q12" s="109"/>
      <c r="R12" s="109"/>
    </row>
    <row r="13" spans="2:28" s="20" customFormat="1" ht="47" customHeight="1" x14ac:dyDescent="0.2">
      <c r="C13" s="23" t="s">
        <v>13</v>
      </c>
      <c r="D13" s="121" t="s">
        <v>87</v>
      </c>
      <c r="E13" s="48" t="s">
        <v>137</v>
      </c>
      <c r="F13" s="114" t="s">
        <v>96</v>
      </c>
      <c r="G13" s="48" t="s">
        <v>125</v>
      </c>
      <c r="H13" s="182"/>
      <c r="I13" s="195" t="s">
        <v>224</v>
      </c>
      <c r="J13" s="196"/>
      <c r="K13" s="70">
        <f>I10*$D$33</f>
        <v>16.5</v>
      </c>
      <c r="L13" s="167" t="s">
        <v>266</v>
      </c>
      <c r="M13" s="168"/>
      <c r="N13" s="169"/>
      <c r="O13" s="108"/>
      <c r="P13" s="108"/>
      <c r="Q13" s="108"/>
    </row>
    <row r="14" spans="2:28" s="20" customFormat="1" ht="46" customHeight="1" x14ac:dyDescent="0.2">
      <c r="C14" s="23" t="s">
        <v>22</v>
      </c>
      <c r="D14" s="121" t="s">
        <v>234</v>
      </c>
      <c r="E14" s="48" t="s">
        <v>137</v>
      </c>
      <c r="F14" s="114" t="s">
        <v>96</v>
      </c>
      <c r="G14" s="48" t="s">
        <v>125</v>
      </c>
      <c r="H14" s="182"/>
      <c r="I14" s="195" t="s">
        <v>31</v>
      </c>
      <c r="J14" s="196"/>
      <c r="K14" s="70">
        <f>D6*$D$33</f>
        <v>5.5</v>
      </c>
      <c r="L14" s="170" t="s">
        <v>267</v>
      </c>
      <c r="M14" s="171"/>
      <c r="N14" s="172"/>
      <c r="O14" s="108"/>
      <c r="P14" s="108"/>
      <c r="Q14" s="108"/>
    </row>
    <row r="15" spans="2:28" s="20" customFormat="1" ht="46" customHeight="1" x14ac:dyDescent="0.2">
      <c r="C15" s="23" t="s">
        <v>54</v>
      </c>
      <c r="D15" s="121" t="s">
        <v>235</v>
      </c>
      <c r="E15" s="48" t="s">
        <v>137</v>
      </c>
      <c r="F15" s="114" t="s">
        <v>96</v>
      </c>
      <c r="G15" s="48" t="s">
        <v>125</v>
      </c>
      <c r="H15" s="182"/>
      <c r="I15" s="163" t="s">
        <v>251</v>
      </c>
      <c r="J15" s="164"/>
      <c r="K15" s="120">
        <f>SUM(K13:K14)</f>
        <v>22</v>
      </c>
      <c r="L15" s="189" t="s">
        <v>244</v>
      </c>
      <c r="M15" s="190"/>
      <c r="N15" s="191"/>
      <c r="O15" s="44"/>
    </row>
    <row r="16" spans="2:28" s="20" customFormat="1" ht="46" customHeight="1" thickBot="1" x14ac:dyDescent="0.25">
      <c r="C16" s="23" t="s">
        <v>58</v>
      </c>
      <c r="D16" s="121" t="s">
        <v>88</v>
      </c>
      <c r="E16" s="48" t="s">
        <v>137</v>
      </c>
      <c r="F16" s="114" t="s">
        <v>96</v>
      </c>
      <c r="G16" s="48" t="s">
        <v>125</v>
      </c>
      <c r="H16" s="182"/>
      <c r="I16" s="165" t="s">
        <v>250</v>
      </c>
      <c r="J16" s="166"/>
      <c r="K16" s="72">
        <f>D7</f>
        <v>20</v>
      </c>
      <c r="L16" s="192" t="s">
        <v>268</v>
      </c>
      <c r="M16" s="193"/>
      <c r="N16" s="194"/>
      <c r="O16" s="147" t="s">
        <v>243</v>
      </c>
      <c r="P16" s="147"/>
      <c r="Q16" s="147"/>
      <c r="R16" s="147"/>
    </row>
    <row r="17" spans="2:28" s="20" customFormat="1" ht="47" customHeight="1" x14ac:dyDescent="0.2">
      <c r="C17" s="23" t="s">
        <v>60</v>
      </c>
      <c r="D17" s="121" t="s">
        <v>86</v>
      </c>
      <c r="E17" s="48" t="s">
        <v>137</v>
      </c>
      <c r="F17" s="114" t="s">
        <v>96</v>
      </c>
      <c r="G17" s="48" t="s">
        <v>125</v>
      </c>
      <c r="H17" s="182"/>
      <c r="I17" s="183"/>
      <c r="J17" s="183"/>
      <c r="K17" s="183"/>
      <c r="L17" s="71"/>
      <c r="O17" s="44"/>
    </row>
    <row r="18" spans="2:28" s="20" customFormat="1" ht="8" customHeight="1" thickBot="1" x14ac:dyDescent="0.25">
      <c r="C18" s="24"/>
      <c r="D18" s="32"/>
      <c r="E18" s="32"/>
      <c r="F18" s="25"/>
      <c r="G18" s="26"/>
      <c r="H18" s="182"/>
      <c r="I18" s="184"/>
      <c r="J18" s="184"/>
      <c r="K18" s="184"/>
    </row>
    <row r="19" spans="2:28" ht="50" customHeight="1" thickBot="1" x14ac:dyDescent="0.25">
      <c r="C19" s="203"/>
      <c r="D19" s="203"/>
      <c r="E19" s="203"/>
      <c r="F19" s="203"/>
      <c r="G19" s="203"/>
      <c r="H19" s="203"/>
      <c r="I19" s="203"/>
      <c r="J19" s="203"/>
      <c r="K19" s="203"/>
      <c r="L19" s="203"/>
      <c r="M19" s="203"/>
      <c r="N19" s="203"/>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82"/>
      <c r="P20" s="1"/>
      <c r="Q20" s="1"/>
      <c r="R20" s="1"/>
      <c r="S20" s="1"/>
      <c r="T20" s="1"/>
      <c r="U20" s="1"/>
      <c r="V20" s="1"/>
      <c r="W20" s="1"/>
      <c r="X20" s="1"/>
      <c r="Y20" s="1"/>
      <c r="Z20" s="1"/>
      <c r="AA20" s="1"/>
      <c r="AB20" s="1"/>
    </row>
    <row r="21" spans="2:28" ht="66" customHeight="1" x14ac:dyDescent="0.2">
      <c r="B21" s="36" t="s">
        <v>23</v>
      </c>
      <c r="C21" s="130" t="s">
        <v>273</v>
      </c>
      <c r="D21" s="131" t="s">
        <v>274</v>
      </c>
      <c r="E21" s="4"/>
      <c r="F21" s="5"/>
      <c r="G21" s="4" t="s">
        <v>291</v>
      </c>
      <c r="H21" s="5"/>
      <c r="I21" s="4"/>
      <c r="J21" s="5"/>
      <c r="K21" s="4"/>
      <c r="L21" s="5"/>
      <c r="M21" s="4"/>
      <c r="N21" s="37"/>
      <c r="O21" s="182"/>
      <c r="P21" s="1"/>
      <c r="Q21" s="1"/>
      <c r="R21" s="1"/>
      <c r="S21" s="1"/>
      <c r="T21" s="1"/>
      <c r="U21" s="1"/>
      <c r="V21" s="1"/>
      <c r="W21" s="1"/>
      <c r="X21" s="1"/>
      <c r="Y21" s="1"/>
      <c r="Z21" s="1"/>
      <c r="AA21" s="1"/>
      <c r="AB21" s="1"/>
    </row>
    <row r="22" spans="2:28" ht="66" customHeight="1" x14ac:dyDescent="0.2">
      <c r="B22" s="36" t="s">
        <v>24</v>
      </c>
      <c r="C22" s="131" t="s">
        <v>275</v>
      </c>
      <c r="D22" s="130" t="s">
        <v>276</v>
      </c>
      <c r="E22" s="5"/>
      <c r="F22" s="4"/>
      <c r="G22" s="5" t="s">
        <v>290</v>
      </c>
      <c r="H22" s="4"/>
      <c r="I22" s="5"/>
      <c r="J22" s="4"/>
      <c r="K22" s="5"/>
      <c r="L22" s="4"/>
      <c r="M22" s="5"/>
      <c r="N22" s="38"/>
      <c r="O22" s="182"/>
      <c r="P22" s="1"/>
      <c r="Q22" s="1"/>
      <c r="R22" s="1"/>
      <c r="S22" s="1"/>
      <c r="T22" s="1"/>
      <c r="U22" s="1"/>
      <c r="V22" s="1"/>
      <c r="W22" s="1"/>
      <c r="X22" s="1"/>
      <c r="Y22" s="1"/>
      <c r="Z22" s="1"/>
      <c r="AA22" s="1"/>
      <c r="AB22" s="1"/>
    </row>
    <row r="23" spans="2:28" ht="66" customHeight="1" x14ac:dyDescent="0.2">
      <c r="B23" s="36" t="s">
        <v>25</v>
      </c>
      <c r="C23" s="130" t="s">
        <v>277</v>
      </c>
      <c r="D23" s="131" t="s">
        <v>278</v>
      </c>
      <c r="E23" s="4"/>
      <c r="F23" s="5"/>
      <c r="G23" s="4"/>
      <c r="H23" s="5"/>
      <c r="I23" s="4"/>
      <c r="J23" s="5"/>
      <c r="K23" s="4"/>
      <c r="L23" s="5"/>
      <c r="M23" s="4"/>
      <c r="N23" s="37"/>
      <c r="O23" s="182"/>
      <c r="P23" s="1"/>
      <c r="Q23" s="1"/>
      <c r="R23" s="1"/>
      <c r="S23" s="1"/>
      <c r="T23" s="1"/>
      <c r="U23" s="1"/>
      <c r="V23" s="1"/>
      <c r="W23" s="1"/>
      <c r="X23" s="1"/>
      <c r="Y23" s="1"/>
      <c r="Z23" s="1"/>
      <c r="AA23" s="1"/>
      <c r="AB23" s="1"/>
    </row>
    <row r="24" spans="2:28" ht="66" customHeight="1" x14ac:dyDescent="0.2">
      <c r="B24" s="36" t="s">
        <v>26</v>
      </c>
      <c r="C24" s="131" t="s">
        <v>279</v>
      </c>
      <c r="D24" s="130" t="s">
        <v>280</v>
      </c>
      <c r="E24" s="5"/>
      <c r="F24" s="4"/>
      <c r="G24" s="5"/>
      <c r="H24" s="4"/>
      <c r="I24" s="5"/>
      <c r="J24" s="4"/>
      <c r="K24" s="5"/>
      <c r="L24" s="4"/>
      <c r="M24" s="5"/>
      <c r="N24" s="38"/>
      <c r="O24" s="182"/>
      <c r="P24" s="1"/>
      <c r="Q24" s="1"/>
      <c r="R24" s="1"/>
      <c r="S24" s="1"/>
      <c r="T24" s="1"/>
      <c r="U24" s="1"/>
      <c r="V24" s="1"/>
      <c r="W24" s="1"/>
      <c r="X24" s="1"/>
      <c r="Y24" s="1"/>
      <c r="Z24" s="1"/>
      <c r="AA24" s="1"/>
      <c r="AB24" s="1"/>
    </row>
    <row r="25" spans="2:28" ht="66" customHeight="1" x14ac:dyDescent="0.2">
      <c r="B25" s="36" t="s">
        <v>27</v>
      </c>
      <c r="C25" s="130" t="s">
        <v>281</v>
      </c>
      <c r="D25" s="131" t="s">
        <v>282</v>
      </c>
      <c r="E25" s="4"/>
      <c r="F25" s="5"/>
      <c r="G25" s="4"/>
      <c r="H25" s="5"/>
      <c r="I25" s="4"/>
      <c r="J25" s="5"/>
      <c r="K25" s="4"/>
      <c r="L25" s="5"/>
      <c r="M25" s="4"/>
      <c r="N25" s="37"/>
      <c r="O25" s="182"/>
      <c r="P25" s="1"/>
      <c r="Q25" s="1"/>
      <c r="R25" s="1"/>
      <c r="S25" s="1"/>
      <c r="T25" s="1"/>
      <c r="U25" s="1"/>
      <c r="V25" s="1"/>
      <c r="W25" s="1"/>
      <c r="X25" s="1"/>
      <c r="Y25" s="1"/>
      <c r="Z25" s="1"/>
      <c r="AA25" s="1"/>
      <c r="AB25" s="1"/>
    </row>
    <row r="26" spans="2:28" ht="66" customHeight="1" x14ac:dyDescent="0.2">
      <c r="B26" s="36" t="s">
        <v>28</v>
      </c>
      <c r="C26" s="131" t="s">
        <v>283</v>
      </c>
      <c r="D26" s="130" t="s">
        <v>284</v>
      </c>
      <c r="E26" s="5"/>
      <c r="F26" s="4"/>
      <c r="G26" s="5"/>
      <c r="H26" s="4"/>
      <c r="I26" s="5"/>
      <c r="J26" s="4"/>
      <c r="K26" s="5"/>
      <c r="L26" s="4"/>
      <c r="M26" s="5"/>
      <c r="N26" s="38"/>
      <c r="O26" s="182"/>
      <c r="P26" s="1"/>
      <c r="Q26" s="1"/>
      <c r="R26" s="1"/>
      <c r="S26" s="1"/>
      <c r="T26" s="1"/>
      <c r="U26" s="1"/>
      <c r="V26" s="1"/>
      <c r="W26" s="1"/>
      <c r="X26" s="1"/>
      <c r="Y26" s="1"/>
      <c r="Z26" s="1"/>
      <c r="AA26" s="1"/>
      <c r="AB26" s="1"/>
    </row>
    <row r="27" spans="2:28" ht="66" customHeight="1" x14ac:dyDescent="0.2">
      <c r="B27" s="36" t="s">
        <v>29</v>
      </c>
      <c r="C27" s="130" t="s">
        <v>285</v>
      </c>
      <c r="D27" s="131" t="s">
        <v>286</v>
      </c>
      <c r="E27" s="4"/>
      <c r="F27" s="5"/>
      <c r="G27" s="4"/>
      <c r="H27" s="5"/>
      <c r="I27" s="4"/>
      <c r="J27" s="5"/>
      <c r="K27" s="4"/>
      <c r="L27" s="5"/>
      <c r="M27" s="4"/>
      <c r="N27" s="37"/>
      <c r="O27" s="182"/>
      <c r="P27" s="1"/>
      <c r="Q27" s="1"/>
      <c r="R27" s="1"/>
      <c r="S27" s="1"/>
      <c r="T27" s="1"/>
      <c r="U27" s="1"/>
      <c r="V27" s="1"/>
      <c r="W27" s="1"/>
      <c r="X27" s="1"/>
      <c r="Y27" s="1"/>
      <c r="Z27" s="1"/>
      <c r="AA27" s="1"/>
      <c r="AB27" s="1"/>
    </row>
    <row r="28" spans="2:28" ht="66" customHeight="1" thickBot="1" x14ac:dyDescent="0.25">
      <c r="B28" s="39" t="s">
        <v>30</v>
      </c>
      <c r="C28" s="131" t="s">
        <v>287</v>
      </c>
      <c r="D28" s="130" t="s">
        <v>288</v>
      </c>
      <c r="E28" s="40"/>
      <c r="F28" s="41"/>
      <c r="G28" s="40"/>
      <c r="H28" s="41"/>
      <c r="I28" s="40"/>
      <c r="J28" s="41"/>
      <c r="K28" s="40"/>
      <c r="L28" s="41"/>
      <c r="M28" s="40"/>
      <c r="N28" s="42"/>
      <c r="O28" s="182"/>
      <c r="P28" s="1"/>
      <c r="Q28" s="1"/>
      <c r="R28" s="1"/>
      <c r="S28" s="1"/>
      <c r="T28" s="1"/>
      <c r="U28" s="1"/>
      <c r="V28" s="1"/>
      <c r="W28" s="1"/>
      <c r="X28" s="1"/>
      <c r="Y28" s="1"/>
      <c r="Z28" s="1"/>
      <c r="AA28" s="1"/>
      <c r="AB28" s="1"/>
    </row>
    <row r="29" spans="2:28" ht="21" customHeight="1" thickBot="1" x14ac:dyDescent="0.25">
      <c r="C29" s="181"/>
      <c r="D29" s="181"/>
      <c r="E29" s="181"/>
      <c r="F29" s="181"/>
      <c r="G29" s="181"/>
      <c r="H29" s="181"/>
      <c r="I29" s="181"/>
      <c r="J29" s="181"/>
      <c r="K29" s="181"/>
      <c r="L29" s="181"/>
      <c r="M29" s="181"/>
      <c r="N29" s="181"/>
      <c r="O29" s="181"/>
      <c r="P29" s="1"/>
      <c r="Q29" s="1"/>
      <c r="R29" s="1"/>
      <c r="S29" s="1"/>
      <c r="T29" s="1"/>
      <c r="U29" s="1"/>
      <c r="V29" s="1"/>
      <c r="W29" s="1"/>
      <c r="X29" s="1"/>
      <c r="Y29" s="1"/>
      <c r="Z29" s="1"/>
      <c r="AA29" s="1"/>
      <c r="AB29" s="1"/>
    </row>
    <row r="30" spans="2:28" ht="25" customHeight="1" x14ac:dyDescent="0.2">
      <c r="C30" s="205" t="s">
        <v>269</v>
      </c>
      <c r="D30" s="207">
        <f>COUNTIF(C21:N28,"&lt;&gt;"&amp;"")</f>
        <v>18</v>
      </c>
      <c r="E30" s="197" t="s">
        <v>229</v>
      </c>
      <c r="F30" s="199" t="s">
        <v>242</v>
      </c>
      <c r="G30" s="199"/>
      <c r="H30" s="200"/>
      <c r="I30" s="1"/>
      <c r="J30" s="1"/>
      <c r="K30" s="1"/>
      <c r="L30" s="1"/>
      <c r="M30" s="1"/>
      <c r="N30" s="1"/>
      <c r="O30" s="1"/>
      <c r="P30" s="1"/>
      <c r="Q30" s="1"/>
      <c r="R30" s="1"/>
      <c r="S30" s="1"/>
      <c r="T30" s="1"/>
      <c r="U30" s="1"/>
      <c r="V30" s="1"/>
      <c r="W30" s="1"/>
      <c r="X30" s="1"/>
      <c r="Y30" s="1"/>
      <c r="Z30" s="1"/>
      <c r="AA30" s="1"/>
      <c r="AB30" s="1"/>
    </row>
    <row r="31" spans="2:28" ht="25" customHeight="1" thickBot="1" x14ac:dyDescent="0.25">
      <c r="C31" s="206"/>
      <c r="D31" s="208"/>
      <c r="E31" s="209"/>
      <c r="F31" s="201"/>
      <c r="G31" s="201"/>
      <c r="H31" s="202"/>
      <c r="I31" s="1"/>
      <c r="J31" s="1"/>
      <c r="K31" s="1"/>
      <c r="L31" s="1"/>
      <c r="M31" s="1"/>
      <c r="N31" s="1"/>
      <c r="O31" s="1"/>
      <c r="P31" s="1"/>
      <c r="Q31" s="1"/>
      <c r="R31" s="1"/>
      <c r="S31" s="1"/>
      <c r="T31" s="1"/>
      <c r="U31" s="1"/>
      <c r="V31" s="1"/>
      <c r="W31" s="1"/>
      <c r="X31" s="1"/>
      <c r="Y31" s="1"/>
      <c r="Z31" s="1"/>
      <c r="AA31" s="1"/>
      <c r="AB31" s="1"/>
    </row>
    <row r="32" spans="2:28" ht="21" customHeight="1" thickBot="1" x14ac:dyDescent="0.25">
      <c r="C32" s="204"/>
      <c r="D32" s="204"/>
      <c r="E32" s="204"/>
      <c r="F32" s="204"/>
      <c r="G32" s="204"/>
      <c r="H32" s="204"/>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97" t="s">
        <v>229</v>
      </c>
      <c r="F33" s="199" t="s">
        <v>230</v>
      </c>
      <c r="G33" s="199"/>
      <c r="H33" s="200"/>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98"/>
      <c r="F34" s="201"/>
      <c r="G34" s="201"/>
      <c r="H34" s="202"/>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E33:E34"/>
    <mergeCell ref="F33:H34"/>
    <mergeCell ref="C19:N19"/>
    <mergeCell ref="O20:O28"/>
    <mergeCell ref="C29:O29"/>
    <mergeCell ref="C32:H32"/>
    <mergeCell ref="C30:C31"/>
    <mergeCell ref="D30:D31"/>
    <mergeCell ref="E30:E31"/>
    <mergeCell ref="F30:H31"/>
    <mergeCell ref="I2:N2"/>
    <mergeCell ref="C2:G2"/>
    <mergeCell ref="C8:C10"/>
    <mergeCell ref="L12:N12"/>
    <mergeCell ref="I12:J12"/>
    <mergeCell ref="C11:N11"/>
    <mergeCell ref="H4:H9"/>
    <mergeCell ref="H12:H18"/>
    <mergeCell ref="I17:K18"/>
    <mergeCell ref="D4:G4"/>
    <mergeCell ref="D5:G5"/>
    <mergeCell ref="D7:G7"/>
    <mergeCell ref="L15:N15"/>
    <mergeCell ref="L16:N16"/>
    <mergeCell ref="I13:J13"/>
    <mergeCell ref="I14:J14"/>
    <mergeCell ref="O16:R16"/>
    <mergeCell ref="D6:G6"/>
    <mergeCell ref="D8:G10"/>
    <mergeCell ref="L10:N10"/>
    <mergeCell ref="L5:N9"/>
    <mergeCell ref="I15:J15"/>
    <mergeCell ref="I16:J16"/>
    <mergeCell ref="L13:N13"/>
    <mergeCell ref="L14:N14"/>
  </mergeCells>
  <phoneticPr fontId="49" type="noConversion"/>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FD11E4E-36A5-5245-A8D5-732D17DDF405}">
          <x14:formula1>
            <xm:f>Lists!$J$2:$J$25</xm:f>
          </x14:formula1>
          <xm:sqref>D4</xm:sqref>
        </x14:dataValidation>
        <x14:dataValidation type="list" allowBlank="1" showInputMessage="1" showErrorMessage="1" xr:uid="{F59905F9-285B-8D48-BAC7-DD35F50F390E}">
          <x14:formula1>
            <xm:f>Lists!$E$2:$E$10</xm:f>
          </x14:formula1>
          <xm:sqref>F13:F18</xm:sqref>
        </x14:dataValidation>
        <x14:dataValidation type="list" allowBlank="1" showInputMessage="1" showErrorMessage="1" xr:uid="{74884DEA-6D6B-934F-BEB5-78B5B20436D5}">
          <x14:formula1>
            <xm:f>Lists!$G$2:$G$9</xm:f>
          </x14:formula1>
          <xm:sqref>C13:C18</xm:sqref>
        </x14:dataValidation>
        <x14:dataValidation type="list" allowBlank="1" showInputMessage="1" showErrorMessage="1" xr:uid="{D9611285-BFF1-0643-BDC0-F2FABEEEF4E1}">
          <x14:formula1>
            <xm:f>Lists!$B$2:$B$21</xm:f>
          </x14:formula1>
          <xm:sqref>D13:D17</xm:sqref>
        </x14:dataValidation>
        <x14:dataValidation type="list" allowBlank="1" showInputMessage="1" showErrorMessage="1" xr:uid="{DE2DB381-5D88-2C42-B4B0-50CD8AFC9CFB}">
          <x14:formula1>
            <xm:f>Lists!$M$2:$M$97</xm:f>
          </x14:formula1>
          <xm:sqref>E18 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C108-F8C5-7040-8D19-F43583ED9033}">
  <sheetPr codeName="Sheet3"/>
  <dimension ref="B2:AB912"/>
  <sheetViews>
    <sheetView zoomScale="75" zoomScaleNormal="75" workbookViewId="0">
      <selection activeCell="D5" sqref="D5:G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73" t="s">
        <v>263</v>
      </c>
      <c r="D2" s="174"/>
      <c r="E2" s="174"/>
      <c r="F2" s="174"/>
      <c r="G2" s="175"/>
      <c r="I2" s="173" t="s">
        <v>264</v>
      </c>
      <c r="J2" s="174"/>
      <c r="K2" s="174"/>
      <c r="L2" s="174"/>
      <c r="M2" s="174"/>
      <c r="N2" s="175"/>
    </row>
    <row r="3" spans="2:28" ht="15" customHeight="1" thickBot="1" x14ac:dyDescent="0.25"/>
    <row r="4" spans="2:28" ht="65" customHeight="1" x14ac:dyDescent="0.2">
      <c r="C4" s="21" t="s">
        <v>99</v>
      </c>
      <c r="D4" s="185" t="s">
        <v>73</v>
      </c>
      <c r="E4" s="185"/>
      <c r="F4" s="185"/>
      <c r="G4" s="186"/>
      <c r="H4" s="181"/>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87">
        <v>22470</v>
      </c>
      <c r="E5" s="187"/>
      <c r="F5" s="187"/>
      <c r="G5" s="188"/>
      <c r="H5" s="181"/>
      <c r="I5" s="68">
        <f>$D$7 - $D$6 - SUM(I6:I9)</f>
        <v>2</v>
      </c>
      <c r="J5" s="59" t="s">
        <v>218</v>
      </c>
      <c r="K5" s="47">
        <f>(I10*$D$30*$D$34)-SUM(K6:K9)</f>
        <v>41.399999999999977</v>
      </c>
      <c r="L5" s="157" t="s">
        <v>265</v>
      </c>
      <c r="M5" s="158"/>
      <c r="N5" s="159"/>
      <c r="O5" s="108"/>
      <c r="P5" s="108"/>
      <c r="Q5" s="108"/>
      <c r="R5" s="1"/>
      <c r="S5" s="1"/>
      <c r="T5" s="1"/>
      <c r="U5" s="1"/>
      <c r="V5" s="1"/>
      <c r="W5" s="1"/>
      <c r="X5" s="1"/>
      <c r="Y5" s="1"/>
      <c r="Z5" s="1"/>
      <c r="AA5" s="1"/>
      <c r="AB5" s="1"/>
    </row>
    <row r="6" spans="2:28" ht="34" customHeight="1" x14ac:dyDescent="0.2">
      <c r="C6" s="22" t="s">
        <v>240</v>
      </c>
      <c r="D6" s="148">
        <v>5</v>
      </c>
      <c r="E6" s="148"/>
      <c r="F6" s="148"/>
      <c r="G6" s="149"/>
      <c r="H6" s="181"/>
      <c r="I6" s="68">
        <f>IF(Metadata!C8="Digital PCR (dPCR)",$D$7/4,$D$7/2)</f>
        <v>10</v>
      </c>
      <c r="J6" s="59" t="s">
        <v>219</v>
      </c>
      <c r="K6" s="47">
        <f>ROUNDUP(I6*$D$30*$D$34,0)</f>
        <v>207</v>
      </c>
      <c r="L6" s="160"/>
      <c r="M6" s="161"/>
      <c r="N6" s="162"/>
      <c r="O6" s="109"/>
      <c r="P6" s="109"/>
      <c r="Q6" s="109"/>
      <c r="R6" s="109"/>
      <c r="S6" s="1"/>
      <c r="T6" s="1"/>
      <c r="U6" s="1"/>
      <c r="V6" s="1"/>
      <c r="W6" s="1"/>
      <c r="X6" s="1"/>
      <c r="Y6" s="1"/>
      <c r="Z6" s="1"/>
      <c r="AA6" s="1"/>
      <c r="AB6" s="1"/>
    </row>
    <row r="7" spans="2:28" ht="34" customHeight="1" x14ac:dyDescent="0.2">
      <c r="C7" s="22" t="s">
        <v>238</v>
      </c>
      <c r="D7" s="187">
        <v>20</v>
      </c>
      <c r="E7" s="187"/>
      <c r="F7" s="187"/>
      <c r="G7" s="188"/>
      <c r="H7" s="181"/>
      <c r="I7" s="68">
        <f>IF(Metadata!C8="Digital PCR (dPCR)",$D$7/100,$D$7/10)</f>
        <v>2</v>
      </c>
      <c r="J7" s="59" t="s">
        <v>225</v>
      </c>
      <c r="K7" s="47">
        <f>ROUNDUP(I7*$D$30*$D$34,1)</f>
        <v>41.4</v>
      </c>
      <c r="L7" s="160"/>
      <c r="M7" s="161"/>
      <c r="N7" s="162"/>
      <c r="O7" s="109"/>
      <c r="P7" s="109"/>
      <c r="Q7" s="109"/>
      <c r="R7" s="109"/>
      <c r="S7" s="1"/>
      <c r="T7" s="1"/>
      <c r="U7" s="1"/>
      <c r="V7" s="1"/>
      <c r="W7" s="1"/>
      <c r="X7" s="1"/>
      <c r="Y7" s="1"/>
      <c r="Z7" s="1"/>
      <c r="AA7" s="1"/>
      <c r="AB7" s="1"/>
    </row>
    <row r="8" spans="2:28" ht="39" customHeight="1" x14ac:dyDescent="0.2">
      <c r="C8" s="176" t="s">
        <v>239</v>
      </c>
      <c r="D8" s="150"/>
      <c r="E8" s="150"/>
      <c r="F8" s="150"/>
      <c r="G8" s="151"/>
      <c r="H8" s="181"/>
      <c r="I8" s="68">
        <f>IF(Metadata!C8="Digital PCR (dPCR)",$D$7/20,$D$7/20)</f>
        <v>1</v>
      </c>
      <c r="J8" s="59" t="s">
        <v>220</v>
      </c>
      <c r="K8" s="47">
        <f>ROUNDUP(I8*$D$30*$D$34,1)</f>
        <v>20.7</v>
      </c>
      <c r="L8" s="160"/>
      <c r="M8" s="161"/>
      <c r="N8" s="162"/>
      <c r="O8" s="109"/>
      <c r="P8" s="109"/>
      <c r="Q8" s="109"/>
      <c r="R8" s="109"/>
      <c r="S8" s="1"/>
      <c r="T8" s="1"/>
      <c r="U8" s="1"/>
      <c r="V8" s="1"/>
      <c r="W8" s="1"/>
      <c r="X8" s="1"/>
      <c r="Y8" s="1"/>
      <c r="Z8" s="1"/>
      <c r="AA8" s="1"/>
      <c r="AB8" s="1"/>
    </row>
    <row r="9" spans="2:28" ht="39" customHeight="1" x14ac:dyDescent="0.2">
      <c r="C9" s="176"/>
      <c r="D9" s="150"/>
      <c r="E9" s="150"/>
      <c r="F9" s="150"/>
      <c r="G9" s="151"/>
      <c r="H9" s="181"/>
      <c r="I9" s="122">
        <v>0</v>
      </c>
      <c r="J9" s="123" t="s">
        <v>256</v>
      </c>
      <c r="K9" s="117">
        <f>ROUNDUP(I9*$D$30*$D$34,1)</f>
        <v>0</v>
      </c>
      <c r="L9" s="160"/>
      <c r="M9" s="161"/>
      <c r="N9" s="162"/>
      <c r="O9" s="109"/>
      <c r="P9" s="109"/>
      <c r="Q9" s="109"/>
      <c r="R9" s="109"/>
      <c r="S9" s="1"/>
      <c r="T9" s="1"/>
      <c r="U9" s="1"/>
      <c r="V9" s="1"/>
      <c r="W9" s="1"/>
      <c r="X9" s="1"/>
      <c r="Y9" s="1"/>
      <c r="Z9" s="1"/>
      <c r="AA9" s="1"/>
      <c r="AB9" s="1"/>
    </row>
    <row r="10" spans="2:28" ht="39" customHeight="1" thickBot="1" x14ac:dyDescent="0.25">
      <c r="C10" s="177"/>
      <c r="D10" s="152"/>
      <c r="E10" s="152"/>
      <c r="F10" s="152"/>
      <c r="G10" s="153"/>
      <c r="H10" s="103"/>
      <c r="I10" s="69">
        <f>SUM(I5:I8)</f>
        <v>15</v>
      </c>
      <c r="J10" s="118" t="s">
        <v>226</v>
      </c>
      <c r="K10" s="119">
        <f>ROUNDUP(I10*$D$30*$D$34,0)</f>
        <v>311</v>
      </c>
      <c r="L10" s="154" t="s">
        <v>248</v>
      </c>
      <c r="M10" s="155"/>
      <c r="N10" s="156"/>
      <c r="O10" s="109"/>
      <c r="P10" s="109"/>
      <c r="Q10" s="109"/>
      <c r="R10" s="109"/>
      <c r="S10" s="1"/>
      <c r="T10" s="1"/>
      <c r="U10" s="1"/>
      <c r="V10" s="1"/>
      <c r="W10" s="1"/>
      <c r="X10" s="1"/>
      <c r="Y10" s="1"/>
      <c r="Z10" s="1"/>
      <c r="AA10" s="1"/>
      <c r="AB10" s="1"/>
    </row>
    <row r="11" spans="2:28" ht="22" customHeight="1" thickBot="1" x14ac:dyDescent="0.25">
      <c r="B11" s="67"/>
      <c r="C11" s="181"/>
      <c r="D11" s="181"/>
      <c r="E11" s="181"/>
      <c r="F11" s="181"/>
      <c r="G11" s="181"/>
      <c r="H11" s="181"/>
      <c r="I11" s="181"/>
      <c r="J11" s="181"/>
      <c r="K11" s="181"/>
      <c r="L11" s="181"/>
      <c r="M11" s="181"/>
      <c r="N11" s="181"/>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82"/>
      <c r="I12" s="179" t="s">
        <v>252</v>
      </c>
      <c r="J12" s="180"/>
      <c r="K12" s="46" t="s">
        <v>249</v>
      </c>
      <c r="L12" s="178"/>
      <c r="M12" s="178"/>
      <c r="N12" s="178"/>
      <c r="O12" s="109"/>
      <c r="P12" s="109"/>
      <c r="Q12" s="109"/>
      <c r="R12" s="109"/>
    </row>
    <row r="13" spans="2:28" s="20" customFormat="1" ht="47" customHeight="1" x14ac:dyDescent="0.2">
      <c r="C13" s="23" t="s">
        <v>13</v>
      </c>
      <c r="D13" s="121" t="s">
        <v>94</v>
      </c>
      <c r="E13" s="48" t="s">
        <v>162</v>
      </c>
      <c r="F13" s="114" t="s">
        <v>96</v>
      </c>
      <c r="G13" s="48" t="s">
        <v>149</v>
      </c>
      <c r="H13" s="182"/>
      <c r="I13" s="195" t="s">
        <v>224</v>
      </c>
      <c r="J13" s="196"/>
      <c r="K13" s="70">
        <f>I10*$D$33</f>
        <v>16.5</v>
      </c>
      <c r="L13" s="167" t="s">
        <v>266</v>
      </c>
      <c r="M13" s="168"/>
      <c r="N13" s="169"/>
      <c r="O13" s="108"/>
      <c r="P13" s="108"/>
      <c r="Q13" s="108"/>
    </row>
    <row r="14" spans="2:28" s="20" customFormat="1" ht="46" customHeight="1" x14ac:dyDescent="0.2">
      <c r="C14" s="23" t="s">
        <v>22</v>
      </c>
      <c r="D14" s="121" t="s">
        <v>95</v>
      </c>
      <c r="E14" s="48" t="s">
        <v>162</v>
      </c>
      <c r="F14" s="114" t="s">
        <v>96</v>
      </c>
      <c r="G14" s="48" t="s">
        <v>149</v>
      </c>
      <c r="H14" s="182"/>
      <c r="I14" s="195" t="s">
        <v>31</v>
      </c>
      <c r="J14" s="196"/>
      <c r="K14" s="70">
        <f>D6*$D$33</f>
        <v>5.5</v>
      </c>
      <c r="L14" s="170" t="s">
        <v>267</v>
      </c>
      <c r="M14" s="171"/>
      <c r="N14" s="172"/>
      <c r="O14" s="108"/>
      <c r="P14" s="108"/>
      <c r="Q14" s="108"/>
    </row>
    <row r="15" spans="2:28" s="20" customFormat="1" ht="46" customHeight="1" x14ac:dyDescent="0.2">
      <c r="C15" s="23" t="s">
        <v>54</v>
      </c>
      <c r="D15" s="121"/>
      <c r="E15" s="48"/>
      <c r="F15" s="114"/>
      <c r="G15" s="48"/>
      <c r="H15" s="182"/>
      <c r="I15" s="163" t="s">
        <v>251</v>
      </c>
      <c r="J15" s="164"/>
      <c r="K15" s="120">
        <f>SUM(K13:K14)</f>
        <v>22</v>
      </c>
      <c r="L15" s="189" t="s">
        <v>244</v>
      </c>
      <c r="M15" s="190"/>
      <c r="N15" s="191"/>
      <c r="O15" s="44"/>
    </row>
    <row r="16" spans="2:28" s="20" customFormat="1" ht="46" customHeight="1" thickBot="1" x14ac:dyDescent="0.25">
      <c r="C16" s="23" t="s">
        <v>58</v>
      </c>
      <c r="D16" s="121"/>
      <c r="E16" s="48"/>
      <c r="F16" s="114"/>
      <c r="G16" s="48"/>
      <c r="H16" s="182"/>
      <c r="I16" s="165" t="s">
        <v>250</v>
      </c>
      <c r="J16" s="166"/>
      <c r="K16" s="72">
        <f>D7</f>
        <v>20</v>
      </c>
      <c r="L16" s="192" t="s">
        <v>268</v>
      </c>
      <c r="M16" s="193"/>
      <c r="N16" s="194"/>
      <c r="O16" s="147" t="s">
        <v>243</v>
      </c>
      <c r="P16" s="147"/>
      <c r="Q16" s="147"/>
      <c r="R16" s="147"/>
    </row>
    <row r="17" spans="2:28" s="20" customFormat="1" ht="47" customHeight="1" x14ac:dyDescent="0.2">
      <c r="C17" s="23" t="s">
        <v>60</v>
      </c>
      <c r="D17" s="121"/>
      <c r="E17" s="48"/>
      <c r="F17" s="114"/>
      <c r="G17" s="48"/>
      <c r="H17" s="182"/>
      <c r="I17" s="183"/>
      <c r="J17" s="183"/>
      <c r="K17" s="183"/>
      <c r="L17" s="71"/>
      <c r="O17" s="44"/>
    </row>
    <row r="18" spans="2:28" s="20" customFormat="1" ht="8" customHeight="1" thickBot="1" x14ac:dyDescent="0.25">
      <c r="C18" s="24"/>
      <c r="D18" s="32"/>
      <c r="E18" s="32"/>
      <c r="F18" s="25"/>
      <c r="G18" s="26"/>
      <c r="H18" s="182"/>
      <c r="I18" s="184"/>
      <c r="J18" s="184"/>
      <c r="K18" s="184"/>
    </row>
    <row r="19" spans="2:28" ht="50" customHeight="1" thickBot="1" x14ac:dyDescent="0.25">
      <c r="C19" s="203"/>
      <c r="D19" s="203"/>
      <c r="E19" s="203"/>
      <c r="F19" s="203"/>
      <c r="G19" s="203"/>
      <c r="H19" s="203"/>
      <c r="I19" s="203"/>
      <c r="J19" s="203"/>
      <c r="K19" s="203"/>
      <c r="L19" s="203"/>
      <c r="M19" s="203"/>
      <c r="N19" s="203"/>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82"/>
      <c r="P20" s="1"/>
      <c r="Q20" s="1"/>
      <c r="R20" s="1"/>
      <c r="S20" s="1"/>
      <c r="T20" s="1"/>
      <c r="U20" s="1"/>
      <c r="V20" s="1"/>
      <c r="W20" s="1"/>
      <c r="X20" s="1"/>
      <c r="Y20" s="1"/>
      <c r="Z20" s="1"/>
      <c r="AA20" s="1"/>
      <c r="AB20" s="1"/>
    </row>
    <row r="21" spans="2:28" ht="66" customHeight="1" x14ac:dyDescent="0.2">
      <c r="B21" s="36" t="s">
        <v>23</v>
      </c>
      <c r="C21" s="104"/>
      <c r="D21" s="110"/>
      <c r="E21" s="130" t="s">
        <v>273</v>
      </c>
      <c r="F21" s="131" t="s">
        <v>274</v>
      </c>
      <c r="G21" s="4"/>
      <c r="H21" s="5"/>
      <c r="I21" s="4"/>
      <c r="J21" s="5"/>
      <c r="K21" s="4"/>
      <c r="L21" s="5"/>
      <c r="M21" s="4"/>
      <c r="N21" s="37"/>
      <c r="O21" s="182"/>
      <c r="P21" s="1"/>
      <c r="Q21" s="1"/>
      <c r="R21" s="1"/>
      <c r="S21" s="1"/>
      <c r="T21" s="1"/>
      <c r="U21" s="1"/>
      <c r="V21" s="1"/>
      <c r="W21" s="1"/>
      <c r="X21" s="1"/>
      <c r="Y21" s="1"/>
      <c r="Z21" s="1"/>
      <c r="AA21" s="1"/>
      <c r="AB21" s="1"/>
    </row>
    <row r="22" spans="2:28" ht="66" customHeight="1" x14ac:dyDescent="0.2">
      <c r="B22" s="36" t="s">
        <v>24</v>
      </c>
      <c r="C22" s="110"/>
      <c r="D22" s="104"/>
      <c r="E22" s="131" t="s">
        <v>275</v>
      </c>
      <c r="F22" s="130" t="s">
        <v>276</v>
      </c>
      <c r="G22" s="5"/>
      <c r="H22" s="4"/>
      <c r="I22" s="5"/>
      <c r="J22" s="4"/>
      <c r="K22" s="5"/>
      <c r="L22" s="4"/>
      <c r="M22" s="5"/>
      <c r="N22" s="38"/>
      <c r="O22" s="182"/>
      <c r="P22" s="1"/>
      <c r="Q22" s="1"/>
      <c r="R22" s="1"/>
      <c r="S22" s="1"/>
      <c r="T22" s="1"/>
      <c r="U22" s="1"/>
      <c r="V22" s="1"/>
      <c r="W22" s="1"/>
      <c r="X22" s="1"/>
      <c r="Y22" s="1"/>
      <c r="Z22" s="1"/>
      <c r="AA22" s="1"/>
      <c r="AB22" s="1"/>
    </row>
    <row r="23" spans="2:28" ht="66" customHeight="1" x14ac:dyDescent="0.2">
      <c r="B23" s="36" t="s">
        <v>25</v>
      </c>
      <c r="C23" s="104"/>
      <c r="D23" s="110"/>
      <c r="E23" s="130" t="s">
        <v>277</v>
      </c>
      <c r="F23" s="131" t="s">
        <v>278</v>
      </c>
      <c r="G23" s="4" t="s">
        <v>289</v>
      </c>
      <c r="H23" s="5"/>
      <c r="I23" s="4"/>
      <c r="J23" s="5"/>
      <c r="K23" s="4"/>
      <c r="L23" s="5"/>
      <c r="M23" s="4"/>
      <c r="N23" s="37"/>
      <c r="O23" s="182"/>
      <c r="P23" s="1"/>
      <c r="Q23" s="1"/>
      <c r="R23" s="1"/>
      <c r="S23" s="1"/>
      <c r="T23" s="1"/>
      <c r="U23" s="1"/>
      <c r="V23" s="1"/>
      <c r="W23" s="1"/>
      <c r="X23" s="1"/>
      <c r="Y23" s="1"/>
      <c r="Z23" s="1"/>
      <c r="AA23" s="1"/>
      <c r="AB23" s="1"/>
    </row>
    <row r="24" spans="2:28" ht="66" customHeight="1" x14ac:dyDescent="0.2">
      <c r="B24" s="36" t="s">
        <v>26</v>
      </c>
      <c r="C24" s="110"/>
      <c r="D24" s="104"/>
      <c r="E24" s="131" t="s">
        <v>279</v>
      </c>
      <c r="F24" s="130" t="s">
        <v>280</v>
      </c>
      <c r="G24" s="5" t="s">
        <v>290</v>
      </c>
      <c r="H24" s="4"/>
      <c r="I24" s="5"/>
      <c r="J24" s="4"/>
      <c r="K24" s="5"/>
      <c r="L24" s="4"/>
      <c r="M24" s="5"/>
      <c r="N24" s="38"/>
      <c r="O24" s="182"/>
      <c r="P24" s="1"/>
      <c r="Q24" s="1"/>
      <c r="R24" s="1"/>
      <c r="S24" s="1"/>
      <c r="T24" s="1"/>
      <c r="U24" s="1"/>
      <c r="V24" s="1"/>
      <c r="W24" s="1"/>
      <c r="X24" s="1"/>
      <c r="Y24" s="1"/>
      <c r="Z24" s="1"/>
      <c r="AA24" s="1"/>
      <c r="AB24" s="1"/>
    </row>
    <row r="25" spans="2:28" ht="66" customHeight="1" x14ac:dyDescent="0.2">
      <c r="B25" s="36" t="s">
        <v>27</v>
      </c>
      <c r="C25" s="104"/>
      <c r="D25" s="110"/>
      <c r="E25" s="130" t="s">
        <v>281</v>
      </c>
      <c r="F25" s="131" t="s">
        <v>282</v>
      </c>
      <c r="G25" s="4"/>
      <c r="H25" s="5"/>
      <c r="I25" s="4"/>
      <c r="J25" s="5"/>
      <c r="K25" s="4"/>
      <c r="L25" s="5"/>
      <c r="M25" s="4"/>
      <c r="N25" s="37"/>
      <c r="O25" s="182"/>
      <c r="P25" s="1"/>
      <c r="Q25" s="1"/>
      <c r="R25" s="1"/>
      <c r="S25" s="1"/>
      <c r="T25" s="1"/>
      <c r="U25" s="1"/>
      <c r="V25" s="1"/>
      <c r="W25" s="1"/>
      <c r="X25" s="1"/>
      <c r="Y25" s="1"/>
      <c r="Z25" s="1"/>
      <c r="AA25" s="1"/>
      <c r="AB25" s="1"/>
    </row>
    <row r="26" spans="2:28" ht="66" customHeight="1" x14ac:dyDescent="0.2">
      <c r="B26" s="36" t="s">
        <v>28</v>
      </c>
      <c r="C26" s="110"/>
      <c r="D26" s="104"/>
      <c r="E26" s="131" t="s">
        <v>283</v>
      </c>
      <c r="F26" s="130" t="s">
        <v>284</v>
      </c>
      <c r="G26" s="5"/>
      <c r="H26" s="4"/>
      <c r="I26" s="5"/>
      <c r="J26" s="4"/>
      <c r="K26" s="5"/>
      <c r="L26" s="4"/>
      <c r="M26" s="5"/>
      <c r="N26" s="38"/>
      <c r="O26" s="182"/>
      <c r="P26" s="1"/>
      <c r="Q26" s="1"/>
      <c r="R26" s="1"/>
      <c r="S26" s="1"/>
      <c r="T26" s="1"/>
      <c r="U26" s="1"/>
      <c r="V26" s="1"/>
      <c r="W26" s="1"/>
      <c r="X26" s="1"/>
      <c r="Y26" s="1"/>
      <c r="Z26" s="1"/>
      <c r="AA26" s="1"/>
      <c r="AB26" s="1"/>
    </row>
    <row r="27" spans="2:28" ht="66" customHeight="1" x14ac:dyDescent="0.2">
      <c r="B27" s="36" t="s">
        <v>29</v>
      </c>
      <c r="C27" s="104"/>
      <c r="D27" s="110"/>
      <c r="E27" s="130" t="s">
        <v>285</v>
      </c>
      <c r="F27" s="131" t="s">
        <v>286</v>
      </c>
      <c r="G27" s="4"/>
      <c r="H27" s="5"/>
      <c r="I27" s="4"/>
      <c r="J27" s="5"/>
      <c r="K27" s="4"/>
      <c r="L27" s="5"/>
      <c r="M27" s="4"/>
      <c r="N27" s="37"/>
      <c r="O27" s="182"/>
      <c r="P27" s="1"/>
      <c r="Q27" s="1"/>
      <c r="R27" s="1"/>
      <c r="S27" s="1"/>
      <c r="T27" s="1"/>
      <c r="U27" s="1"/>
      <c r="V27" s="1"/>
      <c r="W27" s="1"/>
      <c r="X27" s="1"/>
      <c r="Y27" s="1"/>
      <c r="Z27" s="1"/>
      <c r="AA27" s="1"/>
      <c r="AB27" s="1"/>
    </row>
    <row r="28" spans="2:28" ht="66" customHeight="1" thickBot="1" x14ac:dyDescent="0.25">
      <c r="B28" s="39" t="s">
        <v>30</v>
      </c>
      <c r="C28" s="111"/>
      <c r="D28" s="106"/>
      <c r="E28" s="131" t="s">
        <v>287</v>
      </c>
      <c r="F28" s="130" t="s">
        <v>288</v>
      </c>
      <c r="G28" s="40"/>
      <c r="H28" s="41"/>
      <c r="I28" s="40"/>
      <c r="J28" s="41"/>
      <c r="K28" s="40"/>
      <c r="L28" s="41"/>
      <c r="M28" s="40"/>
      <c r="N28" s="42"/>
      <c r="O28" s="182"/>
      <c r="P28" s="1"/>
      <c r="Q28" s="1"/>
      <c r="R28" s="1"/>
      <c r="S28" s="1"/>
      <c r="T28" s="1"/>
      <c r="U28" s="1"/>
      <c r="V28" s="1"/>
      <c r="W28" s="1"/>
      <c r="X28" s="1"/>
      <c r="Y28" s="1"/>
      <c r="Z28" s="1"/>
      <c r="AA28" s="1"/>
      <c r="AB28" s="1"/>
    </row>
    <row r="29" spans="2:28" ht="21" customHeight="1" thickBot="1" x14ac:dyDescent="0.25">
      <c r="C29" s="181"/>
      <c r="D29" s="181"/>
      <c r="E29" s="181"/>
      <c r="F29" s="181"/>
      <c r="G29" s="181"/>
      <c r="H29" s="181"/>
      <c r="I29" s="181"/>
      <c r="J29" s="181"/>
      <c r="K29" s="181"/>
      <c r="L29" s="181"/>
      <c r="M29" s="181"/>
      <c r="N29" s="181"/>
      <c r="O29" s="181"/>
      <c r="P29" s="1"/>
      <c r="Q29" s="1"/>
      <c r="R29" s="1"/>
      <c r="S29" s="1"/>
      <c r="T29" s="1"/>
      <c r="U29" s="1"/>
      <c r="V29" s="1"/>
      <c r="W29" s="1"/>
      <c r="X29" s="1"/>
      <c r="Y29" s="1"/>
      <c r="Z29" s="1"/>
      <c r="AA29" s="1"/>
      <c r="AB29" s="1"/>
    </row>
    <row r="30" spans="2:28" ht="25" customHeight="1" x14ac:dyDescent="0.2">
      <c r="C30" s="205" t="s">
        <v>269</v>
      </c>
      <c r="D30" s="207">
        <f>COUNTIF(C21:N28,"&lt;&gt;"&amp;"")</f>
        <v>18</v>
      </c>
      <c r="E30" s="197" t="s">
        <v>229</v>
      </c>
      <c r="F30" s="199" t="s">
        <v>242</v>
      </c>
      <c r="G30" s="199"/>
      <c r="H30" s="200"/>
      <c r="I30" s="1"/>
      <c r="J30" s="1"/>
      <c r="K30" s="1"/>
      <c r="L30" s="1"/>
      <c r="M30" s="1"/>
      <c r="N30" s="1"/>
      <c r="O30" s="1"/>
      <c r="P30" s="1"/>
      <c r="Q30" s="1"/>
      <c r="R30" s="1"/>
      <c r="S30" s="1"/>
      <c r="T30" s="1"/>
      <c r="U30" s="1"/>
      <c r="V30" s="1"/>
      <c r="W30" s="1"/>
      <c r="X30" s="1"/>
      <c r="Y30" s="1"/>
      <c r="Z30" s="1"/>
      <c r="AA30" s="1"/>
      <c r="AB30" s="1"/>
    </row>
    <row r="31" spans="2:28" ht="25" customHeight="1" thickBot="1" x14ac:dyDescent="0.25">
      <c r="C31" s="206"/>
      <c r="D31" s="208"/>
      <c r="E31" s="209"/>
      <c r="F31" s="201"/>
      <c r="G31" s="201"/>
      <c r="H31" s="202"/>
      <c r="I31" s="1"/>
      <c r="J31" s="1"/>
      <c r="K31" s="1"/>
      <c r="L31" s="1"/>
      <c r="M31" s="1"/>
      <c r="N31" s="1"/>
      <c r="O31" s="1"/>
      <c r="P31" s="1"/>
      <c r="Q31" s="1"/>
      <c r="R31" s="1"/>
      <c r="S31" s="1"/>
      <c r="T31" s="1"/>
      <c r="U31" s="1"/>
      <c r="V31" s="1"/>
      <c r="W31" s="1"/>
      <c r="X31" s="1"/>
      <c r="Y31" s="1"/>
      <c r="Z31" s="1"/>
      <c r="AA31" s="1"/>
      <c r="AB31" s="1"/>
    </row>
    <row r="32" spans="2:28" ht="21" customHeight="1" thickBot="1" x14ac:dyDescent="0.25">
      <c r="C32" s="204"/>
      <c r="D32" s="204"/>
      <c r="E32" s="204"/>
      <c r="F32" s="204"/>
      <c r="G32" s="204"/>
      <c r="H32" s="204"/>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97" t="s">
        <v>229</v>
      </c>
      <c r="F33" s="199" t="s">
        <v>230</v>
      </c>
      <c r="G33" s="199"/>
      <c r="H33" s="200"/>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98"/>
      <c r="F34" s="201"/>
      <c r="G34" s="201"/>
      <c r="H34" s="202"/>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16B50616-5867-0241-8D22-BDF23EDEFA94}">
          <x14:formula1>
            <xm:f>Lists!$M$2:$M$97</xm:f>
          </x14:formula1>
          <xm:sqref>E18 G18</xm:sqref>
        </x14:dataValidation>
        <x14:dataValidation type="list" allowBlank="1" showInputMessage="1" showErrorMessage="1" xr:uid="{8B9031EF-CB54-1D4A-8E59-5E5BCD82E028}">
          <x14:formula1>
            <xm:f>Lists!$B$2:$B$21</xm:f>
          </x14:formula1>
          <xm:sqref>D13:D17</xm:sqref>
        </x14:dataValidation>
        <x14:dataValidation type="list" allowBlank="1" showInputMessage="1" showErrorMessage="1" xr:uid="{5AF45BF2-DD26-C34A-96EF-8BB6E45D5888}">
          <x14:formula1>
            <xm:f>Lists!$G$2:$G$9</xm:f>
          </x14:formula1>
          <xm:sqref>C13:C18</xm:sqref>
        </x14:dataValidation>
        <x14:dataValidation type="list" allowBlank="1" showInputMessage="1" showErrorMessage="1" xr:uid="{C3D112DA-B790-6A44-AFA7-31BC93985CBD}">
          <x14:formula1>
            <xm:f>Lists!$E$2:$E$10</xm:f>
          </x14:formula1>
          <xm:sqref>F13:F18</xm:sqref>
        </x14:dataValidation>
        <x14:dataValidation type="list" allowBlank="1" showErrorMessage="1" xr:uid="{C6A2D47A-0222-704A-8B44-6126FC516FCD}">
          <x14:formula1>
            <xm:f>Lists!$J$2:$J$25</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F2D4-DF5E-9C4C-B4E3-C75FA7994AC8}">
  <sheetPr codeName="Sheet5"/>
  <dimension ref="B2:AB912"/>
  <sheetViews>
    <sheetView topLeftCell="A21" zoomScale="75" zoomScaleNormal="75" workbookViewId="0">
      <selection activeCell="I22" sqref="I22"/>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73" t="s">
        <v>263</v>
      </c>
      <c r="D2" s="174"/>
      <c r="E2" s="174"/>
      <c r="F2" s="174"/>
      <c r="G2" s="175"/>
      <c r="I2" s="173" t="s">
        <v>264</v>
      </c>
      <c r="J2" s="174"/>
      <c r="K2" s="174"/>
      <c r="L2" s="174"/>
      <c r="M2" s="174"/>
      <c r="N2" s="175"/>
    </row>
    <row r="3" spans="2:28" ht="15" customHeight="1" thickBot="1" x14ac:dyDescent="0.25"/>
    <row r="4" spans="2:28" ht="65" customHeight="1" x14ac:dyDescent="0.2">
      <c r="C4" s="21" t="s">
        <v>99</v>
      </c>
      <c r="D4" s="185"/>
      <c r="E4" s="185"/>
      <c r="F4" s="185"/>
      <c r="G4" s="186"/>
      <c r="H4" s="181"/>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87" t="s">
        <v>9</v>
      </c>
      <c r="E5" s="187"/>
      <c r="F5" s="187"/>
      <c r="G5" s="188"/>
      <c r="H5" s="181"/>
      <c r="I5" s="68">
        <f>$D$7 - $D$6 - SUM(I6:I9)</f>
        <v>2</v>
      </c>
      <c r="J5" s="59" t="s">
        <v>218</v>
      </c>
      <c r="K5" s="47">
        <f>(I10*$D$30*$D$34)-SUM(K6:K9)</f>
        <v>0</v>
      </c>
      <c r="L5" s="157" t="s">
        <v>265</v>
      </c>
      <c r="M5" s="158"/>
      <c r="N5" s="159"/>
      <c r="O5" s="108"/>
      <c r="P5" s="108"/>
      <c r="Q5" s="108"/>
      <c r="R5" s="1"/>
      <c r="S5" s="1"/>
      <c r="T5" s="1"/>
      <c r="U5" s="1"/>
      <c r="V5" s="1"/>
      <c r="W5" s="1"/>
      <c r="X5" s="1"/>
      <c r="Y5" s="1"/>
      <c r="Z5" s="1"/>
      <c r="AA5" s="1"/>
      <c r="AB5" s="1"/>
    </row>
    <row r="6" spans="2:28" ht="34" customHeight="1" x14ac:dyDescent="0.2">
      <c r="C6" s="22" t="s">
        <v>240</v>
      </c>
      <c r="D6" s="148">
        <v>5</v>
      </c>
      <c r="E6" s="148"/>
      <c r="F6" s="148"/>
      <c r="G6" s="149"/>
      <c r="H6" s="181"/>
      <c r="I6" s="68">
        <f>IF(Metadata!C8="Digital PCR (dPCR)",$D$7/4,$D$7/2)</f>
        <v>10</v>
      </c>
      <c r="J6" s="59" t="s">
        <v>219</v>
      </c>
      <c r="K6" s="47">
        <f>ROUNDUP(I6*$D$30*$D$34,0)</f>
        <v>0</v>
      </c>
      <c r="L6" s="160"/>
      <c r="M6" s="161"/>
      <c r="N6" s="162"/>
      <c r="O6" s="109"/>
      <c r="P6" s="109"/>
      <c r="Q6" s="109"/>
      <c r="R6" s="109"/>
      <c r="S6" s="1"/>
      <c r="T6" s="1"/>
      <c r="U6" s="1"/>
      <c r="V6" s="1"/>
      <c r="W6" s="1"/>
      <c r="X6" s="1"/>
      <c r="Y6" s="1"/>
      <c r="Z6" s="1"/>
      <c r="AA6" s="1"/>
      <c r="AB6" s="1"/>
    </row>
    <row r="7" spans="2:28" ht="34" customHeight="1" x14ac:dyDescent="0.2">
      <c r="C7" s="22" t="s">
        <v>238</v>
      </c>
      <c r="D7" s="187">
        <v>20</v>
      </c>
      <c r="E7" s="187"/>
      <c r="F7" s="187"/>
      <c r="G7" s="188"/>
      <c r="H7" s="181"/>
      <c r="I7" s="68">
        <f>IF(Metadata!C8="Digital PCR (dPCR)",$D$7/100,$D$7/10)</f>
        <v>2</v>
      </c>
      <c r="J7" s="59" t="s">
        <v>225</v>
      </c>
      <c r="K7" s="47">
        <f>ROUNDUP(I7*$D$30*$D$34,1)</f>
        <v>0</v>
      </c>
      <c r="L7" s="160"/>
      <c r="M7" s="161"/>
      <c r="N7" s="162"/>
      <c r="O7" s="109"/>
      <c r="P7" s="109"/>
      <c r="Q7" s="109"/>
      <c r="R7" s="109"/>
      <c r="S7" s="1"/>
      <c r="T7" s="1"/>
      <c r="U7" s="1"/>
      <c r="V7" s="1"/>
      <c r="W7" s="1"/>
      <c r="X7" s="1"/>
      <c r="Y7" s="1"/>
      <c r="Z7" s="1"/>
      <c r="AA7" s="1"/>
      <c r="AB7" s="1"/>
    </row>
    <row r="8" spans="2:28" ht="39" customHeight="1" x14ac:dyDescent="0.2">
      <c r="C8" s="176" t="s">
        <v>239</v>
      </c>
      <c r="D8" s="150"/>
      <c r="E8" s="150"/>
      <c r="F8" s="150"/>
      <c r="G8" s="151"/>
      <c r="H8" s="181"/>
      <c r="I8" s="68">
        <f>IF(Metadata!C8="Digital PCR (dPCR)",$D$7/20,$D$7/20)</f>
        <v>1</v>
      </c>
      <c r="J8" s="59" t="s">
        <v>220</v>
      </c>
      <c r="K8" s="47">
        <f>ROUNDUP(I8*$D$30*$D$34,1)</f>
        <v>0</v>
      </c>
      <c r="L8" s="160"/>
      <c r="M8" s="161"/>
      <c r="N8" s="162"/>
      <c r="O8" s="109"/>
      <c r="P8" s="109"/>
      <c r="Q8" s="109"/>
      <c r="R8" s="109"/>
      <c r="S8" s="1"/>
      <c r="T8" s="1"/>
      <c r="U8" s="1"/>
      <c r="V8" s="1"/>
      <c r="W8" s="1"/>
      <c r="X8" s="1"/>
      <c r="Y8" s="1"/>
      <c r="Z8" s="1"/>
      <c r="AA8" s="1"/>
      <c r="AB8" s="1"/>
    </row>
    <row r="9" spans="2:28" ht="39" customHeight="1" x14ac:dyDescent="0.2">
      <c r="C9" s="176"/>
      <c r="D9" s="150"/>
      <c r="E9" s="150"/>
      <c r="F9" s="150"/>
      <c r="G9" s="151"/>
      <c r="H9" s="181"/>
      <c r="I9" s="122">
        <v>0</v>
      </c>
      <c r="J9" s="123" t="s">
        <v>256</v>
      </c>
      <c r="K9" s="117">
        <f>ROUNDUP(I9*$D$30*$D$34,1)</f>
        <v>0</v>
      </c>
      <c r="L9" s="160"/>
      <c r="M9" s="161"/>
      <c r="N9" s="162"/>
      <c r="O9" s="109"/>
      <c r="P9" s="109"/>
      <c r="Q9" s="109"/>
      <c r="R9" s="109"/>
      <c r="S9" s="1"/>
      <c r="T9" s="1"/>
      <c r="U9" s="1"/>
      <c r="V9" s="1"/>
      <c r="W9" s="1"/>
      <c r="X9" s="1"/>
      <c r="Y9" s="1"/>
      <c r="Z9" s="1"/>
      <c r="AA9" s="1"/>
      <c r="AB9" s="1"/>
    </row>
    <row r="10" spans="2:28" ht="39" customHeight="1" thickBot="1" x14ac:dyDescent="0.25">
      <c r="C10" s="177"/>
      <c r="D10" s="152"/>
      <c r="E10" s="152"/>
      <c r="F10" s="152"/>
      <c r="G10" s="153"/>
      <c r="H10" s="103"/>
      <c r="I10" s="69">
        <f>SUM(I5:I8)</f>
        <v>15</v>
      </c>
      <c r="J10" s="118" t="s">
        <v>226</v>
      </c>
      <c r="K10" s="119">
        <f>ROUNDUP(I10*$D$30*$D$34,0)</f>
        <v>0</v>
      </c>
      <c r="L10" s="154" t="s">
        <v>248</v>
      </c>
      <c r="M10" s="155"/>
      <c r="N10" s="156"/>
      <c r="O10" s="109"/>
      <c r="P10" s="109"/>
      <c r="Q10" s="109"/>
      <c r="R10" s="109"/>
      <c r="S10" s="1"/>
      <c r="T10" s="1"/>
      <c r="U10" s="1"/>
      <c r="V10" s="1"/>
      <c r="W10" s="1"/>
      <c r="X10" s="1"/>
      <c r="Y10" s="1"/>
      <c r="Z10" s="1"/>
      <c r="AA10" s="1"/>
      <c r="AB10" s="1"/>
    </row>
    <row r="11" spans="2:28" ht="22" customHeight="1" thickBot="1" x14ac:dyDescent="0.25">
      <c r="B11" s="67"/>
      <c r="C11" s="181"/>
      <c r="D11" s="181"/>
      <c r="E11" s="181"/>
      <c r="F11" s="181"/>
      <c r="G11" s="181"/>
      <c r="H11" s="181"/>
      <c r="I11" s="181"/>
      <c r="J11" s="181"/>
      <c r="K11" s="181"/>
      <c r="L11" s="181"/>
      <c r="M11" s="181"/>
      <c r="N11" s="181"/>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82"/>
      <c r="I12" s="179" t="s">
        <v>252</v>
      </c>
      <c r="J12" s="180"/>
      <c r="K12" s="46" t="s">
        <v>249</v>
      </c>
      <c r="L12" s="178"/>
      <c r="M12" s="178"/>
      <c r="N12" s="178"/>
      <c r="O12" s="109"/>
      <c r="P12" s="109"/>
      <c r="Q12" s="109"/>
      <c r="R12" s="109"/>
    </row>
    <row r="13" spans="2:28" s="20" customFormat="1" ht="47" customHeight="1" x14ac:dyDescent="0.2">
      <c r="C13" s="23" t="s">
        <v>13</v>
      </c>
      <c r="D13" s="121" t="s">
        <v>116</v>
      </c>
      <c r="E13" s="48" t="s">
        <v>176</v>
      </c>
      <c r="F13" s="114" t="s">
        <v>96</v>
      </c>
      <c r="G13" s="48" t="s">
        <v>177</v>
      </c>
      <c r="H13" s="182"/>
      <c r="I13" s="195" t="s">
        <v>224</v>
      </c>
      <c r="J13" s="196"/>
      <c r="K13" s="70">
        <f>I10*$D$33</f>
        <v>16.5</v>
      </c>
      <c r="L13" s="167" t="s">
        <v>266</v>
      </c>
      <c r="M13" s="168"/>
      <c r="N13" s="169"/>
      <c r="O13" s="108"/>
      <c r="P13" s="108"/>
      <c r="Q13" s="108"/>
    </row>
    <row r="14" spans="2:28" s="20" customFormat="1" ht="46" customHeight="1" x14ac:dyDescent="0.2">
      <c r="C14" s="23" t="s">
        <v>22</v>
      </c>
      <c r="D14" s="121"/>
      <c r="E14" s="48"/>
      <c r="F14" s="114"/>
      <c r="G14" s="48"/>
      <c r="H14" s="182"/>
      <c r="I14" s="195" t="s">
        <v>31</v>
      </c>
      <c r="J14" s="196"/>
      <c r="K14" s="70">
        <f>D6*$D$33</f>
        <v>5.5</v>
      </c>
      <c r="L14" s="170" t="s">
        <v>267</v>
      </c>
      <c r="M14" s="171"/>
      <c r="N14" s="172"/>
      <c r="O14" s="108"/>
      <c r="P14" s="108"/>
      <c r="Q14" s="108"/>
    </row>
    <row r="15" spans="2:28" s="20" customFormat="1" ht="46" customHeight="1" x14ac:dyDescent="0.2">
      <c r="C15" s="23" t="s">
        <v>54</v>
      </c>
      <c r="D15" s="121"/>
      <c r="E15" s="48"/>
      <c r="F15" s="114"/>
      <c r="G15" s="48"/>
      <c r="H15" s="182"/>
      <c r="I15" s="163" t="s">
        <v>251</v>
      </c>
      <c r="J15" s="164"/>
      <c r="K15" s="120">
        <f>SUM(K13:K14)</f>
        <v>22</v>
      </c>
      <c r="L15" s="189" t="s">
        <v>244</v>
      </c>
      <c r="M15" s="190"/>
      <c r="N15" s="191"/>
      <c r="O15" s="44"/>
    </row>
    <row r="16" spans="2:28" s="20" customFormat="1" ht="46" customHeight="1" thickBot="1" x14ac:dyDescent="0.25">
      <c r="C16" s="23" t="s">
        <v>58</v>
      </c>
      <c r="D16" s="121"/>
      <c r="E16" s="48"/>
      <c r="F16" s="114"/>
      <c r="G16" s="48"/>
      <c r="H16" s="182"/>
      <c r="I16" s="165" t="s">
        <v>250</v>
      </c>
      <c r="J16" s="166"/>
      <c r="K16" s="72">
        <f>D7</f>
        <v>20</v>
      </c>
      <c r="L16" s="192" t="s">
        <v>268</v>
      </c>
      <c r="M16" s="193"/>
      <c r="N16" s="194"/>
      <c r="O16" s="147" t="s">
        <v>243</v>
      </c>
      <c r="P16" s="147"/>
      <c r="Q16" s="147"/>
      <c r="R16" s="147"/>
    </row>
    <row r="17" spans="2:28" s="20" customFormat="1" ht="47" customHeight="1" x14ac:dyDescent="0.2">
      <c r="C17" s="23" t="s">
        <v>60</v>
      </c>
      <c r="D17" s="121"/>
      <c r="E17" s="48"/>
      <c r="F17" s="114"/>
      <c r="G17" s="48"/>
      <c r="H17" s="182"/>
      <c r="I17" s="183"/>
      <c r="J17" s="183"/>
      <c r="K17" s="183"/>
      <c r="L17" s="71"/>
      <c r="O17" s="44"/>
    </row>
    <row r="18" spans="2:28" s="20" customFormat="1" ht="8" customHeight="1" thickBot="1" x14ac:dyDescent="0.25">
      <c r="C18" s="24"/>
      <c r="D18" s="32"/>
      <c r="E18" s="32"/>
      <c r="F18" s="25"/>
      <c r="G18" s="26"/>
      <c r="H18" s="182"/>
      <c r="I18" s="184"/>
      <c r="J18" s="184"/>
      <c r="K18" s="184"/>
    </row>
    <row r="19" spans="2:28" ht="50" customHeight="1" thickBot="1" x14ac:dyDescent="0.25">
      <c r="C19" s="203"/>
      <c r="D19" s="203"/>
      <c r="E19" s="203"/>
      <c r="F19" s="203"/>
      <c r="G19" s="203"/>
      <c r="H19" s="203"/>
      <c r="I19" s="203"/>
      <c r="J19" s="203"/>
      <c r="K19" s="203"/>
      <c r="L19" s="203"/>
      <c r="M19" s="203"/>
      <c r="N19" s="203"/>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82"/>
      <c r="P20" s="1"/>
      <c r="Q20" s="1"/>
      <c r="R20" s="1"/>
      <c r="S20" s="1"/>
      <c r="T20" s="1"/>
      <c r="U20" s="1"/>
      <c r="V20" s="1"/>
      <c r="W20" s="1"/>
      <c r="X20" s="1"/>
      <c r="Y20" s="1"/>
      <c r="Z20" s="1"/>
      <c r="AA20" s="1"/>
      <c r="AB20" s="1"/>
    </row>
    <row r="21" spans="2:28" ht="66" customHeight="1" x14ac:dyDescent="0.2">
      <c r="B21" s="36" t="s">
        <v>23</v>
      </c>
      <c r="C21" s="104"/>
      <c r="D21" s="110"/>
      <c r="E21" s="4"/>
      <c r="F21" s="5"/>
      <c r="G21" s="4"/>
      <c r="H21" s="5"/>
      <c r="I21" s="124"/>
      <c r="J21" s="125"/>
      <c r="K21" s="4"/>
      <c r="L21" s="5"/>
      <c r="M21" s="4"/>
      <c r="N21" s="37"/>
      <c r="O21" s="182"/>
      <c r="P21" s="1"/>
      <c r="Q21" s="1"/>
      <c r="R21" s="1"/>
      <c r="S21" s="1"/>
      <c r="T21" s="1"/>
      <c r="U21" s="1"/>
      <c r="V21" s="1"/>
      <c r="W21" s="1"/>
      <c r="X21" s="1"/>
      <c r="Y21" s="1"/>
      <c r="Z21" s="1"/>
      <c r="AA21" s="1"/>
      <c r="AB21" s="1"/>
    </row>
    <row r="22" spans="2:28" ht="66" customHeight="1" x14ac:dyDescent="0.2">
      <c r="B22" s="36" t="s">
        <v>24</v>
      </c>
      <c r="C22" s="110"/>
      <c r="D22" s="104"/>
      <c r="E22" s="5"/>
      <c r="F22" s="4"/>
      <c r="G22" s="5"/>
      <c r="H22" s="4"/>
      <c r="I22" s="126"/>
      <c r="J22" s="127"/>
      <c r="K22" s="5"/>
      <c r="L22" s="4"/>
      <c r="M22" s="5"/>
      <c r="N22" s="38"/>
      <c r="O22" s="182"/>
      <c r="P22" s="1"/>
      <c r="Q22" s="1"/>
      <c r="R22" s="1"/>
      <c r="S22" s="1"/>
      <c r="T22" s="1"/>
      <c r="U22" s="1"/>
      <c r="V22" s="1"/>
      <c r="W22" s="1"/>
      <c r="X22" s="1"/>
      <c r="Y22" s="1"/>
      <c r="Z22" s="1"/>
      <c r="AA22" s="1"/>
      <c r="AB22" s="1"/>
    </row>
    <row r="23" spans="2:28" ht="66" customHeight="1" x14ac:dyDescent="0.2">
      <c r="B23" s="36" t="s">
        <v>25</v>
      </c>
      <c r="C23" s="104"/>
      <c r="D23" s="110"/>
      <c r="E23" s="4"/>
      <c r="F23" s="5"/>
      <c r="G23" s="4"/>
      <c r="H23" s="5"/>
      <c r="I23" s="128"/>
      <c r="J23" s="129"/>
      <c r="K23" s="4"/>
      <c r="L23" s="5"/>
      <c r="M23" s="4"/>
      <c r="N23" s="37"/>
      <c r="O23" s="182"/>
      <c r="P23" s="1"/>
      <c r="Q23" s="1"/>
      <c r="R23" s="1"/>
      <c r="S23" s="1"/>
      <c r="T23" s="1"/>
      <c r="U23" s="1"/>
      <c r="V23" s="1"/>
      <c r="W23" s="1"/>
      <c r="X23" s="1"/>
      <c r="Y23" s="1"/>
      <c r="Z23" s="1"/>
      <c r="AA23" s="1"/>
      <c r="AB23" s="1"/>
    </row>
    <row r="24" spans="2:28" ht="66" customHeight="1" x14ac:dyDescent="0.2">
      <c r="B24" s="36" t="s">
        <v>26</v>
      </c>
      <c r="C24" s="110"/>
      <c r="D24" s="104"/>
      <c r="E24" s="5"/>
      <c r="F24" s="4"/>
      <c r="G24" s="5"/>
      <c r="H24" s="4"/>
      <c r="I24" s="126"/>
      <c r="J24" s="127"/>
      <c r="K24" s="5"/>
      <c r="L24" s="4"/>
      <c r="M24" s="5"/>
      <c r="N24" s="38"/>
      <c r="O24" s="182"/>
      <c r="P24" s="1"/>
      <c r="Q24" s="1"/>
      <c r="R24" s="1"/>
      <c r="S24" s="1"/>
      <c r="T24" s="1"/>
      <c r="U24" s="1"/>
      <c r="V24" s="1"/>
      <c r="W24" s="1"/>
      <c r="X24" s="1"/>
      <c r="Y24" s="1"/>
      <c r="Z24" s="1"/>
      <c r="AA24" s="1"/>
      <c r="AB24" s="1"/>
    </row>
    <row r="25" spans="2:28" ht="66" customHeight="1" x14ac:dyDescent="0.2">
      <c r="B25" s="36" t="s">
        <v>27</v>
      </c>
      <c r="C25" s="104"/>
      <c r="D25" s="110"/>
      <c r="E25" s="4"/>
      <c r="F25" s="5"/>
      <c r="G25" s="4"/>
      <c r="H25" s="5"/>
      <c r="I25" s="128"/>
      <c r="J25" s="129"/>
      <c r="K25" s="4"/>
      <c r="L25" s="5"/>
      <c r="M25" s="4"/>
      <c r="N25" s="37"/>
      <c r="O25" s="182"/>
      <c r="P25" s="1"/>
      <c r="Q25" s="1"/>
      <c r="R25" s="1"/>
      <c r="S25" s="1"/>
      <c r="T25" s="1"/>
      <c r="U25" s="1"/>
      <c r="V25" s="1"/>
      <c r="W25" s="1"/>
      <c r="X25" s="1"/>
      <c r="Y25" s="1"/>
      <c r="Z25" s="1"/>
      <c r="AA25" s="1"/>
      <c r="AB25" s="1"/>
    </row>
    <row r="26" spans="2:28" ht="66" customHeight="1" x14ac:dyDescent="0.2">
      <c r="B26" s="36" t="s">
        <v>28</v>
      </c>
      <c r="C26" s="110"/>
      <c r="D26" s="104"/>
      <c r="E26" s="5"/>
      <c r="F26" s="4"/>
      <c r="G26" s="5"/>
      <c r="H26" s="4"/>
      <c r="I26" s="5"/>
      <c r="J26" s="4"/>
      <c r="K26" s="5"/>
      <c r="L26" s="4"/>
      <c r="M26" s="5"/>
      <c r="N26" s="38"/>
      <c r="O26" s="182"/>
      <c r="P26" s="1"/>
      <c r="Q26" s="1"/>
      <c r="R26" s="1"/>
      <c r="S26" s="1"/>
      <c r="T26" s="1"/>
      <c r="U26" s="1"/>
      <c r="V26" s="1"/>
      <c r="W26" s="1"/>
      <c r="X26" s="1"/>
      <c r="Y26" s="1"/>
      <c r="Z26" s="1"/>
      <c r="AA26" s="1"/>
      <c r="AB26" s="1"/>
    </row>
    <row r="27" spans="2:28" ht="66" customHeight="1" x14ac:dyDescent="0.2">
      <c r="B27" s="36" t="s">
        <v>29</v>
      </c>
      <c r="C27" s="104"/>
      <c r="D27" s="110"/>
      <c r="E27" s="4"/>
      <c r="F27" s="5"/>
      <c r="G27" s="4"/>
      <c r="H27" s="5"/>
      <c r="I27" s="4"/>
      <c r="J27" s="5"/>
      <c r="K27" s="4"/>
      <c r="L27" s="5"/>
      <c r="M27" s="4"/>
      <c r="N27" s="37"/>
      <c r="O27" s="182"/>
      <c r="P27" s="1"/>
      <c r="Q27" s="1"/>
      <c r="R27" s="1"/>
      <c r="S27" s="1"/>
      <c r="T27" s="1"/>
      <c r="U27" s="1"/>
      <c r="V27" s="1"/>
      <c r="W27" s="1"/>
      <c r="X27" s="1"/>
      <c r="Y27" s="1"/>
      <c r="Z27" s="1"/>
      <c r="AA27" s="1"/>
      <c r="AB27" s="1"/>
    </row>
    <row r="28" spans="2:28" ht="66" customHeight="1" thickBot="1" x14ac:dyDescent="0.25">
      <c r="B28" s="39" t="s">
        <v>30</v>
      </c>
      <c r="C28" s="111"/>
      <c r="D28" s="106"/>
      <c r="E28" s="40"/>
      <c r="F28" s="41"/>
      <c r="G28" s="40"/>
      <c r="H28" s="41"/>
      <c r="I28" s="40"/>
      <c r="J28" s="41"/>
      <c r="K28" s="40"/>
      <c r="L28" s="41"/>
      <c r="M28" s="40"/>
      <c r="N28" s="42"/>
      <c r="O28" s="182"/>
      <c r="P28" s="1"/>
      <c r="Q28" s="1"/>
      <c r="R28" s="1"/>
      <c r="S28" s="1"/>
      <c r="T28" s="1"/>
      <c r="U28" s="1"/>
      <c r="V28" s="1"/>
      <c r="W28" s="1"/>
      <c r="X28" s="1"/>
      <c r="Y28" s="1"/>
      <c r="Z28" s="1"/>
      <c r="AA28" s="1"/>
      <c r="AB28" s="1"/>
    </row>
    <row r="29" spans="2:28" ht="21" customHeight="1" thickBot="1" x14ac:dyDescent="0.25">
      <c r="C29" s="181"/>
      <c r="D29" s="181"/>
      <c r="E29" s="181"/>
      <c r="F29" s="181"/>
      <c r="G29" s="181"/>
      <c r="H29" s="181"/>
      <c r="I29" s="181"/>
      <c r="J29" s="181"/>
      <c r="K29" s="181"/>
      <c r="L29" s="181"/>
      <c r="M29" s="181"/>
      <c r="N29" s="181"/>
      <c r="O29" s="181"/>
      <c r="P29" s="1"/>
      <c r="Q29" s="1"/>
      <c r="R29" s="1"/>
      <c r="S29" s="1"/>
      <c r="T29" s="1"/>
      <c r="U29" s="1"/>
      <c r="V29" s="1"/>
      <c r="W29" s="1"/>
      <c r="X29" s="1"/>
      <c r="Y29" s="1"/>
      <c r="Z29" s="1"/>
      <c r="AA29" s="1"/>
      <c r="AB29" s="1"/>
    </row>
    <row r="30" spans="2:28" ht="25" customHeight="1" x14ac:dyDescent="0.2">
      <c r="C30" s="205" t="s">
        <v>269</v>
      </c>
      <c r="D30" s="207">
        <f>COUNTIF(C21:N28,"&lt;&gt;"&amp;"")</f>
        <v>0</v>
      </c>
      <c r="E30" s="197" t="s">
        <v>229</v>
      </c>
      <c r="F30" s="199" t="s">
        <v>242</v>
      </c>
      <c r="G30" s="199"/>
      <c r="H30" s="200"/>
      <c r="I30" s="1"/>
      <c r="J30" s="1"/>
      <c r="K30" s="1"/>
      <c r="L30" s="1"/>
      <c r="M30" s="1"/>
      <c r="N30" s="1"/>
      <c r="O30" s="1"/>
      <c r="P30" s="1"/>
      <c r="Q30" s="1"/>
      <c r="R30" s="1"/>
      <c r="S30" s="1"/>
      <c r="T30" s="1"/>
      <c r="U30" s="1"/>
      <c r="V30" s="1"/>
      <c r="W30" s="1"/>
      <c r="X30" s="1"/>
      <c r="Y30" s="1"/>
      <c r="Z30" s="1"/>
      <c r="AA30" s="1"/>
      <c r="AB30" s="1"/>
    </row>
    <row r="31" spans="2:28" ht="25" customHeight="1" thickBot="1" x14ac:dyDescent="0.25">
      <c r="C31" s="206"/>
      <c r="D31" s="208"/>
      <c r="E31" s="209"/>
      <c r="F31" s="201"/>
      <c r="G31" s="201"/>
      <c r="H31" s="202"/>
      <c r="I31" s="1"/>
      <c r="J31" s="1"/>
      <c r="K31" s="1"/>
      <c r="L31" s="1"/>
      <c r="M31" s="1"/>
      <c r="N31" s="1"/>
      <c r="O31" s="1"/>
      <c r="P31" s="1"/>
      <c r="Q31" s="1"/>
      <c r="R31" s="1"/>
      <c r="S31" s="1"/>
      <c r="T31" s="1"/>
      <c r="U31" s="1"/>
      <c r="V31" s="1"/>
      <c r="W31" s="1"/>
      <c r="X31" s="1"/>
      <c r="Y31" s="1"/>
      <c r="Z31" s="1"/>
      <c r="AA31" s="1"/>
      <c r="AB31" s="1"/>
    </row>
    <row r="32" spans="2:28" ht="21" customHeight="1" thickBot="1" x14ac:dyDescent="0.25">
      <c r="C32" s="204"/>
      <c r="D32" s="204"/>
      <c r="E32" s="204"/>
      <c r="F32" s="204"/>
      <c r="G32" s="204"/>
      <c r="H32" s="204"/>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97" t="s">
        <v>229</v>
      </c>
      <c r="F33" s="199" t="s">
        <v>230</v>
      </c>
      <c r="G33" s="199"/>
      <c r="H33" s="200"/>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98"/>
      <c r="F34" s="201"/>
      <c r="G34" s="201"/>
      <c r="H34" s="202"/>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8CF6189-538C-2A47-B149-79980B29F8B1}">
          <x14:formula1>
            <xm:f>Lists!$J$2:$J$25</xm:f>
          </x14:formula1>
          <xm:sqref>D4</xm:sqref>
        </x14:dataValidation>
        <x14:dataValidation type="list" allowBlank="1" showInputMessage="1" showErrorMessage="1" xr:uid="{39F84240-EA8C-4449-9929-678F71B6EBB5}">
          <x14:formula1>
            <xm:f>Lists!$E$2:$E$10</xm:f>
          </x14:formula1>
          <xm:sqref>F13:F18</xm:sqref>
        </x14:dataValidation>
        <x14:dataValidation type="list" allowBlank="1" showInputMessage="1" showErrorMessage="1" xr:uid="{C25B8CA9-0533-4C4E-BC50-DC8D223B2FDE}">
          <x14:formula1>
            <xm:f>Lists!$G$2:$G$9</xm:f>
          </x14:formula1>
          <xm:sqref>C13:C18</xm:sqref>
        </x14:dataValidation>
        <x14:dataValidation type="list" allowBlank="1" showInputMessage="1" showErrorMessage="1" xr:uid="{75AE68A0-98F2-3246-9B45-5CC65471B637}">
          <x14:formula1>
            <xm:f>Lists!$B$2:$B$21</xm:f>
          </x14:formula1>
          <xm:sqref>D13:D17</xm:sqref>
        </x14:dataValidation>
        <x14:dataValidation type="list" allowBlank="1" showInputMessage="1" showErrorMessage="1" xr:uid="{9814DF3E-4310-4E49-A588-824579DC15B5}">
          <x14:formula1>
            <xm:f>Lists!$M$2:$M$97</xm:f>
          </x14:formula1>
          <xm:sqref>E18 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426A-3AC8-2848-9DD8-5920A8B5796F}">
  <sheetPr codeName="Sheet6"/>
  <dimension ref="B2:AB912"/>
  <sheetViews>
    <sheetView topLeftCell="A4" zoomScale="44" zoomScaleNormal="75" workbookViewId="0">
      <selection activeCell="L21" sqref="L21:M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73" t="s">
        <v>263</v>
      </c>
      <c r="D2" s="174"/>
      <c r="E2" s="174"/>
      <c r="F2" s="174"/>
      <c r="G2" s="175"/>
      <c r="I2" s="173" t="s">
        <v>264</v>
      </c>
      <c r="J2" s="174"/>
      <c r="K2" s="174"/>
      <c r="L2" s="174"/>
      <c r="M2" s="174"/>
      <c r="N2" s="175"/>
    </row>
    <row r="3" spans="2:28" ht="15" customHeight="1" thickBot="1" x14ac:dyDescent="0.25"/>
    <row r="4" spans="2:28" ht="65" customHeight="1" x14ac:dyDescent="0.2">
      <c r="C4" s="21" t="s">
        <v>99</v>
      </c>
      <c r="D4" s="185" t="s">
        <v>67</v>
      </c>
      <c r="E4" s="185"/>
      <c r="F4" s="185"/>
      <c r="G4" s="186"/>
      <c r="H4" s="181"/>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87" t="s">
        <v>9</v>
      </c>
      <c r="E5" s="187"/>
      <c r="F5" s="187"/>
      <c r="G5" s="188"/>
      <c r="H5" s="181"/>
      <c r="I5" s="68">
        <f>$D$7 - $D$6 - SUM(I6:I9)</f>
        <v>2</v>
      </c>
      <c r="J5" s="59" t="s">
        <v>218</v>
      </c>
      <c r="K5" s="47">
        <f>(I10*$D$30*$D$34)-SUM(K6:K9)</f>
        <v>0</v>
      </c>
      <c r="L5" s="157" t="s">
        <v>265</v>
      </c>
      <c r="M5" s="158"/>
      <c r="N5" s="159"/>
      <c r="O5" s="108"/>
      <c r="P5" s="108"/>
      <c r="Q5" s="108"/>
      <c r="R5" s="1"/>
      <c r="S5" s="1"/>
      <c r="T5" s="1"/>
      <c r="U5" s="1"/>
      <c r="V5" s="1"/>
      <c r="W5" s="1"/>
      <c r="X5" s="1"/>
      <c r="Y5" s="1"/>
      <c r="Z5" s="1"/>
      <c r="AA5" s="1"/>
      <c r="AB5" s="1"/>
    </row>
    <row r="6" spans="2:28" ht="34" customHeight="1" x14ac:dyDescent="0.2">
      <c r="C6" s="22" t="s">
        <v>240</v>
      </c>
      <c r="D6" s="148">
        <v>5</v>
      </c>
      <c r="E6" s="148"/>
      <c r="F6" s="148"/>
      <c r="G6" s="149"/>
      <c r="H6" s="181"/>
      <c r="I6" s="68">
        <f>IF(Metadata!C8="Digital PCR (dPCR)",$D$7/4,$D$7/2)</f>
        <v>10</v>
      </c>
      <c r="J6" s="59" t="s">
        <v>219</v>
      </c>
      <c r="K6" s="47">
        <f>ROUNDUP(I6*$D$30*$D$34,0)</f>
        <v>0</v>
      </c>
      <c r="L6" s="160"/>
      <c r="M6" s="161"/>
      <c r="N6" s="162"/>
      <c r="O6" s="109"/>
      <c r="P6" s="109"/>
      <c r="Q6" s="109"/>
      <c r="R6" s="109"/>
      <c r="S6" s="1"/>
      <c r="T6" s="1"/>
      <c r="U6" s="1"/>
      <c r="V6" s="1"/>
      <c r="W6" s="1"/>
      <c r="X6" s="1"/>
      <c r="Y6" s="1"/>
      <c r="Z6" s="1"/>
      <c r="AA6" s="1"/>
      <c r="AB6" s="1"/>
    </row>
    <row r="7" spans="2:28" ht="34" customHeight="1" x14ac:dyDescent="0.2">
      <c r="C7" s="22" t="s">
        <v>238</v>
      </c>
      <c r="D7" s="187">
        <v>20</v>
      </c>
      <c r="E7" s="187"/>
      <c r="F7" s="187"/>
      <c r="G7" s="188"/>
      <c r="H7" s="181"/>
      <c r="I7" s="68">
        <f>IF(Metadata!C8="Digital PCR (dPCR)",$D$7/100,$D$7/10)</f>
        <v>2</v>
      </c>
      <c r="J7" s="59" t="s">
        <v>225</v>
      </c>
      <c r="K7" s="47">
        <f>ROUNDUP(I7*$D$30*$D$34,1)</f>
        <v>0</v>
      </c>
      <c r="L7" s="160"/>
      <c r="M7" s="161"/>
      <c r="N7" s="162"/>
      <c r="O7" s="109"/>
      <c r="P7" s="109"/>
      <c r="Q7" s="109"/>
      <c r="R7" s="109"/>
      <c r="S7" s="1"/>
      <c r="T7" s="1"/>
      <c r="U7" s="1"/>
      <c r="V7" s="1"/>
      <c r="W7" s="1"/>
      <c r="X7" s="1"/>
      <c r="Y7" s="1"/>
      <c r="Z7" s="1"/>
      <c r="AA7" s="1"/>
      <c r="AB7" s="1"/>
    </row>
    <row r="8" spans="2:28" ht="39" customHeight="1" x14ac:dyDescent="0.2">
      <c r="C8" s="176" t="s">
        <v>239</v>
      </c>
      <c r="D8" s="150"/>
      <c r="E8" s="150"/>
      <c r="F8" s="150"/>
      <c r="G8" s="151"/>
      <c r="H8" s="181"/>
      <c r="I8" s="68">
        <f>IF(Metadata!C8="Digital PCR (dPCR)",$D$7/20,$D$7/20)</f>
        <v>1</v>
      </c>
      <c r="J8" s="59" t="s">
        <v>220</v>
      </c>
      <c r="K8" s="47">
        <f>ROUNDUP(I8*$D$30*$D$34,1)</f>
        <v>0</v>
      </c>
      <c r="L8" s="160"/>
      <c r="M8" s="161"/>
      <c r="N8" s="162"/>
      <c r="O8" s="109"/>
      <c r="P8" s="109"/>
      <c r="Q8" s="109"/>
      <c r="R8" s="109"/>
      <c r="S8" s="1"/>
      <c r="T8" s="1"/>
      <c r="U8" s="1"/>
      <c r="V8" s="1"/>
      <c r="W8" s="1"/>
      <c r="X8" s="1"/>
      <c r="Y8" s="1"/>
      <c r="Z8" s="1"/>
      <c r="AA8" s="1"/>
      <c r="AB8" s="1"/>
    </row>
    <row r="9" spans="2:28" ht="39" customHeight="1" x14ac:dyDescent="0.2">
      <c r="C9" s="176"/>
      <c r="D9" s="150"/>
      <c r="E9" s="150"/>
      <c r="F9" s="150"/>
      <c r="G9" s="151"/>
      <c r="H9" s="181"/>
      <c r="I9" s="122">
        <v>0</v>
      </c>
      <c r="J9" s="123" t="s">
        <v>256</v>
      </c>
      <c r="K9" s="117">
        <f>ROUNDUP(I9*$D$30*$D$34,1)</f>
        <v>0</v>
      </c>
      <c r="L9" s="160"/>
      <c r="M9" s="161"/>
      <c r="N9" s="162"/>
      <c r="O9" s="109"/>
      <c r="P9" s="109"/>
      <c r="Q9" s="109"/>
      <c r="R9" s="109"/>
      <c r="S9" s="1"/>
      <c r="T9" s="1"/>
      <c r="U9" s="1"/>
      <c r="V9" s="1"/>
      <c r="W9" s="1"/>
      <c r="X9" s="1"/>
      <c r="Y9" s="1"/>
      <c r="Z9" s="1"/>
      <c r="AA9" s="1"/>
      <c r="AB9" s="1"/>
    </row>
    <row r="10" spans="2:28" ht="39" customHeight="1" thickBot="1" x14ac:dyDescent="0.25">
      <c r="C10" s="177"/>
      <c r="D10" s="152"/>
      <c r="E10" s="152"/>
      <c r="F10" s="152"/>
      <c r="G10" s="153"/>
      <c r="H10" s="103"/>
      <c r="I10" s="69">
        <f>SUM(I5:I8)</f>
        <v>15</v>
      </c>
      <c r="J10" s="118" t="s">
        <v>226</v>
      </c>
      <c r="K10" s="119">
        <f>ROUNDUP(I10*$D$30*$D$34,0)</f>
        <v>0</v>
      </c>
      <c r="L10" s="154" t="s">
        <v>248</v>
      </c>
      <c r="M10" s="155"/>
      <c r="N10" s="156"/>
      <c r="O10" s="109"/>
      <c r="P10" s="109"/>
      <c r="Q10" s="109"/>
      <c r="R10" s="109"/>
      <c r="S10" s="1"/>
      <c r="T10" s="1"/>
      <c r="U10" s="1"/>
      <c r="V10" s="1"/>
      <c r="W10" s="1"/>
      <c r="X10" s="1"/>
      <c r="Y10" s="1"/>
      <c r="Z10" s="1"/>
      <c r="AA10" s="1"/>
      <c r="AB10" s="1"/>
    </row>
    <row r="11" spans="2:28" ht="22" customHeight="1" thickBot="1" x14ac:dyDescent="0.25">
      <c r="B11" s="67"/>
      <c r="C11" s="181"/>
      <c r="D11" s="181"/>
      <c r="E11" s="181"/>
      <c r="F11" s="181"/>
      <c r="G11" s="181"/>
      <c r="H11" s="181"/>
      <c r="I11" s="181"/>
      <c r="J11" s="181"/>
      <c r="K11" s="181"/>
      <c r="L11" s="181"/>
      <c r="M11" s="181"/>
      <c r="N11" s="181"/>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82"/>
      <c r="I12" s="179" t="s">
        <v>252</v>
      </c>
      <c r="J12" s="180"/>
      <c r="K12" s="46" t="s">
        <v>249</v>
      </c>
      <c r="L12" s="178"/>
      <c r="M12" s="178"/>
      <c r="N12" s="178"/>
      <c r="O12" s="109"/>
      <c r="P12" s="109"/>
      <c r="Q12" s="109"/>
      <c r="R12" s="109"/>
    </row>
    <row r="13" spans="2:28" s="20" customFormat="1" ht="47" customHeight="1" x14ac:dyDescent="0.2">
      <c r="C13" s="23" t="s">
        <v>13</v>
      </c>
      <c r="D13" s="121" t="s">
        <v>114</v>
      </c>
      <c r="E13" s="48" t="s">
        <v>179</v>
      </c>
      <c r="F13" s="114" t="s">
        <v>96</v>
      </c>
      <c r="G13" s="48" t="s">
        <v>180</v>
      </c>
      <c r="H13" s="182"/>
      <c r="I13" s="195" t="s">
        <v>224</v>
      </c>
      <c r="J13" s="196"/>
      <c r="K13" s="70">
        <f>I10*$D$33</f>
        <v>16.5</v>
      </c>
      <c r="L13" s="167" t="s">
        <v>266</v>
      </c>
      <c r="M13" s="168"/>
      <c r="N13" s="169"/>
      <c r="O13" s="108"/>
      <c r="P13" s="108"/>
      <c r="Q13" s="108"/>
    </row>
    <row r="14" spans="2:28" s="20" customFormat="1" ht="46" customHeight="1" x14ac:dyDescent="0.2">
      <c r="C14" s="23" t="s">
        <v>22</v>
      </c>
      <c r="D14" s="121"/>
      <c r="E14" s="48"/>
      <c r="F14" s="114"/>
      <c r="G14" s="48"/>
      <c r="H14" s="182"/>
      <c r="I14" s="195" t="s">
        <v>31</v>
      </c>
      <c r="J14" s="196"/>
      <c r="K14" s="70">
        <f>D6*$D$33</f>
        <v>5.5</v>
      </c>
      <c r="L14" s="170" t="s">
        <v>267</v>
      </c>
      <c r="M14" s="171"/>
      <c r="N14" s="172"/>
      <c r="O14" s="108"/>
      <c r="P14" s="108"/>
      <c r="Q14" s="108"/>
    </row>
    <row r="15" spans="2:28" s="20" customFormat="1" ht="46" customHeight="1" x14ac:dyDescent="0.2">
      <c r="C15" s="23" t="s">
        <v>54</v>
      </c>
      <c r="D15" s="121"/>
      <c r="E15" s="48"/>
      <c r="F15" s="114"/>
      <c r="G15" s="48"/>
      <c r="H15" s="182"/>
      <c r="I15" s="163" t="s">
        <v>251</v>
      </c>
      <c r="J15" s="164"/>
      <c r="K15" s="120">
        <f>SUM(K13:K14)</f>
        <v>22</v>
      </c>
      <c r="L15" s="189" t="s">
        <v>244</v>
      </c>
      <c r="M15" s="190"/>
      <c r="N15" s="191"/>
      <c r="O15" s="44"/>
    </row>
    <row r="16" spans="2:28" s="20" customFormat="1" ht="46" customHeight="1" thickBot="1" x14ac:dyDescent="0.25">
      <c r="C16" s="23" t="s">
        <v>58</v>
      </c>
      <c r="D16" s="121"/>
      <c r="E16" s="48"/>
      <c r="F16" s="114"/>
      <c r="G16" s="48"/>
      <c r="H16" s="182"/>
      <c r="I16" s="165" t="s">
        <v>250</v>
      </c>
      <c r="J16" s="166"/>
      <c r="K16" s="72">
        <f>D7</f>
        <v>20</v>
      </c>
      <c r="L16" s="192" t="s">
        <v>268</v>
      </c>
      <c r="M16" s="193"/>
      <c r="N16" s="194"/>
      <c r="O16" s="147" t="s">
        <v>243</v>
      </c>
      <c r="P16" s="147"/>
      <c r="Q16" s="147"/>
      <c r="R16" s="147"/>
    </row>
    <row r="17" spans="2:28" s="20" customFormat="1" ht="47" customHeight="1" x14ac:dyDescent="0.2">
      <c r="C17" s="23" t="s">
        <v>60</v>
      </c>
      <c r="D17" s="121"/>
      <c r="E17" s="48"/>
      <c r="F17" s="114"/>
      <c r="G17" s="48"/>
      <c r="H17" s="182"/>
      <c r="I17" s="183"/>
      <c r="J17" s="183"/>
      <c r="K17" s="183"/>
      <c r="L17" s="71"/>
      <c r="O17" s="44"/>
    </row>
    <row r="18" spans="2:28" s="20" customFormat="1" ht="8" customHeight="1" thickBot="1" x14ac:dyDescent="0.25">
      <c r="C18" s="24"/>
      <c r="D18" s="32"/>
      <c r="E18" s="32"/>
      <c r="F18" s="25"/>
      <c r="G18" s="26"/>
      <c r="H18" s="182"/>
      <c r="I18" s="184"/>
      <c r="J18" s="184"/>
      <c r="K18" s="184"/>
    </row>
    <row r="19" spans="2:28" ht="50" customHeight="1" thickBot="1" x14ac:dyDescent="0.25">
      <c r="C19" s="203"/>
      <c r="D19" s="203"/>
      <c r="E19" s="203"/>
      <c r="F19" s="203"/>
      <c r="G19" s="203"/>
      <c r="H19" s="203"/>
      <c r="I19" s="203"/>
      <c r="J19" s="203"/>
      <c r="K19" s="203"/>
      <c r="L19" s="203"/>
      <c r="M19" s="203"/>
      <c r="N19" s="203"/>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82"/>
      <c r="P20" s="1"/>
      <c r="Q20" s="1"/>
      <c r="R20" s="1"/>
      <c r="S20" s="1"/>
      <c r="T20" s="1"/>
      <c r="U20" s="1"/>
      <c r="V20" s="1"/>
      <c r="W20" s="1"/>
      <c r="X20" s="1"/>
      <c r="Y20" s="1"/>
      <c r="Z20" s="1"/>
      <c r="AA20" s="1"/>
      <c r="AB20" s="1"/>
    </row>
    <row r="21" spans="2:28" ht="66" customHeight="1" x14ac:dyDescent="0.2">
      <c r="B21" s="36" t="s">
        <v>23</v>
      </c>
      <c r="C21" s="104"/>
      <c r="D21" s="110"/>
      <c r="E21" s="4"/>
      <c r="F21" s="5"/>
      <c r="G21" s="4"/>
      <c r="H21" s="5"/>
      <c r="I21" s="4"/>
      <c r="J21" s="5"/>
      <c r="K21" s="4"/>
      <c r="L21" s="5"/>
      <c r="M21" s="4"/>
      <c r="N21" s="37"/>
      <c r="O21" s="182"/>
      <c r="P21" s="1"/>
      <c r="Q21" s="1"/>
      <c r="R21" s="1"/>
      <c r="S21" s="1"/>
      <c r="T21" s="1"/>
      <c r="U21" s="1"/>
      <c r="V21" s="1"/>
      <c r="W21" s="1"/>
      <c r="X21" s="1"/>
      <c r="Y21" s="1"/>
      <c r="Z21" s="1"/>
      <c r="AA21" s="1"/>
      <c r="AB21" s="1"/>
    </row>
    <row r="22" spans="2:28" ht="66" customHeight="1" x14ac:dyDescent="0.2">
      <c r="B22" s="36" t="s">
        <v>24</v>
      </c>
      <c r="C22" s="110"/>
      <c r="D22" s="104"/>
      <c r="E22" s="5"/>
      <c r="F22" s="4"/>
      <c r="G22" s="5"/>
      <c r="H22" s="4"/>
      <c r="I22" s="5"/>
      <c r="J22" s="4"/>
      <c r="K22" s="5"/>
      <c r="L22" s="4"/>
      <c r="M22" s="5"/>
      <c r="N22" s="38"/>
      <c r="O22" s="182"/>
      <c r="P22" s="1"/>
      <c r="Q22" s="1"/>
      <c r="R22" s="1"/>
      <c r="S22" s="1"/>
      <c r="T22" s="1"/>
      <c r="U22" s="1"/>
      <c r="V22" s="1"/>
      <c r="W22" s="1"/>
      <c r="X22" s="1"/>
      <c r="Y22" s="1"/>
      <c r="Z22" s="1"/>
      <c r="AA22" s="1"/>
      <c r="AB22" s="1"/>
    </row>
    <row r="23" spans="2:28" ht="66" customHeight="1" x14ac:dyDescent="0.2">
      <c r="B23" s="36" t="s">
        <v>25</v>
      </c>
      <c r="C23" s="104"/>
      <c r="D23" s="110"/>
      <c r="E23" s="4"/>
      <c r="F23" s="5"/>
      <c r="G23" s="4"/>
      <c r="H23" s="5"/>
      <c r="I23" s="4"/>
      <c r="J23" s="5"/>
      <c r="K23" s="4"/>
      <c r="L23" s="5"/>
      <c r="M23" s="4"/>
      <c r="N23" s="37"/>
      <c r="O23" s="182"/>
      <c r="P23" s="1"/>
      <c r="Q23" s="1"/>
      <c r="R23" s="1"/>
      <c r="S23" s="1"/>
      <c r="T23" s="1"/>
      <c r="U23" s="1"/>
      <c r="V23" s="1"/>
      <c r="W23" s="1"/>
      <c r="X23" s="1"/>
      <c r="Y23" s="1"/>
      <c r="Z23" s="1"/>
      <c r="AA23" s="1"/>
      <c r="AB23" s="1"/>
    </row>
    <row r="24" spans="2:28" ht="66" customHeight="1" x14ac:dyDescent="0.2">
      <c r="B24" s="36" t="s">
        <v>26</v>
      </c>
      <c r="C24" s="110"/>
      <c r="D24" s="104"/>
      <c r="E24" s="5"/>
      <c r="F24" s="4"/>
      <c r="G24" s="5"/>
      <c r="H24" s="4"/>
      <c r="I24" s="5"/>
      <c r="J24" s="4"/>
      <c r="K24" s="5"/>
      <c r="L24" s="4"/>
      <c r="M24" s="5"/>
      <c r="N24" s="38"/>
      <c r="O24" s="182"/>
      <c r="P24" s="1"/>
      <c r="Q24" s="1"/>
      <c r="R24" s="1"/>
      <c r="S24" s="1"/>
      <c r="T24" s="1"/>
      <c r="U24" s="1"/>
      <c r="V24" s="1"/>
      <c r="W24" s="1"/>
      <c r="X24" s="1"/>
      <c r="Y24" s="1"/>
      <c r="Z24" s="1"/>
      <c r="AA24" s="1"/>
      <c r="AB24" s="1"/>
    </row>
    <row r="25" spans="2:28" ht="66" customHeight="1" x14ac:dyDescent="0.2">
      <c r="B25" s="36" t="s">
        <v>27</v>
      </c>
      <c r="C25" s="104"/>
      <c r="D25" s="110"/>
      <c r="E25" s="4"/>
      <c r="F25" s="5"/>
      <c r="G25" s="4"/>
      <c r="H25" s="5"/>
      <c r="I25" s="4"/>
      <c r="J25" s="5"/>
      <c r="K25" s="4"/>
      <c r="L25" s="5"/>
      <c r="M25" s="4"/>
      <c r="N25" s="37"/>
      <c r="O25" s="182"/>
      <c r="P25" s="1"/>
      <c r="Q25" s="1"/>
      <c r="R25" s="1"/>
      <c r="S25" s="1"/>
      <c r="T25" s="1"/>
      <c r="U25" s="1"/>
      <c r="V25" s="1"/>
      <c r="W25" s="1"/>
      <c r="X25" s="1"/>
      <c r="Y25" s="1"/>
      <c r="Z25" s="1"/>
      <c r="AA25" s="1"/>
      <c r="AB25" s="1"/>
    </row>
    <row r="26" spans="2:28" ht="66" customHeight="1" x14ac:dyDescent="0.2">
      <c r="B26" s="36" t="s">
        <v>28</v>
      </c>
      <c r="C26" s="110"/>
      <c r="D26" s="104"/>
      <c r="E26" s="5"/>
      <c r="F26" s="4"/>
      <c r="G26" s="5"/>
      <c r="H26" s="4"/>
      <c r="I26" s="5"/>
      <c r="J26" s="4"/>
      <c r="K26" s="5"/>
      <c r="L26" s="4"/>
      <c r="M26" s="5"/>
      <c r="N26" s="38"/>
      <c r="O26" s="182"/>
      <c r="P26" s="1"/>
      <c r="Q26" s="1"/>
      <c r="R26" s="1"/>
      <c r="S26" s="1"/>
      <c r="T26" s="1"/>
      <c r="U26" s="1"/>
      <c r="V26" s="1"/>
      <c r="W26" s="1"/>
      <c r="X26" s="1"/>
      <c r="Y26" s="1"/>
      <c r="Z26" s="1"/>
      <c r="AA26" s="1"/>
      <c r="AB26" s="1"/>
    </row>
    <row r="27" spans="2:28" ht="66" customHeight="1" x14ac:dyDescent="0.2">
      <c r="B27" s="36" t="s">
        <v>29</v>
      </c>
      <c r="C27" s="104"/>
      <c r="D27" s="110"/>
      <c r="E27" s="4"/>
      <c r="F27" s="5"/>
      <c r="G27" s="4"/>
      <c r="H27" s="5"/>
      <c r="I27" s="4"/>
      <c r="J27" s="5"/>
      <c r="K27" s="4"/>
      <c r="L27" s="5"/>
      <c r="M27" s="4"/>
      <c r="N27" s="37"/>
      <c r="O27" s="182"/>
      <c r="P27" s="1"/>
      <c r="Q27" s="1"/>
      <c r="R27" s="1"/>
      <c r="S27" s="1"/>
      <c r="T27" s="1"/>
      <c r="U27" s="1"/>
      <c r="V27" s="1"/>
      <c r="W27" s="1"/>
      <c r="X27" s="1"/>
      <c r="Y27" s="1"/>
      <c r="Z27" s="1"/>
      <c r="AA27" s="1"/>
      <c r="AB27" s="1"/>
    </row>
    <row r="28" spans="2:28" ht="66" customHeight="1" thickBot="1" x14ac:dyDescent="0.25">
      <c r="B28" s="39" t="s">
        <v>30</v>
      </c>
      <c r="C28" s="111"/>
      <c r="D28" s="106"/>
      <c r="E28" s="40"/>
      <c r="F28" s="41"/>
      <c r="G28" s="40"/>
      <c r="H28" s="41"/>
      <c r="I28" s="40"/>
      <c r="J28" s="41"/>
      <c r="K28" s="40"/>
      <c r="L28" s="41"/>
      <c r="M28" s="40"/>
      <c r="N28" s="42"/>
      <c r="O28" s="182"/>
      <c r="P28" s="1"/>
      <c r="Q28" s="1"/>
      <c r="R28" s="1"/>
      <c r="S28" s="1"/>
      <c r="T28" s="1"/>
      <c r="U28" s="1"/>
      <c r="V28" s="1"/>
      <c r="W28" s="1"/>
      <c r="X28" s="1"/>
      <c r="Y28" s="1"/>
      <c r="Z28" s="1"/>
      <c r="AA28" s="1"/>
      <c r="AB28" s="1"/>
    </row>
    <row r="29" spans="2:28" ht="21" customHeight="1" thickBot="1" x14ac:dyDescent="0.25">
      <c r="C29" s="181"/>
      <c r="D29" s="181"/>
      <c r="E29" s="181"/>
      <c r="F29" s="181"/>
      <c r="G29" s="181"/>
      <c r="H29" s="181"/>
      <c r="I29" s="181"/>
      <c r="J29" s="181"/>
      <c r="K29" s="181"/>
      <c r="L29" s="181"/>
      <c r="M29" s="181"/>
      <c r="N29" s="181"/>
      <c r="O29" s="181"/>
      <c r="P29" s="1"/>
      <c r="Q29" s="1"/>
      <c r="R29" s="1"/>
      <c r="S29" s="1"/>
      <c r="T29" s="1"/>
      <c r="U29" s="1"/>
      <c r="V29" s="1"/>
      <c r="W29" s="1"/>
      <c r="X29" s="1"/>
      <c r="Y29" s="1"/>
      <c r="Z29" s="1"/>
      <c r="AA29" s="1"/>
      <c r="AB29" s="1"/>
    </row>
    <row r="30" spans="2:28" ht="25" customHeight="1" x14ac:dyDescent="0.2">
      <c r="C30" s="205" t="s">
        <v>269</v>
      </c>
      <c r="D30" s="207">
        <f>COUNTIF(C21:N28,"&lt;&gt;"&amp;"")</f>
        <v>0</v>
      </c>
      <c r="E30" s="197" t="s">
        <v>229</v>
      </c>
      <c r="F30" s="199" t="s">
        <v>242</v>
      </c>
      <c r="G30" s="199"/>
      <c r="H30" s="200"/>
      <c r="I30" s="1"/>
      <c r="J30" s="1"/>
      <c r="K30" s="1"/>
      <c r="L30" s="1"/>
      <c r="M30" s="1"/>
      <c r="N30" s="1"/>
      <c r="O30" s="1"/>
      <c r="P30" s="1"/>
      <c r="Q30" s="1"/>
      <c r="R30" s="1"/>
      <c r="S30" s="1"/>
      <c r="T30" s="1"/>
      <c r="U30" s="1"/>
      <c r="V30" s="1"/>
      <c r="W30" s="1"/>
      <c r="X30" s="1"/>
      <c r="Y30" s="1"/>
      <c r="Z30" s="1"/>
      <c r="AA30" s="1"/>
      <c r="AB30" s="1"/>
    </row>
    <row r="31" spans="2:28" ht="25" customHeight="1" thickBot="1" x14ac:dyDescent="0.25">
      <c r="C31" s="206"/>
      <c r="D31" s="208"/>
      <c r="E31" s="209"/>
      <c r="F31" s="201"/>
      <c r="G31" s="201"/>
      <c r="H31" s="202"/>
      <c r="I31" s="1"/>
      <c r="J31" s="1"/>
      <c r="K31" s="1"/>
      <c r="L31" s="1"/>
      <c r="M31" s="1"/>
      <c r="N31" s="1"/>
      <c r="O31" s="1"/>
      <c r="P31" s="1"/>
      <c r="Q31" s="1"/>
      <c r="R31" s="1"/>
      <c r="S31" s="1"/>
      <c r="T31" s="1"/>
      <c r="U31" s="1"/>
      <c r="V31" s="1"/>
      <c r="W31" s="1"/>
      <c r="X31" s="1"/>
      <c r="Y31" s="1"/>
      <c r="Z31" s="1"/>
      <c r="AA31" s="1"/>
      <c r="AB31" s="1"/>
    </row>
    <row r="32" spans="2:28" ht="21" customHeight="1" thickBot="1" x14ac:dyDescent="0.25">
      <c r="C32" s="204"/>
      <c r="D32" s="204"/>
      <c r="E32" s="204"/>
      <c r="F32" s="204"/>
      <c r="G32" s="204"/>
      <c r="H32" s="204"/>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97" t="s">
        <v>229</v>
      </c>
      <c r="F33" s="199" t="s">
        <v>230</v>
      </c>
      <c r="G33" s="199"/>
      <c r="H33" s="200"/>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98"/>
      <c r="F34" s="201"/>
      <c r="G34" s="201"/>
      <c r="H34" s="202"/>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EBA6445E-4EE4-5147-BB6F-E506812FB8CA}">
          <x14:formula1>
            <xm:f>Lists!$M$2:$M$97</xm:f>
          </x14:formula1>
          <xm:sqref>E18 G18</xm:sqref>
        </x14:dataValidation>
        <x14:dataValidation type="list" allowBlank="1" showInputMessage="1" showErrorMessage="1" xr:uid="{1F760E70-A890-A448-A670-12286FA6AFAF}">
          <x14:formula1>
            <xm:f>Lists!$B$2:$B$21</xm:f>
          </x14:formula1>
          <xm:sqref>D13:D17</xm:sqref>
        </x14:dataValidation>
        <x14:dataValidation type="list" allowBlank="1" showInputMessage="1" showErrorMessage="1" xr:uid="{2EF14499-B0F9-CA44-9539-5BC905ACCC33}">
          <x14:formula1>
            <xm:f>Lists!$G$2:$G$9</xm:f>
          </x14:formula1>
          <xm:sqref>C13:C18</xm:sqref>
        </x14:dataValidation>
        <x14:dataValidation type="list" allowBlank="1" showInputMessage="1" showErrorMessage="1" xr:uid="{7648F270-98EF-0B49-AA3F-8E77D17DAD80}">
          <x14:formula1>
            <xm:f>Lists!$E$2:$E$10</xm:f>
          </x14:formula1>
          <xm:sqref>F13:F18</xm:sqref>
        </x14:dataValidation>
        <x14:dataValidation type="list" allowBlank="1" showErrorMessage="1" xr:uid="{F0621587-7FCA-DF44-9333-60A8C43990B9}">
          <x14:formula1>
            <xm:f>Lists!$J$2:$J$25</xm:f>
          </x14:formula1>
          <xm:sqref>D4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15B0-4CDF-F94A-8B7F-1D35290837CD}">
  <sheetPr codeName="Sheet7"/>
  <dimension ref="B1:AB898"/>
  <sheetViews>
    <sheetView zoomScale="50" workbookViewId="0">
      <selection activeCell="C21" sqref="C21:H21"/>
    </sheetView>
  </sheetViews>
  <sheetFormatPr baseColWidth="10" defaultColWidth="10.140625" defaultRowHeight="15" customHeight="1" x14ac:dyDescent="0.2"/>
  <cols>
    <col min="1" max="1" width="3"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33" customHeight="1" thickBot="1" x14ac:dyDescent="0.25">
      <c r="G2" s="210" t="s">
        <v>233</v>
      </c>
      <c r="H2" s="211"/>
      <c r="I2" s="211"/>
      <c r="J2" s="211"/>
      <c r="K2" s="211"/>
      <c r="L2" s="211"/>
      <c r="M2" s="212"/>
      <c r="N2" s="1"/>
      <c r="O2" s="1"/>
      <c r="P2" s="1"/>
      <c r="Q2" s="1"/>
      <c r="R2" s="1"/>
      <c r="S2" s="1"/>
      <c r="T2" s="1"/>
      <c r="U2" s="1"/>
      <c r="V2" s="1"/>
      <c r="W2" s="1"/>
      <c r="X2" s="1"/>
      <c r="Y2" s="1"/>
      <c r="Z2" s="1"/>
      <c r="AA2" s="1"/>
      <c r="AB2" s="1"/>
    </row>
    <row r="3" spans="2:28" ht="49" customHeight="1" x14ac:dyDescent="0.2">
      <c r="C3" s="228" t="s">
        <v>259</v>
      </c>
      <c r="D3" s="229"/>
      <c r="E3" s="230"/>
      <c r="G3" s="213" t="s">
        <v>241</v>
      </c>
      <c r="H3" s="214"/>
      <c r="I3" s="214"/>
      <c r="J3" s="214"/>
      <c r="K3" s="214"/>
      <c r="L3" s="214"/>
      <c r="M3" s="215"/>
      <c r="N3" s="1"/>
      <c r="O3" s="1"/>
      <c r="P3" s="1"/>
      <c r="Q3" s="1"/>
      <c r="R3" s="1"/>
      <c r="S3" s="1"/>
      <c r="T3" s="1"/>
      <c r="U3" s="1"/>
      <c r="V3" s="1"/>
      <c r="W3" s="1"/>
      <c r="X3" s="1"/>
      <c r="Y3" s="1"/>
      <c r="Z3" s="1"/>
      <c r="AA3" s="1"/>
      <c r="AB3" s="1"/>
    </row>
    <row r="4" spans="2:28" ht="49" customHeight="1" x14ac:dyDescent="0.2">
      <c r="C4" s="231"/>
      <c r="D4" s="232"/>
      <c r="E4" s="233"/>
      <c r="G4" s="216"/>
      <c r="H4" s="217"/>
      <c r="I4" s="217"/>
      <c r="J4" s="217"/>
      <c r="K4" s="217"/>
      <c r="L4" s="217"/>
      <c r="M4" s="218"/>
      <c r="N4" s="1"/>
      <c r="O4" s="1"/>
      <c r="P4" s="1"/>
      <c r="Q4" s="1"/>
      <c r="R4" s="1"/>
      <c r="S4" s="1"/>
      <c r="T4" s="1"/>
      <c r="U4" s="1"/>
      <c r="V4" s="1"/>
      <c r="W4" s="1"/>
      <c r="X4" s="1"/>
      <c r="Y4" s="1"/>
      <c r="Z4" s="1"/>
      <c r="AA4" s="1"/>
      <c r="AB4" s="1"/>
    </row>
    <row r="5" spans="2:28" ht="49" customHeight="1" thickBot="1" x14ac:dyDescent="0.25">
      <c r="C5" s="234"/>
      <c r="D5" s="235"/>
      <c r="E5" s="236"/>
      <c r="G5" s="219" t="s">
        <v>260</v>
      </c>
      <c r="H5" s="220"/>
      <c r="I5" s="220"/>
      <c r="J5" s="220"/>
      <c r="K5" s="220"/>
      <c r="L5" s="220"/>
      <c r="M5" s="221"/>
      <c r="N5" s="1"/>
      <c r="O5" s="1"/>
      <c r="P5" s="1"/>
      <c r="Q5" s="1"/>
      <c r="R5" s="1"/>
      <c r="S5" s="1"/>
      <c r="T5" s="1"/>
      <c r="U5" s="1"/>
      <c r="V5" s="1"/>
      <c r="W5" s="1"/>
      <c r="X5" s="1"/>
      <c r="Y5" s="1"/>
      <c r="Z5" s="1"/>
      <c r="AA5" s="1"/>
      <c r="AB5" s="1"/>
    </row>
    <row r="6" spans="2:28" ht="49" customHeight="1" thickBot="1" x14ac:dyDescent="0.25">
      <c r="C6" s="237" t="s">
        <v>261</v>
      </c>
      <c r="D6" s="238"/>
      <c r="E6" s="239"/>
      <c r="G6" s="222" t="s">
        <v>257</v>
      </c>
      <c r="H6" s="223"/>
      <c r="I6" s="223"/>
      <c r="J6" s="223"/>
      <c r="K6" s="223"/>
      <c r="L6" s="223"/>
      <c r="M6" s="224"/>
      <c r="N6" s="1"/>
      <c r="O6" s="1"/>
      <c r="P6" s="1"/>
      <c r="Q6" s="1"/>
      <c r="R6" s="1"/>
      <c r="S6" s="1"/>
      <c r="T6" s="1"/>
      <c r="U6" s="1"/>
      <c r="V6" s="1"/>
      <c r="W6" s="1"/>
      <c r="X6" s="1"/>
      <c r="Y6" s="1"/>
      <c r="Z6" s="1"/>
      <c r="AA6" s="1"/>
      <c r="AB6" s="1"/>
    </row>
    <row r="7" spans="2:28" ht="49" customHeight="1" thickBot="1" x14ac:dyDescent="0.25">
      <c r="G7" s="225"/>
      <c r="H7" s="226"/>
      <c r="I7" s="226"/>
      <c r="J7" s="226"/>
      <c r="K7" s="226"/>
      <c r="L7" s="226"/>
      <c r="M7" s="227"/>
      <c r="N7" s="1"/>
      <c r="O7" s="1"/>
      <c r="P7" s="1"/>
      <c r="Q7" s="1"/>
      <c r="R7" s="1"/>
      <c r="S7" s="1"/>
      <c r="T7" s="1"/>
      <c r="U7" s="1"/>
      <c r="V7" s="1"/>
      <c r="W7" s="1"/>
      <c r="X7" s="1"/>
      <c r="Y7" s="1"/>
      <c r="Z7" s="1"/>
      <c r="AA7" s="1"/>
      <c r="AB7" s="1"/>
    </row>
    <row r="8" spans="2:28" ht="36" customHeight="1" thickBot="1" x14ac:dyDescent="0.25"/>
    <row r="9" spans="2:28" ht="21" customHeight="1" x14ac:dyDescent="0.2">
      <c r="B9" s="33"/>
      <c r="C9" s="34">
        <v>1</v>
      </c>
      <c r="D9" s="34">
        <v>2</v>
      </c>
      <c r="E9" s="34">
        <v>3</v>
      </c>
      <c r="F9" s="34">
        <v>4</v>
      </c>
      <c r="G9" s="34">
        <v>5</v>
      </c>
      <c r="H9" s="34">
        <v>6</v>
      </c>
      <c r="I9" s="34">
        <v>7</v>
      </c>
      <c r="J9" s="34">
        <v>8</v>
      </c>
      <c r="K9" s="34">
        <v>9</v>
      </c>
      <c r="L9" s="34">
        <v>10</v>
      </c>
      <c r="M9" s="34">
        <v>11</v>
      </c>
      <c r="N9" s="35">
        <v>12</v>
      </c>
      <c r="O9" s="182"/>
      <c r="P9" s="1"/>
      <c r="Q9" s="1"/>
      <c r="R9" s="1"/>
      <c r="S9" s="1"/>
      <c r="T9" s="1"/>
      <c r="U9" s="1"/>
      <c r="V9" s="1"/>
      <c r="W9" s="1"/>
      <c r="X9" s="1"/>
      <c r="Y9" s="1"/>
      <c r="Z9" s="1"/>
      <c r="AA9" s="1"/>
      <c r="AB9" s="1"/>
    </row>
    <row r="10" spans="2:28" ht="66" customHeight="1" x14ac:dyDescent="0.2">
      <c r="B10" s="36" t="s">
        <v>23</v>
      </c>
      <c r="C10" s="104" t="str">
        <f>IF(OR(ISTEXT('ASSAY Respiratory Multiplex'!C21),ISTEXT('ASSAY Norovirus'!C21),ISTEXT('ASSAY Pertussis'!C21),ISTEXT('ASSAY Measles'!C21)),"YES", "")</f>
        <v>YES</v>
      </c>
      <c r="D10" s="110" t="str">
        <f>IF(OR(ISTEXT('ASSAY Respiratory Multiplex'!D21),ISTEXT('ASSAY Norovirus'!D21),ISTEXT('ASSAY Pertussis'!D21),ISTEXT('ASSAY Measles'!D21)),"YES", "")</f>
        <v>YES</v>
      </c>
      <c r="E10" s="104" t="str">
        <f>IF(OR(ISTEXT('ASSAY Respiratory Multiplex'!E21),ISTEXT('ASSAY Norovirus'!E21),ISTEXT('ASSAY Pertussis'!E21),ISTEXT('ASSAY Measles'!E21)),"YES", "")</f>
        <v>YES</v>
      </c>
      <c r="F10" s="110" t="str">
        <f>IF(OR(ISTEXT('ASSAY Respiratory Multiplex'!F21),ISTEXT('ASSAY Norovirus'!F21),ISTEXT('ASSAY Pertussis'!F21),ISTEXT('ASSAY Measles'!F21)),"YES", "")</f>
        <v>YES</v>
      </c>
      <c r="G10" s="104" t="str">
        <f>IF(OR(ISTEXT('ASSAY Respiratory Multiplex'!G21),ISTEXT('ASSAY Norovirus'!G21),ISTEXT('ASSAY Pertussis'!G21),ISTEXT('ASSAY Measles'!G21)),"YES", "")</f>
        <v>YES</v>
      </c>
      <c r="H10" s="110" t="str">
        <f>IF(OR(ISTEXT('ASSAY Respiratory Multiplex'!H21),ISTEXT('ASSAY Norovirus'!H21),ISTEXT('ASSAY Pertussis'!H21),ISTEXT('ASSAY Measles'!H21)),"YES", "")</f>
        <v/>
      </c>
      <c r="I10" s="104" t="str">
        <f>IF(OR(ISTEXT('ASSAY Respiratory Multiplex'!I21),ISTEXT('ASSAY Norovirus'!I21),ISTEXT('ASSAY Pertussis'!I21),ISTEXT('ASSAY Measles'!I21)),"YES", "")</f>
        <v/>
      </c>
      <c r="J10" s="110" t="str">
        <f>IF(OR(ISTEXT('ASSAY Respiratory Multiplex'!J21),ISTEXT('ASSAY Norovirus'!J21),ISTEXT('ASSAY Pertussis'!J21),ISTEXT('ASSAY Measles'!J21)),"YES", "")</f>
        <v/>
      </c>
      <c r="K10" s="104" t="str">
        <f>IF(OR(ISTEXT('ASSAY Respiratory Multiplex'!K21),ISTEXT('ASSAY Norovirus'!K21),ISTEXT('ASSAY Pertussis'!K21),ISTEXT('ASSAY Measles'!K21)),"YES", "")</f>
        <v/>
      </c>
      <c r="L10" s="110" t="str">
        <f>IF(OR(ISTEXT('ASSAY Respiratory Multiplex'!L21),ISTEXT('ASSAY Norovirus'!L21),ISTEXT('ASSAY Pertussis'!L21),ISTEXT('ASSAY Measles'!L21)),"YES", "")</f>
        <v/>
      </c>
      <c r="M10" s="104" t="str">
        <f>IF(OR(ISTEXT('ASSAY Respiratory Multiplex'!M21),ISTEXT('ASSAY Norovirus'!M21),ISTEXT('ASSAY Pertussis'!M21),ISTEXT('ASSAY Measles'!M21)),"YES", "")</f>
        <v/>
      </c>
      <c r="N10" s="113" t="str">
        <f>IF(OR(ISTEXT('ASSAY Respiratory Multiplex'!N21),ISTEXT('ASSAY Norovirus'!N21),ISTEXT('ASSAY Pertussis'!N21),ISTEXT('ASSAY Measles'!N21)),"YES", "")</f>
        <v/>
      </c>
      <c r="O10" s="182"/>
      <c r="P10" s="1"/>
      <c r="Q10" s="1"/>
      <c r="R10" s="1"/>
      <c r="S10" s="1"/>
      <c r="T10" s="1"/>
      <c r="U10" s="1"/>
      <c r="V10" s="1"/>
      <c r="W10" s="1"/>
      <c r="X10" s="1"/>
      <c r="Y10" s="1"/>
      <c r="Z10" s="1"/>
      <c r="AA10" s="1"/>
      <c r="AB10" s="1"/>
    </row>
    <row r="11" spans="2:28" ht="66" customHeight="1" x14ac:dyDescent="0.2">
      <c r="B11" s="36" t="s">
        <v>24</v>
      </c>
      <c r="C11" s="110" t="str">
        <f>IF(OR(ISTEXT('ASSAY Respiratory Multiplex'!C22),ISTEXT('ASSAY Norovirus'!C22),ISTEXT('ASSAY Pertussis'!C22),ISTEXT('ASSAY Measles'!C22)),"YES", "")</f>
        <v>YES</v>
      </c>
      <c r="D11" s="104" t="str">
        <f>IF(OR(ISTEXT('ASSAY Respiratory Multiplex'!D22),ISTEXT('ASSAY Norovirus'!D22),ISTEXT('ASSAY Pertussis'!D22),ISTEXT('ASSAY Measles'!D22)),"YES", "")</f>
        <v>YES</v>
      </c>
      <c r="E11" s="110" t="str">
        <f>IF(OR(ISTEXT('ASSAY Respiratory Multiplex'!E22),ISTEXT('ASSAY Norovirus'!E22),ISTEXT('ASSAY Pertussis'!E22),ISTEXT('ASSAY Measles'!E22)),"YES", "")</f>
        <v>YES</v>
      </c>
      <c r="F11" s="104" t="str">
        <f>IF(OR(ISTEXT('ASSAY Respiratory Multiplex'!F22),ISTEXT('ASSAY Norovirus'!F22),ISTEXT('ASSAY Pertussis'!F22),ISTEXT('ASSAY Measles'!F22)),"YES", "")</f>
        <v>YES</v>
      </c>
      <c r="G11" s="110" t="str">
        <f>IF(OR(ISTEXT('ASSAY Respiratory Multiplex'!G22),ISTEXT('ASSAY Norovirus'!G22),ISTEXT('ASSAY Pertussis'!G22),ISTEXT('ASSAY Measles'!G22)),"YES", "")</f>
        <v>YES</v>
      </c>
      <c r="H11" s="104" t="str">
        <f>IF(OR(ISTEXT('ASSAY Respiratory Multiplex'!H22),ISTEXT('ASSAY Norovirus'!H22),ISTEXT('ASSAY Pertussis'!H22),ISTEXT('ASSAY Measles'!H22)),"YES", "")</f>
        <v/>
      </c>
      <c r="I11" s="110" t="str">
        <f>IF(OR(ISTEXT('ASSAY Respiratory Multiplex'!I22),ISTEXT('ASSAY Norovirus'!I22),ISTEXT('ASSAY Pertussis'!I22),ISTEXT('ASSAY Measles'!I22)),"YES", "")</f>
        <v/>
      </c>
      <c r="J11" s="104" t="str">
        <f>IF(OR(ISTEXT('ASSAY Respiratory Multiplex'!J22),ISTEXT('ASSAY Norovirus'!J22),ISTEXT('ASSAY Pertussis'!J22),ISTEXT('ASSAY Measles'!J22)),"YES", "")</f>
        <v/>
      </c>
      <c r="K11" s="110" t="str">
        <f>IF(OR(ISTEXT('ASSAY Respiratory Multiplex'!K22),ISTEXT('ASSAY Norovirus'!K22),ISTEXT('ASSAY Pertussis'!K22),ISTEXT('ASSAY Measles'!K22)),"YES", "")</f>
        <v/>
      </c>
      <c r="L11" s="104" t="str">
        <f>IF(OR(ISTEXT('ASSAY Respiratory Multiplex'!L22),ISTEXT('ASSAY Norovirus'!L22),ISTEXT('ASSAY Pertussis'!L22),ISTEXT('ASSAY Measles'!L22)),"YES", "")</f>
        <v/>
      </c>
      <c r="M11" s="110" t="str">
        <f>IF(OR(ISTEXT('ASSAY Respiratory Multiplex'!M22),ISTEXT('ASSAY Norovirus'!M22),ISTEXT('ASSAY Pertussis'!M22),ISTEXT('ASSAY Measles'!M22)),"YES", "")</f>
        <v/>
      </c>
      <c r="N11" s="105" t="str">
        <f>IF(OR(ISTEXT('ASSAY Respiratory Multiplex'!N22),ISTEXT('ASSAY Norovirus'!N22),ISTEXT('ASSAY Pertussis'!N22),ISTEXT('ASSAY Measles'!N22)),"YES", "")</f>
        <v/>
      </c>
      <c r="O11" s="182"/>
      <c r="P11" s="1"/>
      <c r="Q11" s="1"/>
      <c r="R11" s="1"/>
      <c r="S11" s="1"/>
      <c r="T11" s="1"/>
      <c r="U11" s="1"/>
      <c r="V11" s="1"/>
      <c r="W11" s="1"/>
      <c r="X11" s="1"/>
      <c r="Y11" s="1"/>
      <c r="Z11" s="1"/>
      <c r="AA11" s="1"/>
      <c r="AB11" s="1"/>
    </row>
    <row r="12" spans="2:28" ht="66" customHeight="1" x14ac:dyDescent="0.2">
      <c r="B12" s="36" t="s">
        <v>25</v>
      </c>
      <c r="C12" s="104" t="str">
        <f>IF(OR(ISTEXT('ASSAY Respiratory Multiplex'!C23),ISTEXT('ASSAY Norovirus'!C23),ISTEXT('ASSAY Pertussis'!C23),ISTEXT('ASSAY Measles'!C23)),"YES", "")</f>
        <v>YES</v>
      </c>
      <c r="D12" s="110" t="str">
        <f>IF(OR(ISTEXT('ASSAY Respiratory Multiplex'!D23),ISTEXT('ASSAY Norovirus'!D23),ISTEXT('ASSAY Pertussis'!D23),ISTEXT('ASSAY Measles'!D23)),"YES", "")</f>
        <v>YES</v>
      </c>
      <c r="E12" s="104" t="str">
        <f>IF(OR(ISTEXT('ASSAY Respiratory Multiplex'!E23),ISTEXT('ASSAY Norovirus'!E23),ISTEXT('ASSAY Pertussis'!E23),ISTEXT('ASSAY Measles'!E23)),"YES", "")</f>
        <v>YES</v>
      </c>
      <c r="F12" s="110" t="str">
        <f>IF(OR(ISTEXT('ASSAY Respiratory Multiplex'!F23),ISTEXT('ASSAY Norovirus'!F23),ISTEXT('ASSAY Pertussis'!F23),ISTEXT('ASSAY Measles'!F23)),"YES", "")</f>
        <v>YES</v>
      </c>
      <c r="G12" s="104" t="str">
        <f>IF(OR(ISTEXT('ASSAY Respiratory Multiplex'!G23),ISTEXT('ASSAY Norovirus'!G23),ISTEXT('ASSAY Pertussis'!G23),ISTEXT('ASSAY Measles'!G23)),"YES", "")</f>
        <v>YES</v>
      </c>
      <c r="H12" s="110" t="str">
        <f>IF(OR(ISTEXT('ASSAY Respiratory Multiplex'!H23),ISTEXT('ASSAY Norovirus'!H23),ISTEXT('ASSAY Pertussis'!H23),ISTEXT('ASSAY Measles'!H23)),"YES", "")</f>
        <v/>
      </c>
      <c r="I12" s="104" t="str">
        <f>IF(OR(ISTEXT('ASSAY Respiratory Multiplex'!I23),ISTEXT('ASSAY Norovirus'!I23),ISTEXT('ASSAY Pertussis'!I23),ISTEXT('ASSAY Measles'!I23)),"YES", "")</f>
        <v/>
      </c>
      <c r="J12" s="110" t="str">
        <f>IF(OR(ISTEXT('ASSAY Respiratory Multiplex'!J23),ISTEXT('ASSAY Norovirus'!J23),ISTEXT('ASSAY Pertussis'!J23),ISTEXT('ASSAY Measles'!J23)),"YES", "")</f>
        <v/>
      </c>
      <c r="K12" s="104" t="str">
        <f>IF(OR(ISTEXT('ASSAY Respiratory Multiplex'!K23),ISTEXT('ASSAY Norovirus'!K23),ISTEXT('ASSAY Pertussis'!K23),ISTEXT('ASSAY Measles'!K23)),"YES", "")</f>
        <v/>
      </c>
      <c r="L12" s="110" t="str">
        <f>IF(OR(ISTEXT('ASSAY Respiratory Multiplex'!L23),ISTEXT('ASSAY Norovirus'!L23),ISTEXT('ASSAY Pertussis'!L23),ISTEXT('ASSAY Measles'!L23)),"YES", "")</f>
        <v/>
      </c>
      <c r="M12" s="104" t="str">
        <f>IF(OR(ISTEXT('ASSAY Respiratory Multiplex'!M23),ISTEXT('ASSAY Norovirus'!M23),ISTEXT('ASSAY Pertussis'!M23),ISTEXT('ASSAY Measles'!M23)),"YES", "")</f>
        <v/>
      </c>
      <c r="N12" s="113" t="str">
        <f>IF(OR(ISTEXT('ASSAY Respiratory Multiplex'!N23),ISTEXT('ASSAY Norovirus'!N23),ISTEXT('ASSAY Pertussis'!N23),ISTEXT('ASSAY Measles'!N23)),"YES", "")</f>
        <v/>
      </c>
      <c r="O12" s="182"/>
      <c r="P12" s="1"/>
      <c r="Q12" s="1"/>
      <c r="R12" s="1"/>
      <c r="S12" s="1"/>
      <c r="T12" s="1"/>
      <c r="U12" s="1"/>
      <c r="V12" s="1"/>
      <c r="W12" s="1"/>
      <c r="X12" s="1"/>
      <c r="Y12" s="1"/>
      <c r="Z12" s="1"/>
      <c r="AA12" s="1"/>
      <c r="AB12" s="1"/>
    </row>
    <row r="13" spans="2:28" ht="66" customHeight="1" x14ac:dyDescent="0.2">
      <c r="B13" s="36" t="s">
        <v>26</v>
      </c>
      <c r="C13" s="110" t="str">
        <f>IF(OR(ISTEXT('ASSAY Respiratory Multiplex'!C24),ISTEXT('ASSAY Norovirus'!C24),ISTEXT('ASSAY Pertussis'!C24),ISTEXT('ASSAY Measles'!C24)),"YES", "")</f>
        <v>YES</v>
      </c>
      <c r="D13" s="104" t="str">
        <f>IF(OR(ISTEXT('ASSAY Respiratory Multiplex'!D24),ISTEXT('ASSAY Norovirus'!D24),ISTEXT('ASSAY Pertussis'!D24),ISTEXT('ASSAY Measles'!D24)),"YES", "")</f>
        <v>YES</v>
      </c>
      <c r="E13" s="110" t="str">
        <f>IF(OR(ISTEXT('ASSAY Respiratory Multiplex'!E24),ISTEXT('ASSAY Norovirus'!E24),ISTEXT('ASSAY Pertussis'!E24),ISTEXT('ASSAY Measles'!E24)),"YES", "")</f>
        <v>YES</v>
      </c>
      <c r="F13" s="104" t="str">
        <f>IF(OR(ISTEXT('ASSAY Respiratory Multiplex'!F24),ISTEXT('ASSAY Norovirus'!F24),ISTEXT('ASSAY Pertussis'!F24),ISTEXT('ASSAY Measles'!F24)),"YES", "")</f>
        <v>YES</v>
      </c>
      <c r="G13" s="110" t="str">
        <f>IF(OR(ISTEXT('ASSAY Respiratory Multiplex'!G24),ISTEXT('ASSAY Norovirus'!G24),ISTEXT('ASSAY Pertussis'!G24),ISTEXT('ASSAY Measles'!G24)),"YES", "")</f>
        <v>YES</v>
      </c>
      <c r="H13" s="104" t="str">
        <f>IF(OR(ISTEXT('ASSAY Respiratory Multiplex'!H24),ISTEXT('ASSAY Norovirus'!H24),ISTEXT('ASSAY Pertussis'!H24),ISTEXT('ASSAY Measles'!H24)),"YES", "")</f>
        <v/>
      </c>
      <c r="I13" s="110" t="str">
        <f>IF(OR(ISTEXT('ASSAY Respiratory Multiplex'!I24),ISTEXT('ASSAY Norovirus'!I24),ISTEXT('ASSAY Pertussis'!I24),ISTEXT('ASSAY Measles'!I24)),"YES", "")</f>
        <v/>
      </c>
      <c r="J13" s="104" t="str">
        <f>IF(OR(ISTEXT('ASSAY Respiratory Multiplex'!J24),ISTEXT('ASSAY Norovirus'!J24),ISTEXT('ASSAY Pertussis'!J24),ISTEXT('ASSAY Measles'!J24)),"YES", "")</f>
        <v/>
      </c>
      <c r="K13" s="110" t="str">
        <f>IF(OR(ISTEXT('ASSAY Respiratory Multiplex'!K24),ISTEXT('ASSAY Norovirus'!K24),ISTEXT('ASSAY Pertussis'!K24),ISTEXT('ASSAY Measles'!K24)),"YES", "")</f>
        <v/>
      </c>
      <c r="L13" s="104" t="str">
        <f>IF(OR(ISTEXT('ASSAY Respiratory Multiplex'!L24),ISTEXT('ASSAY Norovirus'!L24),ISTEXT('ASSAY Pertussis'!L24),ISTEXT('ASSAY Measles'!L24)),"YES", "")</f>
        <v/>
      </c>
      <c r="M13" s="110" t="str">
        <f>IF(OR(ISTEXT('ASSAY Respiratory Multiplex'!M24),ISTEXT('ASSAY Norovirus'!M24),ISTEXT('ASSAY Pertussis'!M24),ISTEXT('ASSAY Measles'!M24)),"YES", "")</f>
        <v/>
      </c>
      <c r="N13" s="105" t="str">
        <f>IF(OR(ISTEXT('ASSAY Respiratory Multiplex'!N24),ISTEXT('ASSAY Norovirus'!N24),ISTEXT('ASSAY Pertussis'!N24),ISTEXT('ASSAY Measles'!N24)),"YES", "")</f>
        <v/>
      </c>
      <c r="O13" s="182"/>
      <c r="P13" s="1"/>
      <c r="Q13" s="1"/>
      <c r="R13" s="1"/>
      <c r="S13" s="1"/>
      <c r="T13" s="1"/>
      <c r="U13" s="1"/>
      <c r="V13" s="1"/>
      <c r="W13" s="1"/>
      <c r="X13" s="1"/>
      <c r="Y13" s="1"/>
      <c r="Z13" s="1"/>
      <c r="AA13" s="1"/>
      <c r="AB13" s="1"/>
    </row>
    <row r="14" spans="2:28" ht="66" customHeight="1" x14ac:dyDescent="0.2">
      <c r="B14" s="36" t="s">
        <v>27</v>
      </c>
      <c r="C14" s="104" t="str">
        <f>IF(OR(ISTEXT('ASSAY Respiratory Multiplex'!C25),ISTEXT('ASSAY Norovirus'!C25),ISTEXT('ASSAY Pertussis'!C25),ISTEXT('ASSAY Measles'!C25)),"YES", "")</f>
        <v>YES</v>
      </c>
      <c r="D14" s="110" t="str">
        <f>IF(OR(ISTEXT('ASSAY Respiratory Multiplex'!D25),ISTEXT('ASSAY Norovirus'!D25),ISTEXT('ASSAY Pertussis'!D25),ISTEXT('ASSAY Measles'!D25)),"YES", "")</f>
        <v>YES</v>
      </c>
      <c r="E14" s="104" t="str">
        <f>IF(OR(ISTEXT('ASSAY Respiratory Multiplex'!E25),ISTEXT('ASSAY Norovirus'!E25),ISTEXT('ASSAY Pertussis'!E25),ISTEXT('ASSAY Measles'!E25)),"YES", "")</f>
        <v>YES</v>
      </c>
      <c r="F14" s="110" t="str">
        <f>IF(OR(ISTEXT('ASSAY Respiratory Multiplex'!F25),ISTEXT('ASSAY Norovirus'!F25),ISTEXT('ASSAY Pertussis'!F25),ISTEXT('ASSAY Measles'!F25)),"YES", "")</f>
        <v>YES</v>
      </c>
      <c r="G14" s="104" t="str">
        <f>IF(OR(ISTEXT('ASSAY Respiratory Multiplex'!G25),ISTEXT('ASSAY Norovirus'!G25),ISTEXT('ASSAY Pertussis'!G25),ISTEXT('ASSAY Measles'!G25)),"YES", "")</f>
        <v/>
      </c>
      <c r="H14" s="110" t="str">
        <f>IF(OR(ISTEXT('ASSAY Respiratory Multiplex'!H25),ISTEXT('ASSAY Norovirus'!H25),ISTEXT('ASSAY Pertussis'!H25),ISTEXT('ASSAY Measles'!H25)),"YES", "")</f>
        <v/>
      </c>
      <c r="I14" s="104" t="str">
        <f>IF(OR(ISTEXT('ASSAY Respiratory Multiplex'!I25),ISTEXT('ASSAY Norovirus'!I25),ISTEXT('ASSAY Pertussis'!I25),ISTEXT('ASSAY Measles'!I25)),"YES", "")</f>
        <v/>
      </c>
      <c r="J14" s="110" t="str">
        <f>IF(OR(ISTEXT('ASSAY Respiratory Multiplex'!J25),ISTEXT('ASSAY Norovirus'!J25),ISTEXT('ASSAY Pertussis'!J25),ISTEXT('ASSAY Measles'!J25)),"YES", "")</f>
        <v/>
      </c>
      <c r="K14" s="104" t="str">
        <f>IF(OR(ISTEXT('ASSAY Respiratory Multiplex'!K25),ISTEXT('ASSAY Norovirus'!K25),ISTEXT('ASSAY Pertussis'!K25),ISTEXT('ASSAY Measles'!K25)),"YES", "")</f>
        <v/>
      </c>
      <c r="L14" s="110" t="str">
        <f>IF(OR(ISTEXT('ASSAY Respiratory Multiplex'!L25),ISTEXT('ASSAY Norovirus'!L25),ISTEXT('ASSAY Pertussis'!L25),ISTEXT('ASSAY Measles'!L25)),"YES", "")</f>
        <v/>
      </c>
      <c r="M14" s="104" t="str">
        <f>IF(OR(ISTEXT('ASSAY Respiratory Multiplex'!M25),ISTEXT('ASSAY Norovirus'!M25),ISTEXT('ASSAY Pertussis'!M25),ISTEXT('ASSAY Measles'!M25)),"YES", "")</f>
        <v/>
      </c>
      <c r="N14" s="113" t="str">
        <f>IF(OR(ISTEXT('ASSAY Respiratory Multiplex'!N25),ISTEXT('ASSAY Norovirus'!N25),ISTEXT('ASSAY Pertussis'!N25),ISTEXT('ASSAY Measles'!N25)),"YES", "")</f>
        <v/>
      </c>
      <c r="O14" s="182"/>
      <c r="P14" s="1"/>
      <c r="Q14" s="1"/>
      <c r="R14" s="1"/>
      <c r="S14" s="1"/>
      <c r="T14" s="1"/>
      <c r="U14" s="1"/>
      <c r="V14" s="1"/>
      <c r="W14" s="1"/>
      <c r="X14" s="1"/>
      <c r="Y14" s="1"/>
      <c r="Z14" s="1"/>
      <c r="AA14" s="1"/>
      <c r="AB14" s="1"/>
    </row>
    <row r="15" spans="2:28" ht="66" customHeight="1" x14ac:dyDescent="0.2">
      <c r="B15" s="36" t="s">
        <v>28</v>
      </c>
      <c r="C15" s="110" t="str">
        <f>IF(OR(ISTEXT('ASSAY Respiratory Multiplex'!C26),ISTEXT('ASSAY Norovirus'!C26),ISTEXT('ASSAY Pertussis'!C26),ISTEXT('ASSAY Measles'!C26)),"YES", "")</f>
        <v>YES</v>
      </c>
      <c r="D15" s="104" t="str">
        <f>IF(OR(ISTEXT('ASSAY Respiratory Multiplex'!D26),ISTEXT('ASSAY Norovirus'!D26),ISTEXT('ASSAY Pertussis'!D26),ISTEXT('ASSAY Measles'!D26)),"YES", "")</f>
        <v>YES</v>
      </c>
      <c r="E15" s="110" t="str">
        <f>IF(OR(ISTEXT('ASSAY Respiratory Multiplex'!E26),ISTEXT('ASSAY Norovirus'!E26),ISTEXT('ASSAY Pertussis'!E26),ISTEXT('ASSAY Measles'!E26)),"YES", "")</f>
        <v>YES</v>
      </c>
      <c r="F15" s="104" t="str">
        <f>IF(OR(ISTEXT('ASSAY Respiratory Multiplex'!F26),ISTEXT('ASSAY Norovirus'!F26),ISTEXT('ASSAY Pertussis'!F26),ISTEXT('ASSAY Measles'!F26)),"YES", "")</f>
        <v>YES</v>
      </c>
      <c r="G15" s="110" t="str">
        <f>IF(OR(ISTEXT('ASSAY Respiratory Multiplex'!G26),ISTEXT('ASSAY Norovirus'!G26),ISTEXT('ASSAY Pertussis'!G26),ISTEXT('ASSAY Measles'!G26)),"YES", "")</f>
        <v/>
      </c>
      <c r="H15" s="104" t="str">
        <f>IF(OR(ISTEXT('ASSAY Respiratory Multiplex'!H26),ISTEXT('ASSAY Norovirus'!H26),ISTEXT('ASSAY Pertussis'!H26),ISTEXT('ASSAY Measles'!H26)),"YES", "")</f>
        <v/>
      </c>
      <c r="I15" s="110" t="str">
        <f>IF(OR(ISTEXT('ASSAY Respiratory Multiplex'!I26),ISTEXT('ASSAY Norovirus'!I26),ISTEXT('ASSAY Pertussis'!I26),ISTEXT('ASSAY Measles'!I26)),"YES", "")</f>
        <v/>
      </c>
      <c r="J15" s="104" t="str">
        <f>IF(OR(ISTEXT('ASSAY Respiratory Multiplex'!J26),ISTEXT('ASSAY Norovirus'!J26),ISTEXT('ASSAY Pertussis'!J26),ISTEXT('ASSAY Measles'!J26)),"YES", "")</f>
        <v/>
      </c>
      <c r="K15" s="110" t="str">
        <f>IF(OR(ISTEXT('ASSAY Respiratory Multiplex'!K26),ISTEXT('ASSAY Norovirus'!K26),ISTEXT('ASSAY Pertussis'!K26),ISTEXT('ASSAY Measles'!K26)),"YES", "")</f>
        <v/>
      </c>
      <c r="L15" s="104" t="str">
        <f>IF(OR(ISTEXT('ASSAY Respiratory Multiplex'!L26),ISTEXT('ASSAY Norovirus'!L26),ISTEXT('ASSAY Pertussis'!L26),ISTEXT('ASSAY Measles'!L26)),"YES", "")</f>
        <v/>
      </c>
      <c r="M15" s="110" t="str">
        <f>IF(OR(ISTEXT('ASSAY Respiratory Multiplex'!M26),ISTEXT('ASSAY Norovirus'!M26),ISTEXT('ASSAY Pertussis'!M26),ISTEXT('ASSAY Measles'!M26)),"YES", "")</f>
        <v/>
      </c>
      <c r="N15" s="105" t="str">
        <f>IF(OR(ISTEXT('ASSAY Respiratory Multiplex'!N26),ISTEXT('ASSAY Norovirus'!N26),ISTEXT('ASSAY Pertussis'!N26),ISTEXT('ASSAY Measles'!N26)),"YES", "")</f>
        <v/>
      </c>
      <c r="O15" s="182"/>
      <c r="P15" s="1"/>
      <c r="Q15" s="1"/>
      <c r="R15" s="1"/>
      <c r="S15" s="1"/>
      <c r="T15" s="1"/>
      <c r="U15" s="1"/>
      <c r="V15" s="1"/>
      <c r="W15" s="1"/>
      <c r="X15" s="1"/>
      <c r="Y15" s="1"/>
      <c r="Z15" s="1"/>
      <c r="AA15" s="1"/>
      <c r="AB15" s="1"/>
    </row>
    <row r="16" spans="2:28" ht="66" customHeight="1" x14ac:dyDescent="0.2">
      <c r="B16" s="36" t="s">
        <v>29</v>
      </c>
      <c r="C16" s="104" t="str">
        <f>IF(OR(ISTEXT('ASSAY Respiratory Multiplex'!C27),ISTEXT('ASSAY Norovirus'!C27),ISTEXT('ASSAY Pertussis'!C27),ISTEXT('ASSAY Measles'!C27)),"YES", "")</f>
        <v>YES</v>
      </c>
      <c r="D16" s="110" t="str">
        <f>IF(OR(ISTEXT('ASSAY Respiratory Multiplex'!D27),ISTEXT('ASSAY Norovirus'!D27),ISTEXT('ASSAY Pertussis'!D27),ISTEXT('ASSAY Measles'!D27)),"YES", "")</f>
        <v>YES</v>
      </c>
      <c r="E16" s="104" t="str">
        <f>IF(OR(ISTEXT('ASSAY Respiratory Multiplex'!E27),ISTEXT('ASSAY Norovirus'!E27),ISTEXT('ASSAY Pertussis'!E27),ISTEXT('ASSAY Measles'!E27)),"YES", "")</f>
        <v>YES</v>
      </c>
      <c r="F16" s="110" t="str">
        <f>IF(OR(ISTEXT('ASSAY Respiratory Multiplex'!F27),ISTEXT('ASSAY Norovirus'!F27),ISTEXT('ASSAY Pertussis'!F27),ISTEXT('ASSAY Measles'!F27)),"YES", "")</f>
        <v>YES</v>
      </c>
      <c r="G16" s="104" t="str">
        <f>IF(OR(ISTEXT('ASSAY Respiratory Multiplex'!G27),ISTEXT('ASSAY Norovirus'!G27),ISTEXT('ASSAY Pertussis'!G27),ISTEXT('ASSAY Measles'!G27)),"YES", "")</f>
        <v/>
      </c>
      <c r="H16" s="110" t="str">
        <f>IF(OR(ISTEXT('ASSAY Respiratory Multiplex'!H27),ISTEXT('ASSAY Norovirus'!H27),ISTEXT('ASSAY Pertussis'!H27),ISTEXT('ASSAY Measles'!H27)),"YES", "")</f>
        <v/>
      </c>
      <c r="I16" s="104" t="str">
        <f>IF(OR(ISTEXT('ASSAY Respiratory Multiplex'!I27),ISTEXT('ASSAY Norovirus'!I27),ISTEXT('ASSAY Pertussis'!I27),ISTEXT('ASSAY Measles'!I27)),"YES", "")</f>
        <v/>
      </c>
      <c r="J16" s="110" t="str">
        <f>IF(OR(ISTEXT('ASSAY Respiratory Multiplex'!J27),ISTEXT('ASSAY Norovirus'!J27),ISTEXT('ASSAY Pertussis'!J27),ISTEXT('ASSAY Measles'!J27)),"YES", "")</f>
        <v/>
      </c>
      <c r="K16" s="104" t="str">
        <f>IF(OR(ISTEXT('ASSAY Respiratory Multiplex'!K27),ISTEXT('ASSAY Norovirus'!K27),ISTEXT('ASSAY Pertussis'!K27),ISTEXT('ASSAY Measles'!K27)),"YES", "")</f>
        <v/>
      </c>
      <c r="L16" s="110" t="str">
        <f>IF(OR(ISTEXT('ASSAY Respiratory Multiplex'!L27),ISTEXT('ASSAY Norovirus'!L27),ISTEXT('ASSAY Pertussis'!L27),ISTEXT('ASSAY Measles'!L27)),"YES", "")</f>
        <v/>
      </c>
      <c r="M16" s="104" t="str">
        <f>IF(OR(ISTEXT('ASSAY Respiratory Multiplex'!M27),ISTEXT('ASSAY Norovirus'!M27),ISTEXT('ASSAY Pertussis'!M27),ISTEXT('ASSAY Measles'!M27)),"YES", "")</f>
        <v/>
      </c>
      <c r="N16" s="113" t="str">
        <f>IF(OR(ISTEXT('ASSAY Respiratory Multiplex'!N27),ISTEXT('ASSAY Norovirus'!N27),ISTEXT('ASSAY Pertussis'!N27),ISTEXT('ASSAY Measles'!N27)),"YES", "")</f>
        <v/>
      </c>
      <c r="O16" s="182"/>
      <c r="P16" s="1"/>
      <c r="Q16" s="1"/>
      <c r="R16" s="1"/>
      <c r="S16" s="1"/>
      <c r="T16" s="1"/>
      <c r="U16" s="1"/>
      <c r="V16" s="1"/>
      <c r="W16" s="1"/>
      <c r="X16" s="1"/>
      <c r="Y16" s="1"/>
      <c r="Z16" s="1"/>
      <c r="AA16" s="1"/>
      <c r="AB16" s="1"/>
    </row>
    <row r="17" spans="2:28" ht="66" customHeight="1" thickBot="1" x14ac:dyDescent="0.25">
      <c r="B17" s="39" t="s">
        <v>30</v>
      </c>
      <c r="C17" s="111" t="str">
        <f>IF(OR(ISTEXT('ASSAY Respiratory Multiplex'!C28),ISTEXT('ASSAY Norovirus'!C28),ISTEXT('ASSAY Pertussis'!C28),ISTEXT('ASSAY Measles'!C28)),"YES", "")</f>
        <v>YES</v>
      </c>
      <c r="D17" s="106" t="str">
        <f>IF(OR(ISTEXT('ASSAY Respiratory Multiplex'!D28),ISTEXT('ASSAY Norovirus'!D28),ISTEXT('ASSAY Pertussis'!D28),ISTEXT('ASSAY Measles'!D28)),"YES", "")</f>
        <v>YES</v>
      </c>
      <c r="E17" s="111" t="str">
        <f>IF(OR(ISTEXT('ASSAY Respiratory Multiplex'!E28),ISTEXT('ASSAY Norovirus'!E28),ISTEXT('ASSAY Pertussis'!E28),ISTEXT('ASSAY Measles'!E28)),"YES", "")</f>
        <v>YES</v>
      </c>
      <c r="F17" s="106" t="str">
        <f>IF(OR(ISTEXT('ASSAY Respiratory Multiplex'!F28),ISTEXT('ASSAY Norovirus'!F28),ISTEXT('ASSAY Pertussis'!F28),ISTEXT('ASSAY Measles'!F28)),"YES", "")</f>
        <v>YES</v>
      </c>
      <c r="G17" s="111" t="str">
        <f>IF(OR(ISTEXT('ASSAY Respiratory Multiplex'!G28),ISTEXT('ASSAY Norovirus'!G28),ISTEXT('ASSAY Pertussis'!G28),ISTEXT('ASSAY Measles'!G28)),"YES", "")</f>
        <v/>
      </c>
      <c r="H17" s="106" t="str">
        <f>IF(OR(ISTEXT('ASSAY Respiratory Multiplex'!H28),ISTEXT('ASSAY Norovirus'!H28),ISTEXT('ASSAY Pertussis'!H28),ISTEXT('ASSAY Measles'!H28)),"YES", "")</f>
        <v/>
      </c>
      <c r="I17" s="111" t="str">
        <f>IF(OR(ISTEXT('ASSAY Respiratory Multiplex'!I28),ISTEXT('ASSAY Norovirus'!I28),ISTEXT('ASSAY Pertussis'!I28),ISTEXT('ASSAY Measles'!I28)),"YES", "")</f>
        <v/>
      </c>
      <c r="J17" s="106" t="str">
        <f>IF(OR(ISTEXT('ASSAY Respiratory Multiplex'!J28),ISTEXT('ASSAY Norovirus'!J28),ISTEXT('ASSAY Pertussis'!J28),ISTEXT('ASSAY Measles'!J28)),"YES", "")</f>
        <v/>
      </c>
      <c r="K17" s="111" t="str">
        <f>IF(OR(ISTEXT('ASSAY Respiratory Multiplex'!K28),ISTEXT('ASSAY Norovirus'!K28),ISTEXT('ASSAY Pertussis'!K28),ISTEXT('ASSAY Measles'!K28)),"YES", "")</f>
        <v/>
      </c>
      <c r="L17" s="106" t="str">
        <f>IF(OR(ISTEXT('ASSAY Respiratory Multiplex'!L28),ISTEXT('ASSAY Norovirus'!L28),ISTEXT('ASSAY Pertussis'!L28),ISTEXT('ASSAY Measles'!L28)),"YES", "")</f>
        <v/>
      </c>
      <c r="M17" s="111" t="str">
        <f>IF(OR(ISTEXT('ASSAY Respiratory Multiplex'!M28),ISTEXT('ASSAY Norovirus'!M28),ISTEXT('ASSAY Pertussis'!M28),ISTEXT('ASSAY Measles'!M28)),"YES", "")</f>
        <v/>
      </c>
      <c r="N17" s="112" t="str">
        <f>IF(OR(ISTEXT('ASSAY Respiratory Multiplex'!N28),ISTEXT('ASSAY Norovirus'!N28),ISTEXT('ASSAY Pertussis'!N28),ISTEXT('ASSAY Measles'!N28)),"YES", "")</f>
        <v/>
      </c>
      <c r="O17" s="182"/>
      <c r="P17" s="1"/>
      <c r="Q17" s="1"/>
      <c r="R17" s="1"/>
      <c r="S17" s="1"/>
      <c r="T17" s="1"/>
      <c r="U17" s="1"/>
      <c r="V17" s="1"/>
      <c r="W17" s="1"/>
      <c r="X17" s="1"/>
      <c r="Y17" s="1"/>
      <c r="Z17" s="1"/>
      <c r="AA17" s="1"/>
      <c r="AB17" s="1"/>
    </row>
    <row r="18" spans="2:28" ht="21" customHeight="1" thickBot="1" x14ac:dyDescent="0.25">
      <c r="C18" s="181"/>
      <c r="D18" s="181"/>
      <c r="E18" s="181"/>
      <c r="F18" s="181"/>
      <c r="G18" s="181"/>
      <c r="H18" s="181"/>
      <c r="I18" s="181"/>
      <c r="J18" s="181"/>
      <c r="K18" s="181"/>
      <c r="L18" s="181"/>
      <c r="M18" s="181"/>
      <c r="N18" s="181"/>
      <c r="O18" s="181"/>
      <c r="P18" s="1"/>
      <c r="Q18" s="1"/>
      <c r="R18" s="1"/>
      <c r="S18" s="1"/>
      <c r="T18" s="1"/>
      <c r="U18" s="1"/>
      <c r="V18" s="1"/>
      <c r="W18" s="1"/>
      <c r="X18" s="1"/>
      <c r="Y18" s="1"/>
      <c r="Z18" s="1"/>
      <c r="AA18" s="1"/>
      <c r="AB18" s="1"/>
    </row>
    <row r="19" spans="2:28" ht="25" customHeight="1" x14ac:dyDescent="0.2">
      <c r="C19" s="240" t="s">
        <v>270</v>
      </c>
      <c r="D19" s="207">
        <f>COUNTIF(C10:N17,"YES")</f>
        <v>36</v>
      </c>
      <c r="E19" s="242" t="s">
        <v>229</v>
      </c>
      <c r="F19" s="199" t="s">
        <v>258</v>
      </c>
      <c r="G19" s="199"/>
      <c r="H19" s="200"/>
      <c r="I19" s="1"/>
      <c r="J19" s="1"/>
      <c r="K19" s="1"/>
      <c r="L19" s="1"/>
      <c r="M19" s="1"/>
      <c r="N19" s="1"/>
      <c r="O19" s="1"/>
      <c r="P19" s="1"/>
      <c r="Q19" s="1"/>
      <c r="R19" s="1"/>
      <c r="S19" s="1"/>
      <c r="T19" s="1"/>
      <c r="U19" s="1"/>
      <c r="V19" s="1"/>
      <c r="W19" s="1"/>
      <c r="X19" s="1"/>
      <c r="Y19" s="1"/>
      <c r="Z19" s="1"/>
      <c r="AA19" s="1"/>
      <c r="AB19" s="1"/>
    </row>
    <row r="20" spans="2:28" ht="25" customHeight="1" thickBot="1" x14ac:dyDescent="0.25">
      <c r="C20" s="241"/>
      <c r="D20" s="208"/>
      <c r="E20" s="243"/>
      <c r="F20" s="201"/>
      <c r="G20" s="201"/>
      <c r="H20" s="202"/>
      <c r="I20" s="1"/>
      <c r="J20" s="1"/>
      <c r="K20" s="1"/>
      <c r="L20" s="1"/>
      <c r="M20" s="1"/>
      <c r="N20" s="1"/>
      <c r="O20" s="1"/>
      <c r="P20" s="1"/>
      <c r="Q20" s="1"/>
      <c r="R20" s="1"/>
      <c r="S20" s="1"/>
      <c r="T20" s="1"/>
      <c r="U20" s="1"/>
      <c r="V20" s="1"/>
      <c r="W20" s="1"/>
      <c r="X20" s="1"/>
      <c r="Y20" s="1"/>
      <c r="Z20" s="1"/>
      <c r="AA20" s="1"/>
      <c r="AB20" s="1"/>
    </row>
    <row r="21" spans="2:28" ht="21" customHeight="1" x14ac:dyDescent="0.2">
      <c r="C21" s="183"/>
      <c r="D21" s="183"/>
      <c r="E21" s="183"/>
      <c r="F21" s="183"/>
      <c r="G21" s="183"/>
      <c r="H21" s="183"/>
      <c r="I21" s="1"/>
      <c r="J21" s="1"/>
      <c r="K21" s="1"/>
      <c r="L21" s="1"/>
      <c r="M21" s="1"/>
      <c r="N21" s="1"/>
      <c r="O21" s="1"/>
      <c r="P21" s="1"/>
      <c r="Q21" s="1"/>
      <c r="R21" s="1"/>
      <c r="S21" s="1"/>
      <c r="T21" s="1"/>
      <c r="U21" s="1"/>
      <c r="V21" s="1"/>
      <c r="W21" s="1"/>
      <c r="X21" s="1"/>
      <c r="Y21" s="1"/>
      <c r="Z21" s="1"/>
      <c r="AA21" s="1"/>
      <c r="AB21" s="1"/>
    </row>
    <row r="22" spans="2:28" ht="21" customHeight="1" x14ac:dyDescent="0.2">
      <c r="C22" s="67"/>
      <c r="D22" s="73"/>
      <c r="E22" s="73"/>
      <c r="F22" s="73"/>
      <c r="G22" s="73"/>
      <c r="H22" s="73"/>
      <c r="I22" s="1"/>
      <c r="J22" s="1"/>
      <c r="K22" s="1"/>
      <c r="L22" s="1"/>
      <c r="M22" s="1"/>
      <c r="N22" s="1"/>
      <c r="O22" s="1"/>
      <c r="P22" s="1"/>
      <c r="Q22" s="1"/>
      <c r="R22" s="1"/>
      <c r="S22" s="1"/>
      <c r="T22" s="1"/>
      <c r="U22" s="1"/>
      <c r="V22" s="1"/>
      <c r="W22" s="1"/>
      <c r="X22" s="1"/>
      <c r="Y22" s="1"/>
      <c r="Z22" s="1"/>
      <c r="AA22" s="1"/>
      <c r="AB22" s="1"/>
    </row>
    <row r="23" spans="2:28" ht="33" customHeight="1" x14ac:dyDescent="0.2"/>
    <row r="24" spans="2:28" ht="49" customHeight="1" x14ac:dyDescent="0.2"/>
    <row r="25" spans="2:28" ht="49" customHeight="1" x14ac:dyDescent="0.2"/>
    <row r="26" spans="2:28" ht="49" customHeight="1" x14ac:dyDescent="0.2"/>
    <row r="27" spans="2:28" ht="49" customHeight="1" x14ac:dyDescent="0.2"/>
    <row r="28" spans="2:28" ht="49" customHeight="1" x14ac:dyDescent="0.2"/>
    <row r="29" spans="2:28" ht="21" customHeight="1" x14ac:dyDescent="0.2"/>
    <row r="30" spans="2:28" ht="21" customHeight="1"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2:28" ht="21" customHeight="1"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2:28" ht="21" customHeight="1"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3:28" ht="21" customHeight="1"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3:28" ht="21" customHeight="1"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3:28" ht="21" customHeight="1"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3:28" ht="15.75" customHeight="1" x14ac:dyDescent="0.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3:28" ht="15.75" customHeight="1" x14ac:dyDescent="0.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3:28" ht="15.75" customHeight="1" x14ac:dyDescent="0.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3:28" ht="15.75" customHeight="1" x14ac:dyDescent="0.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3:28" ht="15.75" customHeight="1" x14ac:dyDescent="0.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3:28" ht="15.75" customHeight="1" x14ac:dyDescent="0.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3:28" ht="15.75" customHeight="1" x14ac:dyDescent="0.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3:28" ht="15.75" customHeight="1" x14ac:dyDescent="0.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3:28" ht="15.75" customHeight="1" x14ac:dyDescent="0.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3:28" ht="15.75" customHeight="1" x14ac:dyDescent="0.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3:28" ht="15.75" customHeight="1" x14ac:dyDescent="0.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3:28" ht="15.75" customHeight="1" x14ac:dyDescent="0.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3:28" ht="15.75" customHeight="1" x14ac:dyDescent="0.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sheetData>
  <mergeCells count="13">
    <mergeCell ref="C21:H21"/>
    <mergeCell ref="O9:O17"/>
    <mergeCell ref="C18:O18"/>
    <mergeCell ref="C19:C20"/>
    <mergeCell ref="D19:D20"/>
    <mergeCell ref="E19:E20"/>
    <mergeCell ref="F19:H20"/>
    <mergeCell ref="G2:M2"/>
    <mergeCell ref="G3:M4"/>
    <mergeCell ref="G5:M5"/>
    <mergeCell ref="G6:M7"/>
    <mergeCell ref="C3:E5"/>
    <mergeCell ref="C6:E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M1000"/>
  <sheetViews>
    <sheetView workbookViewId="0">
      <selection activeCell="I5" sqref="I5"/>
    </sheetView>
  </sheetViews>
  <sheetFormatPr baseColWidth="10" defaultColWidth="10.140625" defaultRowHeight="15" customHeight="1" x14ac:dyDescent="0.2"/>
  <cols>
    <col min="1" max="1" width="13" customWidth="1"/>
    <col min="2" max="2" width="42.140625" customWidth="1"/>
    <col min="3" max="3" width="25.5703125" customWidth="1"/>
    <col min="4" max="4" width="21.28515625" customWidth="1"/>
    <col min="5" max="5" width="28.140625" bestFit="1" customWidth="1"/>
    <col min="6" max="6" width="19.5703125" customWidth="1"/>
    <col min="7" max="7" width="13.42578125" customWidth="1"/>
    <col min="8" max="8" width="44.7109375" customWidth="1"/>
    <col min="9" max="9" width="30.85546875" bestFit="1" customWidth="1"/>
    <col min="10" max="10" width="116.140625" bestFit="1" customWidth="1"/>
    <col min="11" max="11" width="24.140625" style="14" customWidth="1"/>
    <col min="12" max="12" width="21.85546875" customWidth="1"/>
    <col min="13" max="24" width="10.5703125" customWidth="1"/>
  </cols>
  <sheetData>
    <row r="1" spans="1:13" ht="15.75" customHeight="1" x14ac:dyDescent="0.2">
      <c r="A1" s="9" t="s">
        <v>36</v>
      </c>
      <c r="B1" s="9" t="s">
        <v>37</v>
      </c>
      <c r="C1" s="9" t="s">
        <v>38</v>
      </c>
      <c r="D1" s="9" t="s">
        <v>39</v>
      </c>
      <c r="E1" s="9" t="s">
        <v>40</v>
      </c>
      <c r="F1" s="9" t="s">
        <v>41</v>
      </c>
      <c r="G1" s="9" t="s">
        <v>42</v>
      </c>
      <c r="H1" s="9" t="s">
        <v>43</v>
      </c>
      <c r="I1" s="9" t="s">
        <v>44</v>
      </c>
      <c r="J1" s="9" t="s">
        <v>45</v>
      </c>
      <c r="K1" s="11" t="s">
        <v>115</v>
      </c>
      <c r="L1" s="9" t="s">
        <v>46</v>
      </c>
      <c r="M1" s="6" t="s">
        <v>157</v>
      </c>
    </row>
    <row r="2" spans="1:13" ht="15.75" customHeight="1" x14ac:dyDescent="0.2">
      <c r="A2" s="3" t="s">
        <v>5</v>
      </c>
      <c r="B2" s="3" t="s">
        <v>86</v>
      </c>
      <c r="C2" s="3" t="s">
        <v>48</v>
      </c>
      <c r="D2" s="3" t="s">
        <v>12</v>
      </c>
      <c r="E2" s="3" t="s">
        <v>12</v>
      </c>
      <c r="F2" s="3" t="s">
        <v>17</v>
      </c>
      <c r="G2" s="3" t="s">
        <v>13</v>
      </c>
      <c r="H2" s="3" t="s">
        <v>8</v>
      </c>
      <c r="I2" s="3" t="s">
        <v>247</v>
      </c>
      <c r="J2" s="17" t="s">
        <v>107</v>
      </c>
      <c r="K2" s="15">
        <v>2</v>
      </c>
      <c r="L2" s="3" t="s">
        <v>18</v>
      </c>
      <c r="M2" s="3" t="s">
        <v>121</v>
      </c>
    </row>
    <row r="3" spans="1:13" ht="15.75" customHeight="1" x14ac:dyDescent="0.2">
      <c r="A3" s="3" t="s">
        <v>47</v>
      </c>
      <c r="B3" s="3" t="s">
        <v>84</v>
      </c>
      <c r="C3" s="3" t="s">
        <v>53</v>
      </c>
      <c r="D3" s="3" t="s">
        <v>49</v>
      </c>
      <c r="E3" s="3" t="s">
        <v>96</v>
      </c>
      <c r="F3" s="3" t="s">
        <v>19</v>
      </c>
      <c r="G3" s="3" t="s">
        <v>22</v>
      </c>
      <c r="H3" s="3" t="s">
        <v>50</v>
      </c>
      <c r="I3" s="3" t="s">
        <v>246</v>
      </c>
      <c r="J3" s="3" t="s">
        <v>66</v>
      </c>
      <c r="K3" s="12">
        <v>1.2</v>
      </c>
      <c r="L3" s="3" t="s">
        <v>65</v>
      </c>
      <c r="M3" s="3" t="s">
        <v>122</v>
      </c>
    </row>
    <row r="4" spans="1:13" ht="15.75" customHeight="1" x14ac:dyDescent="0.2">
      <c r="A4" s="3" t="s">
        <v>68</v>
      </c>
      <c r="B4" s="3" t="s">
        <v>85</v>
      </c>
      <c r="C4" s="3" t="s">
        <v>56</v>
      </c>
      <c r="D4" s="3" t="s">
        <v>16</v>
      </c>
      <c r="E4" s="3" t="s">
        <v>15</v>
      </c>
      <c r="F4" s="3" t="s">
        <v>52</v>
      </c>
      <c r="G4" s="3" t="s">
        <v>54</v>
      </c>
      <c r="H4" s="7" t="s">
        <v>69</v>
      </c>
      <c r="I4" s="3" t="s">
        <v>245</v>
      </c>
      <c r="J4" s="3" t="s">
        <v>67</v>
      </c>
      <c r="K4" s="13">
        <v>3.2</v>
      </c>
      <c r="L4" s="3" t="s">
        <v>55</v>
      </c>
      <c r="M4" s="3" t="s">
        <v>123</v>
      </c>
    </row>
    <row r="5" spans="1:13" ht="15.75" customHeight="1" x14ac:dyDescent="0.2">
      <c r="A5" s="3" t="s">
        <v>52</v>
      </c>
      <c r="B5" s="3" t="s">
        <v>93</v>
      </c>
      <c r="C5" s="3" t="s">
        <v>52</v>
      </c>
      <c r="D5" s="3" t="s">
        <v>57</v>
      </c>
      <c r="E5" s="3" t="s">
        <v>20</v>
      </c>
      <c r="G5" s="3" t="s">
        <v>58</v>
      </c>
      <c r="H5" s="10" t="s">
        <v>71</v>
      </c>
      <c r="I5" s="3" t="s">
        <v>51</v>
      </c>
      <c r="J5" s="3" t="s">
        <v>70</v>
      </c>
      <c r="K5" s="13"/>
      <c r="L5" s="3" t="s">
        <v>59</v>
      </c>
      <c r="M5" s="3" t="s">
        <v>124</v>
      </c>
    </row>
    <row r="6" spans="1:13" ht="15.75" customHeight="1" x14ac:dyDescent="0.2">
      <c r="A6" s="3"/>
      <c r="B6" s="16" t="s">
        <v>89</v>
      </c>
      <c r="D6" s="3" t="s">
        <v>52</v>
      </c>
      <c r="E6" s="3" t="s">
        <v>97</v>
      </c>
      <c r="F6" s="3"/>
      <c r="G6" s="3" t="s">
        <v>60</v>
      </c>
      <c r="H6" s="7" t="s">
        <v>69</v>
      </c>
      <c r="I6" s="3" t="s">
        <v>52</v>
      </c>
      <c r="J6" s="3" t="s">
        <v>72</v>
      </c>
      <c r="K6" s="13"/>
      <c r="L6" s="3" t="s">
        <v>61</v>
      </c>
      <c r="M6" s="3" t="s">
        <v>125</v>
      </c>
    </row>
    <row r="7" spans="1:13" ht="15.75" customHeight="1" x14ac:dyDescent="0.2">
      <c r="A7" s="3"/>
      <c r="B7" s="16" t="s">
        <v>90</v>
      </c>
      <c r="C7" s="3"/>
      <c r="D7" s="3"/>
      <c r="E7" s="3" t="s">
        <v>98</v>
      </c>
      <c r="F7" s="3"/>
      <c r="G7" s="3" t="s">
        <v>63</v>
      </c>
      <c r="H7" s="3" t="s">
        <v>52</v>
      </c>
      <c r="I7" s="3"/>
      <c r="J7" s="3" t="s">
        <v>73</v>
      </c>
      <c r="K7" s="13"/>
      <c r="L7" s="3" t="s">
        <v>52</v>
      </c>
      <c r="M7" s="3" t="s">
        <v>126</v>
      </c>
    </row>
    <row r="8" spans="1:13" ht="15.75" customHeight="1" x14ac:dyDescent="0.2">
      <c r="A8" s="3"/>
      <c r="B8" s="3" t="s">
        <v>87</v>
      </c>
      <c r="C8" s="3"/>
      <c r="D8" s="3"/>
      <c r="E8" s="3" t="s">
        <v>62</v>
      </c>
      <c r="F8" s="3"/>
      <c r="G8" s="3" t="s">
        <v>21</v>
      </c>
      <c r="H8" s="3"/>
      <c r="I8" s="3"/>
      <c r="J8" s="7" t="s">
        <v>69</v>
      </c>
      <c r="K8" s="13"/>
      <c r="M8" s="3" t="s">
        <v>127</v>
      </c>
    </row>
    <row r="9" spans="1:13" ht="15.75" customHeight="1" x14ac:dyDescent="0.2">
      <c r="A9" s="3"/>
      <c r="B9" s="3" t="s">
        <v>88</v>
      </c>
      <c r="C9" s="3"/>
      <c r="D9" s="3"/>
      <c r="E9" s="3" t="s">
        <v>234</v>
      </c>
      <c r="F9" s="3"/>
      <c r="G9" s="3" t="s">
        <v>64</v>
      </c>
      <c r="H9" s="3"/>
      <c r="I9" s="3"/>
      <c r="J9" s="3" t="s">
        <v>74</v>
      </c>
      <c r="K9" s="13"/>
      <c r="M9" s="3" t="s">
        <v>128</v>
      </c>
    </row>
    <row r="10" spans="1:13" ht="15.75" customHeight="1" x14ac:dyDescent="0.2">
      <c r="A10" s="3"/>
      <c r="B10" s="3" t="s">
        <v>105</v>
      </c>
      <c r="C10" s="3"/>
      <c r="D10" s="3"/>
      <c r="E10" s="3" t="s">
        <v>52</v>
      </c>
      <c r="F10" s="3"/>
      <c r="G10" s="3"/>
      <c r="H10" s="3"/>
      <c r="I10" s="3"/>
      <c r="J10" s="3" t="s">
        <v>75</v>
      </c>
      <c r="K10" s="13"/>
      <c r="M10" s="3" t="s">
        <v>129</v>
      </c>
    </row>
    <row r="11" spans="1:13" ht="15.75" customHeight="1" x14ac:dyDescent="0.2">
      <c r="A11" s="3"/>
      <c r="B11" s="3" t="s">
        <v>114</v>
      </c>
      <c r="C11" s="3"/>
      <c r="D11" s="3"/>
      <c r="E11" s="3"/>
      <c r="F11" s="3"/>
      <c r="G11" s="3"/>
      <c r="H11" s="3"/>
      <c r="I11" s="3"/>
      <c r="J11" s="3" t="s">
        <v>76</v>
      </c>
      <c r="K11" s="13"/>
      <c r="M11" s="3" t="s">
        <v>130</v>
      </c>
    </row>
    <row r="12" spans="1:13" ht="15.75" customHeight="1" x14ac:dyDescent="0.2">
      <c r="A12" s="3"/>
      <c r="B12" s="3" t="s">
        <v>103</v>
      </c>
      <c r="C12" s="3"/>
      <c r="D12" s="3"/>
      <c r="E12" s="3"/>
      <c r="F12" s="3"/>
      <c r="G12" s="3"/>
      <c r="H12" s="3"/>
      <c r="I12" s="3"/>
      <c r="J12" s="3" t="s">
        <v>77</v>
      </c>
      <c r="K12" s="13"/>
      <c r="M12" s="3" t="s">
        <v>131</v>
      </c>
    </row>
    <row r="13" spans="1:13" ht="15.75" customHeight="1" x14ac:dyDescent="0.2">
      <c r="A13" s="3"/>
      <c r="B13" s="3" t="s">
        <v>104</v>
      </c>
      <c r="C13" s="3"/>
      <c r="D13" s="3"/>
      <c r="E13" s="3"/>
      <c r="F13" s="3"/>
      <c r="G13" s="3"/>
      <c r="H13" s="3"/>
      <c r="I13" s="3"/>
      <c r="J13" s="3" t="s">
        <v>78</v>
      </c>
      <c r="K13" s="13"/>
      <c r="M13" s="3" t="s">
        <v>132</v>
      </c>
    </row>
    <row r="14" spans="1:13" ht="15.75" customHeight="1" x14ac:dyDescent="0.2">
      <c r="A14" s="3"/>
      <c r="B14" s="3" t="s">
        <v>91</v>
      </c>
      <c r="C14" s="3"/>
      <c r="D14" s="3"/>
      <c r="E14" s="3"/>
      <c r="F14" s="3"/>
      <c r="G14" s="3"/>
      <c r="H14" s="3"/>
      <c r="I14" s="3"/>
      <c r="J14" s="3" t="s">
        <v>79</v>
      </c>
      <c r="K14" s="13"/>
      <c r="M14" t="s">
        <v>133</v>
      </c>
    </row>
    <row r="15" spans="1:13" ht="15.75" customHeight="1" x14ac:dyDescent="0.2">
      <c r="A15" s="3"/>
      <c r="B15" s="3" t="s">
        <v>94</v>
      </c>
      <c r="C15" s="3"/>
      <c r="D15" s="3"/>
      <c r="E15" s="3"/>
      <c r="F15" s="3"/>
      <c r="G15" s="3"/>
      <c r="H15" s="3"/>
      <c r="I15" s="3"/>
      <c r="J15" s="3" t="s">
        <v>80</v>
      </c>
      <c r="K15" s="13"/>
      <c r="M15" t="s">
        <v>134</v>
      </c>
    </row>
    <row r="16" spans="1:13" ht="15.75" customHeight="1" x14ac:dyDescent="0.2">
      <c r="A16" s="3"/>
      <c r="B16" s="3" t="s">
        <v>95</v>
      </c>
      <c r="C16" s="3"/>
      <c r="D16" s="3"/>
      <c r="E16" s="3"/>
      <c r="F16" s="3"/>
      <c r="G16" s="3"/>
      <c r="H16" s="3"/>
      <c r="I16" s="3"/>
      <c r="J16" s="3" t="s">
        <v>81</v>
      </c>
      <c r="K16" s="13"/>
      <c r="M16" t="s">
        <v>135</v>
      </c>
    </row>
    <row r="17" spans="1:13" ht="15.75" customHeight="1" x14ac:dyDescent="0.2">
      <c r="A17" s="3"/>
      <c r="B17" s="16" t="s">
        <v>92</v>
      </c>
      <c r="C17" s="3"/>
      <c r="D17" s="3"/>
      <c r="E17" s="3"/>
      <c r="F17" s="3"/>
      <c r="G17" s="3"/>
      <c r="H17" s="3"/>
      <c r="I17" s="3"/>
      <c r="J17" s="18" t="s">
        <v>108</v>
      </c>
      <c r="K17" s="13"/>
      <c r="M17" t="s">
        <v>136</v>
      </c>
    </row>
    <row r="18" spans="1:13" ht="15.75" customHeight="1" x14ac:dyDescent="0.2">
      <c r="A18" s="3"/>
      <c r="B18" s="3" t="s">
        <v>116</v>
      </c>
      <c r="C18" s="3"/>
      <c r="D18" s="3"/>
      <c r="E18" s="3"/>
      <c r="F18" s="3"/>
      <c r="G18" s="3"/>
      <c r="H18" s="3"/>
      <c r="I18" s="3"/>
      <c r="J18" s="3" t="s">
        <v>112</v>
      </c>
      <c r="K18" s="13"/>
      <c r="M18" t="s">
        <v>137</v>
      </c>
    </row>
    <row r="19" spans="1:13" ht="15.75" customHeight="1" x14ac:dyDescent="0.2">
      <c r="A19" s="3"/>
      <c r="B19" s="3" t="s">
        <v>234</v>
      </c>
      <c r="C19" s="3"/>
      <c r="D19" s="3"/>
      <c r="E19" s="3"/>
      <c r="F19" s="3"/>
      <c r="G19" s="3"/>
      <c r="H19" s="3"/>
      <c r="I19" s="3"/>
      <c r="J19" s="58" t="s">
        <v>106</v>
      </c>
      <c r="K19" s="13"/>
      <c r="M19" t="s">
        <v>138</v>
      </c>
    </row>
    <row r="20" spans="1:13" ht="15.75" customHeight="1" x14ac:dyDescent="0.2">
      <c r="A20" s="3"/>
      <c r="B20" s="3" t="s">
        <v>235</v>
      </c>
      <c r="C20" s="3"/>
      <c r="D20" s="3"/>
      <c r="E20" s="3"/>
      <c r="F20" s="3"/>
      <c r="G20" s="3"/>
      <c r="H20" s="3"/>
      <c r="I20" s="3"/>
      <c r="J20" s="3" t="s">
        <v>83</v>
      </c>
      <c r="K20" s="13"/>
      <c r="M20" t="s">
        <v>139</v>
      </c>
    </row>
    <row r="21" spans="1:13" ht="15.75" customHeight="1" x14ac:dyDescent="0.2">
      <c r="A21" s="3"/>
      <c r="B21" s="3" t="s">
        <v>52</v>
      </c>
      <c r="C21" s="3"/>
      <c r="D21" s="3"/>
      <c r="E21" s="3"/>
      <c r="F21" s="3"/>
      <c r="G21" s="3"/>
      <c r="H21" s="3"/>
      <c r="I21" s="3"/>
      <c r="J21" s="3" t="s">
        <v>109</v>
      </c>
      <c r="K21" s="13"/>
      <c r="M21" t="s">
        <v>140</v>
      </c>
    </row>
    <row r="22" spans="1:13" ht="15.75" customHeight="1" x14ac:dyDescent="0.2">
      <c r="A22" s="3"/>
      <c r="C22" s="3"/>
      <c r="D22" s="3"/>
      <c r="E22" s="3"/>
      <c r="F22" s="3"/>
      <c r="G22" s="3"/>
      <c r="H22" s="3"/>
      <c r="I22" s="3"/>
      <c r="J22" s="58" t="s">
        <v>113</v>
      </c>
      <c r="K22" s="13"/>
      <c r="M22" t="s">
        <v>141</v>
      </c>
    </row>
    <row r="23" spans="1:13" ht="15.75" customHeight="1" x14ac:dyDescent="0.2">
      <c r="A23" s="3"/>
      <c r="C23" s="3"/>
      <c r="D23" s="3"/>
      <c r="E23" s="3"/>
      <c r="F23" s="3"/>
      <c r="G23" s="3"/>
      <c r="H23" s="3"/>
      <c r="I23" s="3"/>
      <c r="J23" s="3" t="s">
        <v>111</v>
      </c>
      <c r="K23" s="13"/>
      <c r="M23" t="s">
        <v>142</v>
      </c>
    </row>
    <row r="24" spans="1:13" ht="15.75" customHeight="1" x14ac:dyDescent="0.2">
      <c r="A24" s="3"/>
      <c r="B24" s="8"/>
      <c r="C24" s="3"/>
      <c r="D24" s="3"/>
      <c r="E24" s="3"/>
      <c r="F24" s="3"/>
      <c r="G24" s="3"/>
      <c r="H24" s="3"/>
      <c r="I24" s="3"/>
      <c r="J24" s="3" t="s">
        <v>110</v>
      </c>
      <c r="K24" s="13"/>
      <c r="M24" t="s">
        <v>143</v>
      </c>
    </row>
    <row r="25" spans="1:13" ht="15.75" customHeight="1" x14ac:dyDescent="0.2">
      <c r="A25" s="3"/>
      <c r="C25" s="3"/>
      <c r="D25" s="3"/>
      <c r="E25" s="3"/>
      <c r="F25" s="3"/>
      <c r="G25" s="3"/>
      <c r="H25" s="3"/>
      <c r="I25" s="3"/>
      <c r="J25" s="3" t="s">
        <v>82</v>
      </c>
      <c r="K25" s="13"/>
      <c r="M25" t="s">
        <v>144</v>
      </c>
    </row>
    <row r="26" spans="1:13" ht="15.75" customHeight="1" x14ac:dyDescent="0.2">
      <c r="B26" s="8"/>
      <c r="H26" s="3"/>
      <c r="M26" t="s">
        <v>145</v>
      </c>
    </row>
    <row r="27" spans="1:13" ht="15.75" customHeight="1" x14ac:dyDescent="0.2">
      <c r="B27" s="8"/>
      <c r="M27" t="s">
        <v>146</v>
      </c>
    </row>
    <row r="28" spans="1:13" ht="15.75" customHeight="1" x14ac:dyDescent="0.2">
      <c r="B28" s="8"/>
      <c r="M28" t="s">
        <v>147</v>
      </c>
    </row>
    <row r="29" spans="1:13" ht="15.75" customHeight="1" x14ac:dyDescent="0.2">
      <c r="M29" t="s">
        <v>148</v>
      </c>
    </row>
    <row r="30" spans="1:13" ht="15.75" customHeight="1" x14ac:dyDescent="0.2">
      <c r="M30" t="s">
        <v>149</v>
      </c>
    </row>
    <row r="31" spans="1:13" ht="15.75" customHeight="1" x14ac:dyDescent="0.2">
      <c r="M31" t="s">
        <v>150</v>
      </c>
    </row>
    <row r="32" spans="1:13" ht="15.75" customHeight="1" x14ac:dyDescent="0.2">
      <c r="M32" t="s">
        <v>151</v>
      </c>
    </row>
    <row r="33" spans="13:13" ht="15.75" customHeight="1" x14ac:dyDescent="0.2">
      <c r="M33" t="s">
        <v>152</v>
      </c>
    </row>
    <row r="34" spans="13:13" ht="15.75" customHeight="1" x14ac:dyDescent="0.2">
      <c r="M34" t="s">
        <v>153</v>
      </c>
    </row>
    <row r="35" spans="13:13" ht="15.75" customHeight="1" x14ac:dyDescent="0.2">
      <c r="M35" t="s">
        <v>154</v>
      </c>
    </row>
    <row r="36" spans="13:13" ht="15.75" customHeight="1" x14ac:dyDescent="0.2">
      <c r="M36" t="s">
        <v>155</v>
      </c>
    </row>
    <row r="37" spans="13:13" ht="15.75" customHeight="1" x14ac:dyDescent="0.2">
      <c r="M37" t="s">
        <v>156</v>
      </c>
    </row>
    <row r="38" spans="13:13" ht="15.75" customHeight="1" x14ac:dyDescent="0.2">
      <c r="M38" t="s">
        <v>158</v>
      </c>
    </row>
    <row r="39" spans="13:13" ht="15.75" customHeight="1" x14ac:dyDescent="0.2">
      <c r="M39" t="s">
        <v>159</v>
      </c>
    </row>
    <row r="40" spans="13:13" ht="15.75" customHeight="1" x14ac:dyDescent="0.2">
      <c r="M40" t="s">
        <v>160</v>
      </c>
    </row>
    <row r="41" spans="13:13" ht="15.75" customHeight="1" x14ac:dyDescent="0.2">
      <c r="M41" t="s">
        <v>161</v>
      </c>
    </row>
    <row r="42" spans="13:13" ht="15.75" customHeight="1" x14ac:dyDescent="0.2">
      <c r="M42" t="s">
        <v>162</v>
      </c>
    </row>
    <row r="43" spans="13:13" ht="15.75" customHeight="1" x14ac:dyDescent="0.2">
      <c r="M43" t="s">
        <v>163</v>
      </c>
    </row>
    <row r="44" spans="13:13" ht="15.75" customHeight="1" x14ac:dyDescent="0.2">
      <c r="M44" t="s">
        <v>164</v>
      </c>
    </row>
    <row r="45" spans="13:13" ht="15.75" customHeight="1" x14ac:dyDescent="0.2">
      <c r="M45" t="s">
        <v>165</v>
      </c>
    </row>
    <row r="46" spans="13:13" ht="15.75" customHeight="1" x14ac:dyDescent="0.2">
      <c r="M46" t="s">
        <v>166</v>
      </c>
    </row>
    <row r="47" spans="13:13" ht="15.75" customHeight="1" x14ac:dyDescent="0.2">
      <c r="M47" t="s">
        <v>167</v>
      </c>
    </row>
    <row r="48" spans="13:13" ht="15.75" customHeight="1" x14ac:dyDescent="0.2">
      <c r="M48" t="s">
        <v>168</v>
      </c>
    </row>
    <row r="49" spans="13:13" ht="15.75" customHeight="1" x14ac:dyDescent="0.2">
      <c r="M49" t="s">
        <v>169</v>
      </c>
    </row>
    <row r="50" spans="13:13" ht="15.75" customHeight="1" x14ac:dyDescent="0.2">
      <c r="M50" t="s">
        <v>170</v>
      </c>
    </row>
    <row r="51" spans="13:13" ht="15.75" customHeight="1" x14ac:dyDescent="0.2">
      <c r="M51" t="s">
        <v>171</v>
      </c>
    </row>
    <row r="52" spans="13:13" ht="15.75" customHeight="1" x14ac:dyDescent="0.2">
      <c r="M52" t="s">
        <v>172</v>
      </c>
    </row>
    <row r="53" spans="13:13" ht="15.75" customHeight="1" x14ac:dyDescent="0.2">
      <c r="M53" t="s">
        <v>173</v>
      </c>
    </row>
    <row r="54" spans="13:13" ht="15.75" customHeight="1" x14ac:dyDescent="0.2">
      <c r="M54" t="s">
        <v>174</v>
      </c>
    </row>
    <row r="55" spans="13:13" ht="15.75" customHeight="1" x14ac:dyDescent="0.2">
      <c r="M55" t="s">
        <v>175</v>
      </c>
    </row>
    <row r="56" spans="13:13" ht="15.75" customHeight="1" x14ac:dyDescent="0.2">
      <c r="M56" t="s">
        <v>176</v>
      </c>
    </row>
    <row r="57" spans="13:13" ht="15.75" customHeight="1" x14ac:dyDescent="0.2">
      <c r="M57" t="s">
        <v>177</v>
      </c>
    </row>
    <row r="58" spans="13:13" ht="15.75" customHeight="1" x14ac:dyDescent="0.2">
      <c r="M58" t="s">
        <v>178</v>
      </c>
    </row>
    <row r="59" spans="13:13" ht="15.75" customHeight="1" x14ac:dyDescent="0.2">
      <c r="M59" t="s">
        <v>179</v>
      </c>
    </row>
    <row r="60" spans="13:13" ht="15.75" customHeight="1" x14ac:dyDescent="0.2">
      <c r="M60" t="s">
        <v>180</v>
      </c>
    </row>
    <row r="61" spans="13:13" ht="15.75" customHeight="1" x14ac:dyDescent="0.2">
      <c r="M61" t="s">
        <v>181</v>
      </c>
    </row>
    <row r="62" spans="13:13" ht="15.75" customHeight="1" x14ac:dyDescent="0.2">
      <c r="M62" t="s">
        <v>182</v>
      </c>
    </row>
    <row r="63" spans="13:13" ht="15.75" customHeight="1" x14ac:dyDescent="0.2">
      <c r="M63" t="s">
        <v>183</v>
      </c>
    </row>
    <row r="64" spans="13:13" ht="15.75" customHeight="1" x14ac:dyDescent="0.2">
      <c r="M64" t="s">
        <v>184</v>
      </c>
    </row>
    <row r="65" spans="13:13" ht="15.75" customHeight="1" x14ac:dyDescent="0.2">
      <c r="M65" t="s">
        <v>185</v>
      </c>
    </row>
    <row r="66" spans="13:13" ht="15.75" customHeight="1" x14ac:dyDescent="0.2">
      <c r="M66" t="s">
        <v>186</v>
      </c>
    </row>
    <row r="67" spans="13:13" ht="15.75" customHeight="1" x14ac:dyDescent="0.2">
      <c r="M67" t="s">
        <v>187</v>
      </c>
    </row>
    <row r="68" spans="13:13" ht="15.75" customHeight="1" x14ac:dyDescent="0.2">
      <c r="M68" t="s">
        <v>188</v>
      </c>
    </row>
    <row r="69" spans="13:13" ht="15.75" customHeight="1" x14ac:dyDescent="0.2">
      <c r="M69" t="s">
        <v>189</v>
      </c>
    </row>
    <row r="70" spans="13:13" ht="15.75" customHeight="1" x14ac:dyDescent="0.2">
      <c r="M70" t="s">
        <v>190</v>
      </c>
    </row>
    <row r="71" spans="13:13" ht="15.75" customHeight="1" x14ac:dyDescent="0.2">
      <c r="M71" t="s">
        <v>191</v>
      </c>
    </row>
    <row r="72" spans="13:13" ht="15.75" customHeight="1" x14ac:dyDescent="0.2">
      <c r="M72" t="s">
        <v>192</v>
      </c>
    </row>
    <row r="73" spans="13:13" ht="15.75" customHeight="1" x14ac:dyDescent="0.2">
      <c r="M73" t="s">
        <v>193</v>
      </c>
    </row>
    <row r="74" spans="13:13" ht="15.75" customHeight="1" x14ac:dyDescent="0.2">
      <c r="M74" t="s">
        <v>194</v>
      </c>
    </row>
    <row r="75" spans="13:13" ht="15.75" customHeight="1" x14ac:dyDescent="0.2">
      <c r="M75" t="s">
        <v>195</v>
      </c>
    </row>
    <row r="76" spans="13:13" ht="15.75" customHeight="1" x14ac:dyDescent="0.2">
      <c r="M76" t="s">
        <v>196</v>
      </c>
    </row>
    <row r="77" spans="13:13" ht="15.75" customHeight="1" x14ac:dyDescent="0.2">
      <c r="M77" t="s">
        <v>197</v>
      </c>
    </row>
    <row r="78" spans="13:13" ht="15.75" customHeight="1" x14ac:dyDescent="0.2">
      <c r="M78" t="s">
        <v>198</v>
      </c>
    </row>
    <row r="79" spans="13:13" ht="15.75" customHeight="1" x14ac:dyDescent="0.2">
      <c r="M79" t="s">
        <v>199</v>
      </c>
    </row>
    <row r="80" spans="13:13" ht="15.75" customHeight="1" x14ac:dyDescent="0.2">
      <c r="M80" t="s">
        <v>200</v>
      </c>
    </row>
    <row r="81" spans="13:13" ht="15.75" customHeight="1" x14ac:dyDescent="0.2">
      <c r="M81" t="s">
        <v>201</v>
      </c>
    </row>
    <row r="82" spans="13:13" ht="15.75" customHeight="1" x14ac:dyDescent="0.2">
      <c r="M82" t="s">
        <v>202</v>
      </c>
    </row>
    <row r="83" spans="13:13" ht="15.75" customHeight="1" x14ac:dyDescent="0.2">
      <c r="M83" t="s">
        <v>203</v>
      </c>
    </row>
    <row r="84" spans="13:13" ht="15.75" customHeight="1" x14ac:dyDescent="0.2">
      <c r="M84" t="s">
        <v>204</v>
      </c>
    </row>
    <row r="85" spans="13:13" ht="15.75" customHeight="1" x14ac:dyDescent="0.2">
      <c r="M85" t="s">
        <v>205</v>
      </c>
    </row>
    <row r="86" spans="13:13" ht="15.75" customHeight="1" x14ac:dyDescent="0.2">
      <c r="M86" t="s">
        <v>206</v>
      </c>
    </row>
    <row r="87" spans="13:13" ht="15.75" customHeight="1" x14ac:dyDescent="0.2">
      <c r="M87" t="s">
        <v>207</v>
      </c>
    </row>
    <row r="88" spans="13:13" ht="15.75" customHeight="1" x14ac:dyDescent="0.2">
      <c r="M88" t="s">
        <v>208</v>
      </c>
    </row>
    <row r="89" spans="13:13" ht="15.75" customHeight="1" x14ac:dyDescent="0.2">
      <c r="M89" t="s">
        <v>209</v>
      </c>
    </row>
    <row r="90" spans="13:13" ht="15.75" customHeight="1" x14ac:dyDescent="0.2">
      <c r="M90" t="s">
        <v>210</v>
      </c>
    </row>
    <row r="91" spans="13:13" ht="15.75" customHeight="1" x14ac:dyDescent="0.2">
      <c r="M91" t="s">
        <v>211</v>
      </c>
    </row>
    <row r="92" spans="13:13" ht="15.75" customHeight="1" x14ac:dyDescent="0.2">
      <c r="M92" t="s">
        <v>212</v>
      </c>
    </row>
    <row r="93" spans="13:13" ht="15.75" customHeight="1" x14ac:dyDescent="0.2">
      <c r="M93" t="s">
        <v>213</v>
      </c>
    </row>
    <row r="94" spans="13:13" ht="15.75" customHeight="1" x14ac:dyDescent="0.2">
      <c r="M94" t="s">
        <v>214</v>
      </c>
    </row>
    <row r="95" spans="13:13" ht="15.75" customHeight="1" x14ac:dyDescent="0.2">
      <c r="M95" t="s">
        <v>215</v>
      </c>
    </row>
    <row r="96" spans="13:13" ht="15.75" customHeight="1" x14ac:dyDescent="0.2">
      <c r="M96" t="s">
        <v>216</v>
      </c>
    </row>
    <row r="97" spans="13:13" ht="15.75" customHeight="1" x14ac:dyDescent="0.2">
      <c r="M97" t="s">
        <v>217</v>
      </c>
    </row>
    <row r="98" spans="13:13" ht="15.75" customHeight="1" x14ac:dyDescent="0.2"/>
    <row r="99" spans="13:13" ht="15.75" customHeight="1" x14ac:dyDescent="0.2"/>
    <row r="100" spans="13:13" ht="15.75" customHeight="1" x14ac:dyDescent="0.2"/>
    <row r="101" spans="13:13" ht="15.75" customHeight="1" x14ac:dyDescent="0.2"/>
    <row r="102" spans="13:13" ht="15.75" customHeight="1" x14ac:dyDescent="0.2"/>
    <row r="103" spans="13:13" ht="15.75" customHeight="1" x14ac:dyDescent="0.2"/>
    <row r="104" spans="13:13" ht="15.75" customHeight="1" x14ac:dyDescent="0.2"/>
    <row r="105" spans="13:13" ht="15.75" customHeight="1" x14ac:dyDescent="0.2"/>
    <row r="106" spans="13:13" ht="15.75" customHeight="1" x14ac:dyDescent="0.2"/>
    <row r="107" spans="13:13" ht="15.75" customHeight="1" x14ac:dyDescent="0.2"/>
    <row r="108" spans="13:13" ht="15.75" customHeight="1" x14ac:dyDescent="0.2"/>
    <row r="109" spans="13:13" ht="15.75" customHeight="1" x14ac:dyDescent="0.2"/>
    <row r="110" spans="13:13" ht="15.75" customHeight="1" x14ac:dyDescent="0.2"/>
    <row r="111" spans="13:13" ht="15.75" customHeight="1" x14ac:dyDescent="0.2"/>
    <row r="112" spans="13:13"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ASSAY Respiratory Multiplex</vt:lpstr>
      <vt:lpstr>ASSAY Norovirus</vt:lpstr>
      <vt:lpstr>ASSAY Pertussis</vt:lpstr>
      <vt:lpstr>ASSAY Measles</vt:lpstr>
      <vt:lpstr>Plate Map Review</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2026-10-20T13:30:04Z</dcterms:modified>
</cp:coreProperties>
</file>