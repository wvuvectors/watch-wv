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codeName="ThisWorkbook"/>
  <mc:AlternateContent xmlns:mc="http://schemas.openxmlformats.org/markup-compatibility/2006">
    <mc:Choice Requires="x15">
      <x15ac:absPath xmlns:x15ac="http://schemas.microsoft.com/office/spreadsheetml/2010/11/ac" url="/Users/tpd0001/github/dev/watch-wv/sewer/test_example/INPUT_FILES/2026-42-43/"/>
    </mc:Choice>
  </mc:AlternateContent>
  <xr:revisionPtr revIDLastSave="0" documentId="13_ncr:1_{38012DB7-E75F-9949-A4AC-1D1742A66158}" xr6:coauthVersionLast="47" xr6:coauthVersionMax="47" xr10:uidLastSave="{00000000-0000-0000-0000-000000000000}"/>
  <bookViews>
    <workbookView xWindow="0" yWindow="660" windowWidth="30240" windowHeight="18980" activeTab="1" xr2:uid="{00000000-000D-0000-FFFF-FFFF00000000}"/>
  </bookViews>
  <sheets>
    <sheet name="Metadata" sheetId="1" r:id="rId1"/>
    <sheet name="ASSAY Respiratory Multiplex" sheetId="9" r:id="rId2"/>
    <sheet name="ASSAY Norovirus" sheetId="21" r:id="rId3"/>
    <sheet name="ASSAY Pertussis" sheetId="22" r:id="rId4"/>
    <sheet name="ASSAY Measles" sheetId="23" r:id="rId5"/>
    <sheet name="Plate Map Review" sheetId="16" r:id="rId6"/>
    <sheet name="Lists" sheetId="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Z+xPJQQCoaOzu+wtu2GwLx7XIKgcaMfvHhaDJ/Cq+kM="/>
    </ext>
  </extLst>
</workbook>
</file>

<file path=xl/calcChain.xml><?xml version="1.0" encoding="utf-8"?>
<calcChain xmlns="http://schemas.openxmlformats.org/spreadsheetml/2006/main">
  <c r="C10" i="16" l="1"/>
  <c r="D10" i="16"/>
  <c r="E10" i="16"/>
  <c r="F10" i="16"/>
  <c r="G10" i="16"/>
  <c r="H10" i="16"/>
  <c r="I10" i="16"/>
  <c r="J10" i="16"/>
  <c r="K10" i="16"/>
  <c r="L10" i="16"/>
  <c r="M10" i="16"/>
  <c r="N10" i="16"/>
  <c r="C11" i="16"/>
  <c r="D11" i="16"/>
  <c r="E11" i="16"/>
  <c r="F11" i="16"/>
  <c r="G11" i="16"/>
  <c r="H11" i="16"/>
  <c r="I11" i="16"/>
  <c r="J11" i="16"/>
  <c r="K11" i="16"/>
  <c r="L11" i="16"/>
  <c r="M11" i="16"/>
  <c r="N11" i="16"/>
  <c r="N17" i="16"/>
  <c r="M17" i="16"/>
  <c r="L17" i="16"/>
  <c r="K17" i="16"/>
  <c r="J17" i="16"/>
  <c r="I17" i="16"/>
  <c r="H17" i="16"/>
  <c r="G17" i="16"/>
  <c r="F17" i="16"/>
  <c r="E17" i="16"/>
  <c r="D17" i="16"/>
  <c r="C17" i="16"/>
  <c r="N16" i="16"/>
  <c r="M16" i="16"/>
  <c r="L16" i="16"/>
  <c r="K16" i="16"/>
  <c r="J16" i="16"/>
  <c r="I16" i="16"/>
  <c r="H16" i="16"/>
  <c r="G16" i="16"/>
  <c r="F16" i="16"/>
  <c r="E16" i="16"/>
  <c r="D16" i="16"/>
  <c r="C16" i="16"/>
  <c r="N15" i="16"/>
  <c r="M15" i="16"/>
  <c r="L15" i="16"/>
  <c r="K15" i="16"/>
  <c r="J15" i="16"/>
  <c r="I15" i="16"/>
  <c r="H15" i="16"/>
  <c r="G15" i="16"/>
  <c r="F15" i="16"/>
  <c r="E15" i="16"/>
  <c r="D15" i="16"/>
  <c r="C15" i="16"/>
  <c r="N14" i="16"/>
  <c r="M14" i="16"/>
  <c r="L14" i="16"/>
  <c r="K14" i="16"/>
  <c r="J14" i="16"/>
  <c r="I14" i="16"/>
  <c r="H14" i="16"/>
  <c r="G14" i="16"/>
  <c r="F14" i="16"/>
  <c r="E14" i="16"/>
  <c r="D14" i="16"/>
  <c r="C14" i="16"/>
  <c r="N13" i="16"/>
  <c r="M13" i="16"/>
  <c r="L13" i="16"/>
  <c r="K13" i="16"/>
  <c r="J13" i="16"/>
  <c r="I13" i="16"/>
  <c r="H13" i="16"/>
  <c r="G13" i="16"/>
  <c r="F13" i="16"/>
  <c r="E13" i="16"/>
  <c r="D13" i="16"/>
  <c r="C13" i="16"/>
  <c r="N12" i="16"/>
  <c r="M12" i="16"/>
  <c r="L12" i="16"/>
  <c r="K12" i="16"/>
  <c r="J12" i="16"/>
  <c r="I12" i="16"/>
  <c r="H12" i="16"/>
  <c r="G12" i="16"/>
  <c r="F12" i="16"/>
  <c r="E12" i="16"/>
  <c r="D12" i="16"/>
  <c r="C12" i="16"/>
  <c r="I7" i="23"/>
  <c r="I7" i="22"/>
  <c r="I7" i="21"/>
  <c r="I7" i="9"/>
  <c r="D30" i="23"/>
  <c r="K9" i="23" s="1"/>
  <c r="K16" i="23"/>
  <c r="K14" i="23"/>
  <c r="I8" i="23"/>
  <c r="I6" i="23"/>
  <c r="D30" i="22"/>
  <c r="K9" i="22" s="1"/>
  <c r="K16" i="22"/>
  <c r="K14" i="22"/>
  <c r="I8" i="22"/>
  <c r="I6" i="22"/>
  <c r="D30" i="21"/>
  <c r="K9" i="21" s="1"/>
  <c r="K16" i="21"/>
  <c r="K14" i="21"/>
  <c r="I8" i="21"/>
  <c r="I6" i="21"/>
  <c r="K16" i="9"/>
  <c r="K14" i="9"/>
  <c r="I6" i="9"/>
  <c r="I5" i="9" s="1"/>
  <c r="I8" i="9"/>
  <c r="D30" i="9"/>
  <c r="K9" i="9" s="1"/>
  <c r="I5" i="21" l="1"/>
  <c r="I10" i="21" s="1"/>
  <c r="D19" i="16"/>
  <c r="K6" i="23"/>
  <c r="K8" i="23"/>
  <c r="K7" i="23"/>
  <c r="K6" i="22"/>
  <c r="K7" i="22"/>
  <c r="K8" i="22"/>
  <c r="K7" i="21"/>
  <c r="K6" i="21"/>
  <c r="I5" i="23"/>
  <c r="I10" i="23" s="1"/>
  <c r="I5" i="22"/>
  <c r="I10" i="22" s="1"/>
  <c r="K10" i="21"/>
  <c r="K13" i="21"/>
  <c r="K15" i="21" s="1"/>
  <c r="K8" i="21"/>
  <c r="K7" i="9"/>
  <c r="K6" i="9"/>
  <c r="K8" i="9"/>
  <c r="I10" i="9"/>
  <c r="K5" i="21" l="1"/>
  <c r="K10" i="9"/>
  <c r="K5" i="9"/>
  <c r="K5" i="23"/>
  <c r="K13" i="23"/>
  <c r="K15" i="23" s="1"/>
  <c r="K10" i="23"/>
  <c r="K13" i="22"/>
  <c r="K15" i="22" s="1"/>
  <c r="K5" i="22"/>
  <c r="K10" i="22"/>
  <c r="K13" i="9"/>
  <c r="K15" i="9" s="1"/>
</calcChain>
</file>

<file path=xl/sharedStrings.xml><?xml version="1.0" encoding="utf-8"?>
<sst xmlns="http://schemas.openxmlformats.org/spreadsheetml/2006/main" count="525" uniqueCount="281">
  <si>
    <t>Batch Type</t>
  </si>
  <si>
    <t>Batch Record Version</t>
  </si>
  <si>
    <t>Date</t>
  </si>
  <si>
    <t>Run by</t>
  </si>
  <si>
    <t>TD</t>
  </si>
  <si>
    <t>Machine</t>
  </si>
  <si>
    <t>Zoo QX200</t>
  </si>
  <si>
    <t>Batch ID</t>
  </si>
  <si>
    <t>Analysis Software Version</t>
  </si>
  <si>
    <t>Bio-Rad OneStep RT-ddPCR Advanced Kit for Probes</t>
  </si>
  <si>
    <t>xxxxxxx</t>
  </si>
  <si>
    <t>Quantification Type</t>
  </si>
  <si>
    <t>Batch Comment</t>
  </si>
  <si>
    <t>None</t>
  </si>
  <si>
    <t>FAM</t>
  </si>
  <si>
    <t>Target</t>
  </si>
  <si>
    <t>SARS-CoV-2</t>
  </si>
  <si>
    <t>RNA</t>
  </si>
  <si>
    <t>PCR Negative</t>
  </si>
  <si>
    <t>NA</t>
  </si>
  <si>
    <t>PCR Positive</t>
  </si>
  <si>
    <t>LV-SARS_N</t>
  </si>
  <si>
    <t>FAM/HEX</t>
  </si>
  <si>
    <t>HEX</t>
  </si>
  <si>
    <t>A</t>
  </si>
  <si>
    <t>B</t>
  </si>
  <si>
    <t>C</t>
  </si>
  <si>
    <t>D</t>
  </si>
  <si>
    <t>E</t>
  </si>
  <si>
    <t>F</t>
  </si>
  <si>
    <t>G</t>
  </si>
  <si>
    <t>H</t>
  </si>
  <si>
    <t>Sample in each reaction mix (µL):</t>
  </si>
  <si>
    <t>Step</t>
  </si>
  <si>
    <t>Temp (°C)</t>
  </si>
  <si>
    <t>Time (min)</t>
  </si>
  <si>
    <t>Cycles</t>
  </si>
  <si>
    <t>Machine IDs</t>
  </si>
  <si>
    <t>Targets</t>
  </si>
  <si>
    <t>Categories</t>
  </si>
  <si>
    <t>Target Macromolecules</t>
  </si>
  <si>
    <t>Control Templates</t>
  </si>
  <si>
    <t>Control Types</t>
  </si>
  <si>
    <t>Fluorophores</t>
  </si>
  <si>
    <t>Amplification Methods</t>
  </si>
  <si>
    <t>Assay Types</t>
  </si>
  <si>
    <t>Assays</t>
  </si>
  <si>
    <t>Hosts</t>
  </si>
  <si>
    <t>Zoo QX600</t>
  </si>
  <si>
    <t>Pathogen</t>
  </si>
  <si>
    <t>DNA</t>
  </si>
  <si>
    <t>Bio-Rad ddPCR Supermix for Probes</t>
  </si>
  <si>
    <t>Rare Mutation Detection</t>
  </si>
  <si>
    <t>Other</t>
  </si>
  <si>
    <t>Gene or Genomic Region</t>
  </si>
  <si>
    <t>Cy5</t>
  </si>
  <si>
    <t>Avian</t>
  </si>
  <si>
    <t>Internal Control</t>
  </si>
  <si>
    <t>Protein</t>
  </si>
  <si>
    <t>Cy5.5</t>
  </si>
  <si>
    <t>Swine</t>
  </si>
  <si>
    <t>ROX</t>
  </si>
  <si>
    <t>Multiple</t>
  </si>
  <si>
    <t>PMMoV</t>
  </si>
  <si>
    <t>ATTO 590</t>
  </si>
  <si>
    <t>Cy5/Cy5.5</t>
  </si>
  <si>
    <t>Human</t>
  </si>
  <si>
    <t>GTM GT-Digital Flu;SC2;RSV Wastewater Surveillance Panel v1.0 for the Bio-Rad QX600 (100735)</t>
  </si>
  <si>
    <t>GTM GT-Digital MeV WT Wastewater Surveillance Assay v1.0 for the QX200/QX600 (100840)</t>
  </si>
  <si>
    <t>Zoo Qiacuity 1</t>
  </si>
  <si>
    <t>-----------------------------</t>
  </si>
  <si>
    <t>GTM dPCR NVO;Mpox Assay Kit v1.0 for the QX200-BETA (100458)</t>
  </si>
  <si>
    <t>QIAcuity OneStep Advanced Probe Kit</t>
  </si>
  <si>
    <t>GTM dPCR NVO;Mpox Assay Kit v1.0 for the QX200-BETA (100458) plus GT-Digitial Mpox Clade I OPG210 ROX Add-On for the QX600 (100865)</t>
  </si>
  <si>
    <t>GTM dPCR Norovirus GI;GII Assay Kit for the Bio-Rad QX200 (100468)</t>
  </si>
  <si>
    <t>Bio-Rad Influenza A (M), B (NEP/NS1), Human (RNAse P) Triplex (dEXD84844642)</t>
  </si>
  <si>
    <t>Bio-Rad SARS-CoV-2 (HVdel69-70) (dMDS944624402)</t>
  </si>
  <si>
    <t>Bio-Rad SARS-CoV-2 (N1, N2) Duplex (dEXD15704188)</t>
  </si>
  <si>
    <t>Bio-Rad SARS-CoV-2 (N1, N2), BRSV (N) Triplex (dEXD41434415)</t>
  </si>
  <si>
    <t>Bio-Rad SARS-CoV-2 (N1, N2), Human (RNAse P) Triplex (dEXD28563542)</t>
  </si>
  <si>
    <t>Bio-Rad SARS-CoV-2 (N1) (dEXD54243734)</t>
  </si>
  <si>
    <t>Bio-Rad SARS-CoV-2 (N2) (dEXD28513507)</t>
  </si>
  <si>
    <t>Bio-Rad Variant SARS-CoV-2 Multiplex (dEXD15841942)</t>
  </si>
  <si>
    <t>GTM GT-Digital infA;infB Assay Kit v1.1 for the QIAcuity-BETA (100519-1.1)</t>
  </si>
  <si>
    <t>GTM GT-Digital MeV WT M Gene WW Surveillance Assay v1.0 for the Qiacuity-BETA (101035)</t>
  </si>
  <si>
    <t>SARS-CoV-2 (N1)</t>
  </si>
  <si>
    <t>SARS-CoV-2 (N2)</t>
  </si>
  <si>
    <t>SARS-CoV-2 (SC2)</t>
  </si>
  <si>
    <t>Influenza Virus A (M)</t>
  </si>
  <si>
    <t>Influenza Virus B (NEP/NS1)</t>
  </si>
  <si>
    <t>Human Immunodeficiency Virus 1</t>
  </si>
  <si>
    <t>Human Immunodeficiency Virus 2</t>
  </si>
  <si>
    <t>Non-Variola Orthopoxviruses</t>
  </si>
  <si>
    <t>Pepper Mild Mottle Virus</t>
  </si>
  <si>
    <t>Human (RNase P)</t>
  </si>
  <si>
    <t>Norovirus GI, Human (ORF1_2)</t>
  </si>
  <si>
    <t>Norovirus GII, Human (ORF1_2)</t>
  </si>
  <si>
    <t>Oligomer</t>
  </si>
  <si>
    <t>Influenza A</t>
  </si>
  <si>
    <t>Influenza B</t>
  </si>
  <si>
    <t>Assay Method</t>
  </si>
  <si>
    <t>Assay Method Lot ID</t>
  </si>
  <si>
    <t>Amplification Method</t>
  </si>
  <si>
    <t>Amplification Method Lot ID</t>
  </si>
  <si>
    <t>Mpox Virus Clade I (F3L)</t>
  </si>
  <si>
    <t>Mpox Virus Clade II (F3L)</t>
  </si>
  <si>
    <t>Measles Virus, Wild-Type (N)</t>
  </si>
  <si>
    <t>GTM GT-Digital MeV Cy5 WW SurvAssay for QIAcuity v1.0 (100831)</t>
  </si>
  <si>
    <t>----------------------------- DROPLET DIGITAL ASSAYS -----------------------------</t>
  </si>
  <si>
    <t>----------------------------- DIGITAL ASSAYS -----------------------------</t>
  </si>
  <si>
    <t>GTM GT-Digital Norovirus GI;Norovirus GII Assay Kit for the QIAcuity Digital PCR System v1.1 (100469-1.1)</t>
  </si>
  <si>
    <t>GTM GT-Digital NVO;Mpox Assay Kit for the QIAcuity Digital PCR System v1.1 - BETA (100459-1.1)</t>
  </si>
  <si>
    <t>GTM GT-Digital C. auris;C. jejuni Assay Kit for the QIAcuity Digital PCR System v1.1 - BETA (100529-1.1)</t>
  </si>
  <si>
    <t>GTM GT-Digital Flu;SC2;RSV WW Surveillance Panel for QIAcuity R001 (100740)</t>
  </si>
  <si>
    <t>GTM GT-Digital B. pertussis WW Surv Assay v1.0 for the QIAcuity R001 (101125)</t>
  </si>
  <si>
    <t>Measles Virus, Wild-Type (M)</t>
  </si>
  <si>
    <t>Analysis Software Versions</t>
  </si>
  <si>
    <t>Pertussis, Bordetella</t>
  </si>
  <si>
    <t>Negative Control Wells</t>
  </si>
  <si>
    <t>Positive Control Template</t>
  </si>
  <si>
    <t>Positive Control Wells</t>
  </si>
  <si>
    <t>Fluorophore</t>
  </si>
  <si>
    <t>A01</t>
  </si>
  <si>
    <t>A02</t>
  </si>
  <si>
    <t>A03</t>
  </si>
  <si>
    <t>A04</t>
  </si>
  <si>
    <t>A05</t>
  </si>
  <si>
    <t>A06</t>
  </si>
  <si>
    <t>A07</t>
  </si>
  <si>
    <t>A08</t>
  </si>
  <si>
    <t>A09</t>
  </si>
  <si>
    <t>A10</t>
  </si>
  <si>
    <t>A11</t>
  </si>
  <si>
    <t>A12</t>
  </si>
  <si>
    <t>B01</t>
  </si>
  <si>
    <t>B02</t>
  </si>
  <si>
    <t>B03</t>
  </si>
  <si>
    <t>B04</t>
  </si>
  <si>
    <t>B05</t>
  </si>
  <si>
    <t>B06</t>
  </si>
  <si>
    <t>B07</t>
  </si>
  <si>
    <t>B08</t>
  </si>
  <si>
    <t>B09</t>
  </si>
  <si>
    <t>B10</t>
  </si>
  <si>
    <t>B11</t>
  </si>
  <si>
    <t>B12</t>
  </si>
  <si>
    <t>C01</t>
  </si>
  <si>
    <t>C02</t>
  </si>
  <si>
    <t>C03</t>
  </si>
  <si>
    <t>C04</t>
  </si>
  <si>
    <t>C05</t>
  </si>
  <si>
    <t>C06</t>
  </si>
  <si>
    <t>C07</t>
  </si>
  <si>
    <t>C08</t>
  </si>
  <si>
    <t>C09</t>
  </si>
  <si>
    <t>C10</t>
  </si>
  <si>
    <t>C11</t>
  </si>
  <si>
    <t>C12</t>
  </si>
  <si>
    <t>Well</t>
  </si>
  <si>
    <t>D01</t>
  </si>
  <si>
    <t>D02</t>
  </si>
  <si>
    <t>D03</t>
  </si>
  <si>
    <t>D04</t>
  </si>
  <si>
    <t>D05</t>
  </si>
  <si>
    <t>D06</t>
  </si>
  <si>
    <t>D07</t>
  </si>
  <si>
    <t>D08</t>
  </si>
  <si>
    <t>D09</t>
  </si>
  <si>
    <t>D10</t>
  </si>
  <si>
    <t>D11</t>
  </si>
  <si>
    <t>D12</t>
  </si>
  <si>
    <t>E01</t>
  </si>
  <si>
    <t>E02</t>
  </si>
  <si>
    <t>E03</t>
  </si>
  <si>
    <t>E04</t>
  </si>
  <si>
    <t>E05</t>
  </si>
  <si>
    <t>E06</t>
  </si>
  <si>
    <t>E07</t>
  </si>
  <si>
    <t>E08</t>
  </si>
  <si>
    <t>E09</t>
  </si>
  <si>
    <t>E10</t>
  </si>
  <si>
    <t>E11</t>
  </si>
  <si>
    <t>E12</t>
  </si>
  <si>
    <t>F01</t>
  </si>
  <si>
    <t>F02</t>
  </si>
  <si>
    <t>F03</t>
  </si>
  <si>
    <t>F04</t>
  </si>
  <si>
    <t>F05</t>
  </si>
  <si>
    <t>F06</t>
  </si>
  <si>
    <t>F07</t>
  </si>
  <si>
    <t>F08</t>
  </si>
  <si>
    <t>F09</t>
  </si>
  <si>
    <t>F10</t>
  </si>
  <si>
    <t>F11</t>
  </si>
  <si>
    <t>F12</t>
  </si>
  <si>
    <t>G01</t>
  </si>
  <si>
    <t>G02</t>
  </si>
  <si>
    <t>G03</t>
  </si>
  <si>
    <t>G04</t>
  </si>
  <si>
    <t>G05</t>
  </si>
  <si>
    <t>G06</t>
  </si>
  <si>
    <t>G07</t>
  </si>
  <si>
    <t>G08</t>
  </si>
  <si>
    <t>G09</t>
  </si>
  <si>
    <t>G10</t>
  </si>
  <si>
    <t>G11</t>
  </si>
  <si>
    <t>G12</t>
  </si>
  <si>
    <t>H01</t>
  </si>
  <si>
    <t>H02</t>
  </si>
  <si>
    <t>H03</t>
  </si>
  <si>
    <t>H04</t>
  </si>
  <si>
    <t>H05</t>
  </si>
  <si>
    <t>H06</t>
  </si>
  <si>
    <t>H07</t>
  </si>
  <si>
    <t>H08</t>
  </si>
  <si>
    <t>H09</t>
  </si>
  <si>
    <t>H10</t>
  </si>
  <si>
    <t>H11</t>
  </si>
  <si>
    <t>H12</t>
  </si>
  <si>
    <t>Water (µL):</t>
  </si>
  <si>
    <t>Supermix (µL):</t>
  </si>
  <si>
    <t>Assay (20X) (µL):</t>
  </si>
  <si>
    <t>PCR Reaction Conditions</t>
  </si>
  <si>
    <t>Reverse Transcription (RT)</t>
  </si>
  <si>
    <t>Anneal &amp; Extend</t>
  </si>
  <si>
    <t>MASTERmix in each reaction mix (µL):</t>
  </si>
  <si>
    <t>S1</t>
  </si>
  <si>
    <t>S2</t>
  </si>
  <si>
    <t>S3</t>
  </si>
  <si>
    <t>S4</t>
  </si>
  <si>
    <t>S5</t>
  </si>
  <si>
    <t>RT (µL):</t>
  </si>
  <si>
    <t>Total Volume (µL):</t>
  </si>
  <si>
    <t>Enzyme Activation</t>
  </si>
  <si>
    <t>Denaturation</t>
  </si>
  <si>
    <t>&lt;- Do not change!</t>
  </si>
  <si>
    <t>These values are used to adjust the MASTERmix and reaction volumes so they can be pipetted effectively.</t>
  </si>
  <si>
    <t>Transfer Adjustment:</t>
  </si>
  <si>
    <t>MASTERmix Adjustment:</t>
  </si>
  <si>
    <t>Instructions</t>
  </si>
  <si>
    <t>Respiratory Syncytial Virus, Bovine</t>
  </si>
  <si>
    <t>Respiratory Syncytial Virus, Human (G)</t>
  </si>
  <si>
    <t>10 sec</t>
  </si>
  <si>
    <t>Quantification</t>
  </si>
  <si>
    <t>JAM_Q000</t>
  </si>
  <si>
    <t>Reaction Vol uL</t>
  </si>
  <si>
    <t>Assay Comment</t>
  </si>
  <si>
    <t>Sample Input Vol uL</t>
  </si>
  <si>
    <t>Compatible molecular assays can be run on the same quantification (Q) plate, as long as the PCR cycling conditions are the same. This is accomplished by running each assay in a separate block of wells.</t>
  </si>
  <si>
    <t>This value auto-updates as you add sample and control IDs to the Plate Map above. It ensures a correct MASTERmix volume.</t>
  </si>
  <si>
    <t>&lt;- The Assay Plate is also known as the Partition Plate (QIAcuity) or ddPCR plate (QX System).</t>
  </si>
  <si>
    <t>&lt;- This is the total volume of each reaction in the PrePlate. There is a little extra volume to make sure you can pipette effectively in step 6.</t>
  </si>
  <si>
    <t>Real-Time qPCR (indirect)</t>
  </si>
  <si>
    <t>Digital PCR (dPCR)</t>
  </si>
  <si>
    <t>Droplet Digital PCR (ddPCR)</t>
  </si>
  <si>
    <t>PC</t>
  </si>
  <si>
    <t>NC</t>
  </si>
  <si>
    <t>&lt;- Use this volume to choose the necessary tube size.</t>
  </si>
  <si>
    <t>Vol (uL)</t>
  </si>
  <si>
    <t>Transfer vol for each well (µL):</t>
  </si>
  <si>
    <t>Total vol for each reaction mix (µL):</t>
  </si>
  <si>
    <t>Reaction mix ingredient</t>
  </si>
  <si>
    <t>MASTERmix ingredient</t>
  </si>
  <si>
    <t>TOTAL MASTERmix (uL)</t>
  </si>
  <si>
    <t>MASTERmix for single reaction (uL)</t>
  </si>
  <si>
    <t>DTT (300 mM) (uL):</t>
  </si>
  <si>
    <r>
      <t xml:space="preserve">The values in this sheet will automatically update as you complete the ASSAY sheets. </t>
    </r>
    <r>
      <rPr>
        <b/>
        <u/>
        <sz val="22"/>
        <color theme="1"/>
        <rFont val="Arial"/>
        <family val="2"/>
      </rPr>
      <t>This sheet is provided only as a convenience</t>
    </r>
    <r>
      <rPr>
        <sz val="22"/>
        <color theme="1"/>
        <rFont val="Arial"/>
        <family val="2"/>
      </rPr>
      <t>, particularly for final plate validation and run setup. It is not used in the data analysis workflow.</t>
    </r>
  </si>
  <si>
    <t>Just like the Plate Map above, this value auto-updates as you add sample and control IDs to the ASSAY sheets.</t>
  </si>
  <si>
    <t>Full Plate Map</t>
  </si>
  <si>
    <t>PLEASE DO NOT ENTER OR CHANGE VALUES IN THE PLATE MAP BELOW.</t>
  </si>
  <si>
    <t>For Review Only</t>
  </si>
  <si>
    <t>Confirm or update the Metadata in the panel to the left and the PCR Reaction Conditions in the panel above. Then complete each ASSAY sheet in this workbook. If you are not running an assay, simply leave the plate map on that sheet EMPTY.</t>
  </si>
  <si>
    <r>
      <t xml:space="preserve">1. (a) Enter the Assay metadata below. </t>
    </r>
    <r>
      <rPr>
        <sz val="18"/>
        <rFont val="Arial"/>
        <family val="2"/>
        <scheme val="minor"/>
      </rPr>
      <t xml:space="preserve">This can affect the MASTERmix formulation so it should be done before first. </t>
    </r>
    <r>
      <rPr>
        <b/>
        <sz val="18"/>
        <rFont val="Arial"/>
        <family val="2"/>
        <scheme val="minor"/>
      </rPr>
      <t>(b) Confirm the fluorophores &amp; targets</t>
    </r>
    <r>
      <rPr>
        <sz val="18"/>
        <rFont val="Arial"/>
        <family val="2"/>
        <scheme val="minor"/>
      </rPr>
      <t xml:space="preserve"> match the selected Assay. </t>
    </r>
    <r>
      <rPr>
        <b/>
        <sz val="18"/>
        <rFont val="Arial"/>
        <family val="2"/>
        <scheme val="minor"/>
      </rPr>
      <t>(c) Enter the control wells</t>
    </r>
    <r>
      <rPr>
        <sz val="18"/>
        <rFont val="Arial"/>
        <family val="2"/>
        <scheme val="minor"/>
      </rPr>
      <t>, separating multiple control wells with a comma as necessary.</t>
    </r>
  </si>
  <si>
    <r>
      <t xml:space="preserve">2. Enter the sample and control IDs in the Plate Map below. </t>
    </r>
    <r>
      <rPr>
        <sz val="18"/>
        <rFont val="Arial"/>
        <family val="2"/>
        <scheme val="minor"/>
      </rPr>
      <t xml:space="preserve">This determines the total reactions needed, and the volumes of each reagent to add, so it must be done </t>
    </r>
    <r>
      <rPr>
        <b/>
        <sz val="18"/>
        <rFont val="Arial"/>
        <family val="2"/>
        <scheme val="minor"/>
      </rPr>
      <t>before preparing the MASTERmix</t>
    </r>
    <r>
      <rPr>
        <sz val="18"/>
        <rFont val="Arial"/>
        <family val="2"/>
        <scheme val="minor"/>
      </rPr>
      <t>.</t>
    </r>
    <r>
      <rPr>
        <b/>
        <sz val="18"/>
        <rFont val="Arial"/>
        <family val="2"/>
        <scheme val="minor"/>
      </rPr>
      <t xml:space="preserve"> IMPORTANT: Do not change any values in these two panels manually! </t>
    </r>
    <r>
      <rPr>
        <sz val="18"/>
        <rFont val="Arial"/>
        <family val="2"/>
        <scheme val="minor"/>
      </rPr>
      <t>They are automatically calculated for you from the metadata and Plate Map data.</t>
    </r>
  </si>
  <si>
    <r>
      <rPr>
        <b/>
        <sz val="18"/>
        <rFont val="Arial"/>
        <family val="2"/>
        <scheme val="minor"/>
      </rPr>
      <t>3. Use the values in the TOTAL MASTERmix column of this panel to set up your MASTERmix</t>
    </r>
    <r>
      <rPr>
        <sz val="18"/>
        <rFont val="Arial"/>
        <family val="2"/>
        <scheme val="minor"/>
      </rPr>
      <t xml:space="preserve"> for all assay reactions (including positive and negative controls). Make sure all solutions are mixed thoroughly! The values in this panel update automatically as you add reactions to the Plate Map. </t>
    </r>
  </si>
  <si>
    <r>
      <t xml:space="preserve">4. Add this volume of MASTERmix (as prepared above) </t>
    </r>
    <r>
      <rPr>
        <sz val="16"/>
        <rFont val="Arial"/>
        <family val="2"/>
        <scheme val="minor"/>
      </rPr>
      <t>to each well of the PrePlate as laid out in the Plate Map below.</t>
    </r>
  </si>
  <si>
    <r>
      <t xml:space="preserve">5. Add this volume of sample (or control, or water for NTC) </t>
    </r>
    <r>
      <rPr>
        <sz val="16"/>
        <rFont val="Arial"/>
        <family val="2"/>
        <scheme val="minor"/>
      </rPr>
      <t>to each well of the PrePlate as laid out in the Plate Map below.</t>
    </r>
  </si>
  <si>
    <r>
      <t>6. Transfer this vol of reaction to each well of the Assay Plate</t>
    </r>
    <r>
      <rPr>
        <sz val="16"/>
        <rFont val="Arial"/>
        <family val="2"/>
        <scheme val="minor"/>
      </rPr>
      <t xml:space="preserve"> as laid out in the Plate Map below.</t>
    </r>
  </si>
  <si>
    <t>Samples in Block</t>
  </si>
  <si>
    <t>Samples on Plate</t>
  </si>
  <si>
    <t>BNK-001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</si>
</sst>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8" x14ac:knownFonts="1">
    <font>
      <sz val="12"/>
      <color theme="1"/>
      <name val="Arial"/>
      <scheme val="minor"/>
    </font>
    <font>
      <sz val="12"/>
      <color theme="1"/>
      <name val="Arial"/>
      <family val="2"/>
      <scheme val="minor"/>
    </font>
    <font>
      <sz val="16"/>
      <color theme="1"/>
      <name val="Arial"/>
      <family val="2"/>
    </font>
    <font>
      <sz val="12"/>
      <color theme="1"/>
      <name val="Arial"/>
      <family val="2"/>
    </font>
    <font>
      <b/>
      <sz val="18"/>
      <color theme="1"/>
      <name val="Calibri"/>
      <family val="2"/>
    </font>
    <font>
      <sz val="12"/>
      <name val="Arial"/>
      <family val="2"/>
    </font>
    <font>
      <b/>
      <sz val="16"/>
      <color theme="1"/>
      <name val="Calibri"/>
      <family val="2"/>
    </font>
    <font>
      <sz val="14"/>
      <color theme="1"/>
      <name val="Arial"/>
      <family val="2"/>
    </font>
    <font>
      <b/>
      <sz val="12"/>
      <color theme="1"/>
      <name val="Arial"/>
      <family val="2"/>
    </font>
    <font>
      <sz val="12"/>
      <color rgb="FFFF0000"/>
      <name val="Arial"/>
      <family val="2"/>
    </font>
    <font>
      <b/>
      <sz val="14"/>
      <color theme="1"/>
      <name val="Arial"/>
      <family val="2"/>
      <scheme val="minor"/>
    </font>
    <font>
      <sz val="14"/>
      <color theme="1"/>
      <name val="Arial"/>
      <family val="2"/>
      <scheme val="minor"/>
    </font>
    <font>
      <sz val="14"/>
      <color theme="1"/>
      <name val="Arial (Body)"/>
    </font>
    <font>
      <b/>
      <sz val="16"/>
      <color theme="1"/>
      <name val="Arial"/>
      <family val="2"/>
      <scheme val="minor"/>
    </font>
    <font>
      <b/>
      <sz val="16"/>
      <color theme="0"/>
      <name val="Arial"/>
      <family val="2"/>
      <scheme val="minor"/>
    </font>
    <font>
      <sz val="16"/>
      <color theme="1"/>
      <name val="Arial"/>
      <family val="2"/>
      <scheme val="minor"/>
    </font>
    <font>
      <sz val="16"/>
      <color theme="1"/>
      <name val="Arial (Body)"/>
    </font>
    <font>
      <sz val="16"/>
      <name val="Arial"/>
      <family val="2"/>
    </font>
    <font>
      <i/>
      <sz val="16"/>
      <color theme="1"/>
      <name val="Arial"/>
      <family val="2"/>
      <scheme val="minor"/>
    </font>
    <font>
      <sz val="16"/>
      <color theme="0"/>
      <name val="Arial"/>
      <family val="2"/>
      <scheme val="minor"/>
    </font>
    <font>
      <b/>
      <sz val="18"/>
      <color theme="1"/>
      <name val="Arial"/>
      <family val="2"/>
      <scheme val="minor"/>
    </font>
    <font>
      <sz val="20"/>
      <color theme="1"/>
      <name val="Arial"/>
      <family val="2"/>
    </font>
    <font>
      <b/>
      <sz val="20"/>
      <color theme="1"/>
      <name val="Arial"/>
      <family val="2"/>
    </font>
    <font>
      <b/>
      <sz val="24"/>
      <color theme="1"/>
      <name val="Arial"/>
      <family val="2"/>
    </font>
    <font>
      <sz val="24"/>
      <color theme="1"/>
      <name val="Arial"/>
      <family val="2"/>
    </font>
    <font>
      <i/>
      <sz val="14"/>
      <color theme="1" tint="0.34998626667073579"/>
      <name val="Arial"/>
      <family val="2"/>
      <scheme val="minor"/>
    </font>
    <font>
      <sz val="36"/>
      <color theme="1"/>
      <name val="Arial"/>
      <family val="2"/>
    </font>
    <font>
      <i/>
      <sz val="16"/>
      <color theme="1"/>
      <name val="Arial"/>
      <family val="2"/>
    </font>
    <font>
      <sz val="15"/>
      <color theme="1"/>
      <name val="Arial"/>
      <family val="2"/>
      <scheme val="minor"/>
    </font>
    <font>
      <i/>
      <sz val="16"/>
      <color theme="1"/>
      <name val="Calibri"/>
      <family val="2"/>
    </font>
    <font>
      <sz val="18"/>
      <color theme="1"/>
      <name val="Arial"/>
      <family val="2"/>
    </font>
    <font>
      <b/>
      <sz val="18"/>
      <color theme="1"/>
      <name val="Arial"/>
      <family val="2"/>
    </font>
    <font>
      <b/>
      <sz val="24"/>
      <color theme="0"/>
      <name val="Arial"/>
      <family val="2"/>
      <scheme val="minor"/>
    </font>
    <font>
      <sz val="22"/>
      <color theme="1"/>
      <name val="Arial"/>
      <family val="2"/>
    </font>
    <font>
      <b/>
      <sz val="26"/>
      <color theme="1"/>
      <name val="Arial"/>
      <family val="2"/>
    </font>
    <font>
      <b/>
      <u/>
      <sz val="22"/>
      <color theme="1"/>
      <name val="Arial"/>
      <family val="2"/>
    </font>
    <font>
      <b/>
      <sz val="24"/>
      <name val="Arial"/>
      <family val="2"/>
    </font>
    <font>
      <i/>
      <sz val="16"/>
      <color theme="1"/>
      <name val="Arial (Body)"/>
    </font>
    <font>
      <b/>
      <sz val="18"/>
      <color rgb="FF000000"/>
      <name val="Calibri"/>
      <family val="2"/>
    </font>
    <font>
      <sz val="36"/>
      <color theme="1"/>
      <name val="Arial"/>
      <family val="2"/>
      <scheme val="minor"/>
    </font>
    <font>
      <i/>
      <sz val="26"/>
      <color theme="1"/>
      <name val="Arial"/>
      <family val="2"/>
      <scheme val="minor"/>
    </font>
    <font>
      <b/>
      <sz val="18"/>
      <color theme="0"/>
      <name val="Arial"/>
      <family val="2"/>
      <scheme val="minor"/>
    </font>
    <font>
      <b/>
      <sz val="18"/>
      <name val="Arial"/>
      <family val="2"/>
      <scheme val="minor"/>
    </font>
    <font>
      <sz val="18"/>
      <name val="Arial"/>
      <family val="2"/>
      <scheme val="minor"/>
    </font>
    <font>
      <i/>
      <sz val="18"/>
      <name val="Arial"/>
      <family val="2"/>
      <scheme val="minor"/>
    </font>
    <font>
      <b/>
      <sz val="16"/>
      <name val="Arial"/>
      <family val="2"/>
      <scheme val="minor"/>
    </font>
    <font>
      <sz val="16"/>
      <name val="Arial"/>
      <family val="2"/>
      <scheme val="minor"/>
    </font>
    <font>
      <i/>
      <sz val="14"/>
      <name val="Arial"/>
      <family val="2"/>
      <scheme val="minor"/>
    </font>
  </fonts>
  <fills count="30">
    <fill>
      <patternFill patternType="none"/>
    </fill>
    <fill>
      <patternFill patternType="gray125"/>
    </fill>
    <fill>
      <patternFill patternType="solid">
        <fgColor rgb="FFF2F2F2"/>
        <bgColor rgb="FFF2F2F2"/>
      </patternFill>
    </fill>
    <fill>
      <patternFill patternType="solid">
        <fgColor rgb="FFD8D8D8"/>
        <bgColor rgb="FFD8D8D8"/>
      </patternFill>
    </fill>
    <fill>
      <patternFill patternType="solid">
        <fgColor rgb="FFFFFF00"/>
        <bgColor rgb="FFFFFF00"/>
      </patternFill>
    </fill>
    <fill>
      <patternFill patternType="solid">
        <fgColor rgb="FFFFE598"/>
        <bgColor rgb="FFFFE598"/>
      </patternFill>
    </fill>
    <fill>
      <patternFill patternType="solid">
        <fgColor theme="8" tint="0.79998168889431442"/>
        <bgColor indexed="64"/>
      </patternFill>
    </fill>
    <fill>
      <patternFill patternType="solid">
        <fgColor rgb="FF92D050"/>
        <bgColor indexed="64"/>
      </patternFill>
    </fill>
    <fill>
      <patternFill patternType="solid">
        <fgColor theme="8" tint="0.59999389629810485"/>
        <bgColor indexed="64"/>
      </patternFill>
    </fill>
    <fill>
      <patternFill patternType="solid">
        <fgColor rgb="FFFFFF00"/>
        <bgColor indexed="64"/>
      </patternFill>
    </fill>
    <fill>
      <patternFill patternType="solid">
        <fgColor theme="5" tint="0.79998168889431442"/>
        <bgColor indexed="64"/>
      </patternFill>
    </fill>
    <fill>
      <patternFill patternType="solid">
        <fgColor theme="9" tint="0.79998168889431442"/>
        <bgColor rgb="FFDEEAF6"/>
      </patternFill>
    </fill>
    <fill>
      <patternFill patternType="solid">
        <fgColor theme="9" tint="-0.499984740745262"/>
        <bgColor rgb="FF00B0F0"/>
      </patternFill>
    </fill>
    <fill>
      <patternFill patternType="solid">
        <fgColor theme="7" tint="0.79998168889431442"/>
        <bgColor indexed="64"/>
      </patternFill>
    </fill>
    <fill>
      <patternFill patternType="solid">
        <fgColor theme="7"/>
        <bgColor indexed="64"/>
      </patternFill>
    </fill>
    <fill>
      <patternFill patternType="solid">
        <fgColor theme="9" tint="0.79998168889431442"/>
        <bgColor rgb="FFD8D8D8"/>
      </patternFill>
    </fill>
    <fill>
      <patternFill patternType="solid">
        <fgColor theme="8" tint="0.79998168889431442"/>
        <bgColor rgb="FFD8D8D8"/>
      </patternFill>
    </fill>
    <fill>
      <patternFill patternType="solid">
        <fgColor theme="5" tint="0.59999389629810485"/>
        <bgColor indexed="64"/>
      </patternFill>
    </fill>
    <fill>
      <patternFill patternType="solid">
        <fgColor theme="9" tint="0.79998168889431442"/>
        <bgColor indexed="64"/>
      </patternFill>
    </fill>
    <fill>
      <patternFill patternType="solid">
        <fgColor theme="5" tint="-0.499984740745262"/>
        <bgColor indexed="64"/>
      </patternFill>
    </fill>
    <fill>
      <patternFill patternType="solid">
        <fgColor theme="5" tint="-0.499984740745262"/>
        <bgColor rgb="FFDEEAF6"/>
      </patternFill>
    </fill>
    <fill>
      <patternFill patternType="solid">
        <fgColor theme="5" tint="0.79998168889431442"/>
        <bgColor rgb="FFDEEAF6"/>
      </patternFill>
    </fill>
    <fill>
      <patternFill patternType="solid">
        <fgColor rgb="FF7030A0"/>
        <bgColor indexed="64"/>
      </patternFill>
    </fill>
    <fill>
      <patternFill patternType="solid">
        <fgColor rgb="FFDED8FF"/>
        <bgColor indexed="64"/>
      </patternFill>
    </fill>
    <fill>
      <patternFill patternType="solid">
        <fgColor theme="0" tint="-4.9989318521683403E-2"/>
        <bgColor indexed="64"/>
      </patternFill>
    </fill>
    <fill>
      <patternFill patternType="solid">
        <fgColor rgb="FFE6EB00"/>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rgb="FFF2F2F2"/>
        <bgColor rgb="FF000000"/>
      </patternFill>
    </fill>
    <fill>
      <patternFill patternType="solid">
        <fgColor rgb="FFD9D9D9"/>
        <bgColor rgb="FF000000"/>
      </patternFill>
    </fill>
  </fills>
  <borders count="38">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rgb="FF000000"/>
      </left>
      <right style="medium">
        <color indexed="64"/>
      </right>
      <top style="thin">
        <color rgb="FF000000"/>
      </top>
      <bottom style="thin">
        <color rgb="FF000000"/>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medium">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242">
    <xf numFmtId="0" fontId="0" fillId="0" borderId="0" xfId="0"/>
    <xf numFmtId="0" fontId="2" fillId="0" borderId="0" xfId="0" applyFont="1" applyAlignment="1">
      <alignment horizontal="left" vertical="center"/>
    </xf>
    <xf numFmtId="0" fontId="2" fillId="0" borderId="0" xfId="0" applyFont="1"/>
    <xf numFmtId="0" fontId="3" fillId="0" borderId="0" xfId="0" applyFont="1"/>
    <xf numFmtId="0" fontId="4" fillId="2" borderId="2" xfId="0" applyFont="1" applyFill="1" applyBorder="1" applyAlignment="1">
      <alignment horizontal="center" vertical="center"/>
    </xf>
    <xf numFmtId="0" fontId="4" fillId="3" borderId="2" xfId="0" applyFont="1" applyFill="1" applyBorder="1" applyAlignment="1">
      <alignment horizontal="center" vertical="center"/>
    </xf>
    <xf numFmtId="0" fontId="8" fillId="4" borderId="1" xfId="0" applyFont="1" applyFill="1" applyBorder="1"/>
    <xf numFmtId="0" fontId="3" fillId="0" borderId="0" xfId="0" quotePrefix="1" applyFont="1"/>
    <xf numFmtId="0" fontId="9" fillId="0" borderId="0" xfId="0" applyFont="1"/>
    <xf numFmtId="0" fontId="8" fillId="4" borderId="3" xfId="0" applyFont="1" applyFill="1" applyBorder="1"/>
    <xf numFmtId="0" fontId="3" fillId="6" borderId="0" xfId="0" applyFont="1" applyFill="1"/>
    <xf numFmtId="0" fontId="8" fillId="4" borderId="3" xfId="0" applyFont="1" applyFill="1" applyBorder="1" applyAlignment="1">
      <alignment horizontal="left" vertical="center"/>
    </xf>
    <xf numFmtId="0" fontId="3" fillId="0" borderId="0" xfId="0" quotePrefix="1" applyFont="1" applyAlignment="1">
      <alignment horizontal="left" vertical="center"/>
    </xf>
    <xf numFmtId="0" fontId="3" fillId="0" borderId="0" xfId="0" applyFont="1" applyAlignment="1">
      <alignment horizontal="left" vertical="center"/>
    </xf>
    <xf numFmtId="0" fontId="0" fillId="0" borderId="0" xfId="0" applyAlignment="1">
      <alignment horizontal="left" vertical="center"/>
    </xf>
    <xf numFmtId="164" fontId="3" fillId="0" borderId="0" xfId="0" quotePrefix="1" applyNumberFormat="1" applyFont="1" applyAlignment="1">
      <alignment horizontal="left" vertical="center"/>
    </xf>
    <xf numFmtId="0" fontId="5" fillId="0" borderId="0" xfId="0" applyFont="1"/>
    <xf numFmtId="0" fontId="3" fillId="7" borderId="0" xfId="0" quotePrefix="1" applyFont="1" applyFill="1"/>
    <xf numFmtId="0" fontId="3" fillId="8" borderId="0" xfId="0" quotePrefix="1" applyFont="1" applyFill="1"/>
    <xf numFmtId="0" fontId="11" fillId="0" borderId="0" xfId="0" applyFont="1" applyAlignment="1">
      <alignment horizontal="center" vertical="center"/>
    </xf>
    <xf numFmtId="0" fontId="12" fillId="0" borderId="0" xfId="0" applyFont="1" applyAlignment="1">
      <alignment horizontal="center"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12" fillId="0" borderId="8" xfId="0" applyFont="1" applyBorder="1" applyAlignment="1">
      <alignment horizontal="center" vertical="center"/>
    </xf>
    <xf numFmtId="0" fontId="12" fillId="0" borderId="10" xfId="0" applyFont="1" applyBorder="1" applyAlignment="1">
      <alignment horizontal="center" vertical="center"/>
    </xf>
    <xf numFmtId="0" fontId="7" fillId="0" borderId="4" xfId="0" applyFont="1" applyBorder="1" applyAlignment="1">
      <alignment horizontal="center" vertical="center"/>
    </xf>
    <xf numFmtId="0" fontId="12" fillId="0" borderId="11" xfId="0" applyFont="1" applyBorder="1" applyAlignment="1">
      <alignment horizontal="center" vertical="center"/>
    </xf>
    <xf numFmtId="0" fontId="10" fillId="9" borderId="12" xfId="0" applyFont="1" applyFill="1" applyBorder="1" applyAlignment="1">
      <alignment horizontal="center" vertical="center" wrapText="1"/>
    </xf>
    <xf numFmtId="0" fontId="10" fillId="9" borderId="13" xfId="0" applyFont="1" applyFill="1" applyBorder="1" applyAlignment="1">
      <alignment horizontal="center" vertical="center"/>
    </xf>
    <xf numFmtId="0" fontId="10" fillId="10" borderId="13" xfId="0" applyFont="1" applyFill="1" applyBorder="1" applyAlignment="1">
      <alignment horizontal="center" vertical="center" wrapText="1"/>
    </xf>
    <xf numFmtId="0" fontId="10" fillId="6" borderId="13" xfId="0" applyFont="1" applyFill="1" applyBorder="1" applyAlignment="1">
      <alignment horizontal="center" vertical="center" wrapText="1"/>
    </xf>
    <xf numFmtId="0" fontId="10" fillId="6" borderId="14" xfId="0" applyFont="1" applyFill="1" applyBorder="1" applyAlignment="1">
      <alignment horizontal="center" vertical="center" wrapText="1"/>
    </xf>
    <xf numFmtId="0" fontId="12" fillId="0" borderId="4" xfId="0" applyFont="1" applyBorder="1" applyAlignment="1">
      <alignment horizontal="center" vertical="center" wrapText="1"/>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3" borderId="15" xfId="0" applyFont="1" applyFill="1" applyBorder="1" applyAlignment="1">
      <alignment horizontal="center" vertical="center"/>
    </xf>
    <xf numFmtId="0" fontId="4" fillId="2" borderId="15" xfId="0" applyFont="1" applyFill="1" applyBorder="1" applyAlignment="1">
      <alignment horizontal="center" vertical="center"/>
    </xf>
    <xf numFmtId="0" fontId="4" fillId="0" borderId="10" xfId="0" applyFont="1" applyBorder="1" applyAlignment="1">
      <alignment horizontal="center" vertical="center"/>
    </xf>
    <xf numFmtId="0" fontId="4" fillId="3" borderId="16" xfId="0" applyFont="1" applyFill="1" applyBorder="1" applyAlignment="1">
      <alignment horizontal="center" vertical="center"/>
    </xf>
    <xf numFmtId="0" fontId="4" fillId="2" borderId="16" xfId="0" applyFont="1" applyFill="1" applyBorder="1" applyAlignment="1">
      <alignment horizontal="center" vertical="center"/>
    </xf>
    <xf numFmtId="0" fontId="4" fillId="2" borderId="17" xfId="0" applyFont="1" applyFill="1" applyBorder="1" applyAlignment="1">
      <alignment horizontal="center" vertical="center"/>
    </xf>
    <xf numFmtId="0" fontId="15" fillId="0" borderId="0" xfId="0" applyFont="1" applyAlignment="1">
      <alignment horizontal="center" vertical="center"/>
    </xf>
    <xf numFmtId="0" fontId="16" fillId="0" borderId="0" xfId="0" applyFont="1" applyAlignment="1">
      <alignment horizontal="center" vertical="center"/>
    </xf>
    <xf numFmtId="0" fontId="15" fillId="0" borderId="0" xfId="0" applyFont="1"/>
    <xf numFmtId="0" fontId="14" fillId="12" borderId="7" xfId="0" applyFont="1" applyFill="1" applyBorder="1" applyAlignment="1">
      <alignment horizontal="center" vertical="center"/>
    </xf>
    <xf numFmtId="0" fontId="13" fillId="5" borderId="9" xfId="0" applyFont="1" applyFill="1" applyBorder="1" applyAlignment="1">
      <alignment horizontal="center" vertical="center"/>
    </xf>
    <xf numFmtId="0" fontId="13" fillId="0" borderId="0" xfId="0" applyFont="1" applyAlignment="1">
      <alignment horizontal="center" vertical="center"/>
    </xf>
    <xf numFmtId="0" fontId="15" fillId="0" borderId="0" xfId="0" applyFont="1" applyAlignment="1">
      <alignment horizontal="left" vertical="center"/>
    </xf>
    <xf numFmtId="0" fontId="18" fillId="0" borderId="0" xfId="0" applyFont="1" applyAlignment="1">
      <alignment horizontal="left" vertical="center"/>
    </xf>
    <xf numFmtId="0" fontId="15" fillId="0" borderId="3" xfId="0" applyFont="1" applyBorder="1" applyAlignment="1">
      <alignment horizontal="left" vertical="center"/>
    </xf>
    <xf numFmtId="0" fontId="15" fillId="0" borderId="3" xfId="0" applyFont="1" applyBorder="1"/>
    <xf numFmtId="0" fontId="15" fillId="0" borderId="0" xfId="0" applyFont="1" applyAlignment="1">
      <alignment horizontal="right" vertical="center"/>
    </xf>
    <xf numFmtId="0" fontId="18" fillId="2" borderId="5" xfId="0" applyFont="1" applyFill="1" applyBorder="1" applyAlignment="1">
      <alignment horizontal="left" vertical="center"/>
    </xf>
    <xf numFmtId="0" fontId="18" fillId="2" borderId="7" xfId="0" applyFont="1" applyFill="1" applyBorder="1" applyAlignment="1">
      <alignment vertical="center"/>
    </xf>
    <xf numFmtId="0" fontId="18" fillId="2" borderId="18" xfId="0" applyFont="1" applyFill="1" applyBorder="1" applyAlignment="1">
      <alignment horizontal="left" vertical="center"/>
    </xf>
    <xf numFmtId="0" fontId="18" fillId="2" borderId="19" xfId="0" applyFont="1" applyFill="1" applyBorder="1" applyAlignment="1">
      <alignment horizontal="left" vertical="center"/>
    </xf>
    <xf numFmtId="0" fontId="1" fillId="0" borderId="0" xfId="0" applyFont="1"/>
    <xf numFmtId="0" fontId="13" fillId="5" borderId="3" xfId="0" applyFont="1" applyFill="1" applyBorder="1" applyAlignment="1">
      <alignment horizontal="center" vertical="center"/>
    </xf>
    <xf numFmtId="0" fontId="6" fillId="14" borderId="7" xfId="0" applyFont="1" applyFill="1" applyBorder="1" applyAlignment="1">
      <alignment horizontal="center" vertical="center"/>
    </xf>
    <xf numFmtId="0" fontId="15" fillId="6" borderId="8" xfId="0" applyFont="1" applyFill="1" applyBorder="1" applyAlignment="1">
      <alignment horizontal="left" vertical="center"/>
    </xf>
    <xf numFmtId="0" fontId="15" fillId="6" borderId="9" xfId="0" applyFont="1" applyFill="1" applyBorder="1" applyAlignment="1">
      <alignment horizontal="left" vertical="center"/>
    </xf>
    <xf numFmtId="0" fontId="28" fillId="13" borderId="5" xfId="0" applyFont="1" applyFill="1" applyBorder="1" applyAlignment="1">
      <alignment horizontal="right" vertical="center"/>
    </xf>
    <xf numFmtId="0" fontId="21" fillId="13" borderId="6" xfId="0" applyFont="1" applyFill="1" applyBorder="1" applyAlignment="1">
      <alignment horizontal="center" vertical="center"/>
    </xf>
    <xf numFmtId="0" fontId="28" fillId="13" borderId="10" xfId="0" applyFont="1" applyFill="1" applyBorder="1" applyAlignment="1">
      <alignment horizontal="right" vertical="center"/>
    </xf>
    <xf numFmtId="0" fontId="21" fillId="13" borderId="4" xfId="0" applyFont="1" applyFill="1" applyBorder="1" applyAlignment="1">
      <alignment horizontal="center" vertical="center"/>
    </xf>
    <xf numFmtId="0" fontId="0" fillId="0" borderId="3" xfId="0" applyBorder="1"/>
    <xf numFmtId="0" fontId="18" fillId="5" borderId="8" xfId="0" applyFont="1" applyFill="1" applyBorder="1" applyAlignment="1">
      <alignment horizontal="center" vertical="center"/>
    </xf>
    <xf numFmtId="0" fontId="18" fillId="5" borderId="10" xfId="0" applyFont="1" applyFill="1" applyBorder="1" applyAlignment="1">
      <alignment horizontal="center" vertical="center"/>
    </xf>
    <xf numFmtId="0" fontId="13" fillId="11" borderId="9" xfId="0" applyFont="1" applyFill="1" applyBorder="1" applyAlignment="1">
      <alignment horizontal="center" vertical="center"/>
    </xf>
    <xf numFmtId="0" fontId="12" fillId="0" borderId="3" xfId="0" applyFont="1" applyBorder="1" applyAlignment="1">
      <alignment horizontal="center" vertical="center"/>
    </xf>
    <xf numFmtId="0" fontId="13" fillId="11" borderId="11" xfId="0" applyFont="1" applyFill="1" applyBorder="1" applyAlignment="1">
      <alignment horizontal="center" vertical="center"/>
    </xf>
    <xf numFmtId="0" fontId="2" fillId="0" borderId="3" xfId="0" applyFont="1" applyBorder="1" applyAlignment="1">
      <alignment horizontal="left" vertical="center"/>
    </xf>
    <xf numFmtId="0" fontId="15" fillId="15" borderId="8" xfId="0" applyFont="1" applyFill="1" applyBorder="1" applyAlignment="1">
      <alignment horizontal="left" vertical="center"/>
    </xf>
    <xf numFmtId="0" fontId="15" fillId="15" borderId="9" xfId="0" applyFont="1" applyFill="1" applyBorder="1" applyAlignment="1">
      <alignment horizontal="left" vertical="center"/>
    </xf>
    <xf numFmtId="0" fontId="15" fillId="18" borderId="8" xfId="0" applyFont="1" applyFill="1" applyBorder="1" applyAlignment="1">
      <alignment horizontal="left" vertical="center"/>
    </xf>
    <xf numFmtId="0" fontId="15" fillId="18" borderId="9" xfId="0" applyFont="1" applyFill="1" applyBorder="1" applyAlignment="1">
      <alignment horizontal="left" vertical="center"/>
    </xf>
    <xf numFmtId="0" fontId="15" fillId="16" borderId="8" xfId="0" applyFont="1" applyFill="1" applyBorder="1" applyAlignment="1">
      <alignment horizontal="left" vertical="center"/>
    </xf>
    <xf numFmtId="14" fontId="15" fillId="16" borderId="9" xfId="0" applyNumberFormat="1" applyFont="1" applyFill="1" applyBorder="1" applyAlignment="1">
      <alignment horizontal="left" vertical="center"/>
    </xf>
    <xf numFmtId="0" fontId="14" fillId="19" borderId="5" xfId="0" applyFont="1" applyFill="1" applyBorder="1" applyAlignment="1">
      <alignment horizontal="center" vertical="center"/>
    </xf>
    <xf numFmtId="0" fontId="19" fillId="19" borderId="7" xfId="0" applyFont="1" applyFill="1" applyBorder="1" applyAlignment="1">
      <alignment horizontal="left" vertical="center"/>
    </xf>
    <xf numFmtId="0" fontId="14" fillId="19" borderId="8" xfId="0" applyFont="1" applyFill="1" applyBorder="1" applyAlignment="1">
      <alignment horizontal="center" vertical="center"/>
    </xf>
    <xf numFmtId="0" fontId="14" fillId="20" borderId="3" xfId="0" applyFont="1" applyFill="1" applyBorder="1" applyAlignment="1">
      <alignment horizontal="center" vertical="center"/>
    </xf>
    <xf numFmtId="0" fontId="19" fillId="19" borderId="9" xfId="0" applyFont="1" applyFill="1" applyBorder="1" applyAlignment="1">
      <alignment horizontal="left" vertical="center"/>
    </xf>
    <xf numFmtId="0" fontId="15" fillId="10" borderId="8" xfId="0" applyFont="1" applyFill="1" applyBorder="1" applyAlignment="1">
      <alignment horizontal="left" vertical="center"/>
    </xf>
    <xf numFmtId="0" fontId="15" fillId="21" borderId="3" xfId="0" applyFont="1" applyFill="1" applyBorder="1" applyAlignment="1">
      <alignment horizontal="center" vertical="center"/>
    </xf>
    <xf numFmtId="0" fontId="15" fillId="10" borderId="9" xfId="0" applyFont="1" applyFill="1" applyBorder="1" applyAlignment="1">
      <alignment horizontal="left" vertical="center"/>
    </xf>
    <xf numFmtId="0" fontId="15" fillId="21" borderId="21" xfId="0" applyFont="1" applyFill="1" applyBorder="1" applyAlignment="1">
      <alignment horizontal="center" vertical="center"/>
    </xf>
    <xf numFmtId="0" fontId="15" fillId="21" borderId="22" xfId="0" applyFont="1" applyFill="1" applyBorder="1" applyAlignment="1">
      <alignment horizontal="center" vertical="center"/>
    </xf>
    <xf numFmtId="0" fontId="15" fillId="21" borderId="24" xfId="0" applyFont="1" applyFill="1" applyBorder="1" applyAlignment="1">
      <alignment horizontal="center" vertical="center"/>
    </xf>
    <xf numFmtId="0" fontId="15" fillId="21" borderId="20" xfId="0" applyFont="1" applyFill="1" applyBorder="1" applyAlignment="1">
      <alignment horizontal="center" vertical="center"/>
    </xf>
    <xf numFmtId="0" fontId="18" fillId="17" borderId="8" xfId="0" applyFont="1" applyFill="1" applyBorder="1" applyAlignment="1">
      <alignment horizontal="left" vertical="center"/>
    </xf>
    <xf numFmtId="0" fontId="15" fillId="17" borderId="3" xfId="0" applyFont="1" applyFill="1" applyBorder="1" applyAlignment="1">
      <alignment horizontal="center" vertical="center"/>
    </xf>
    <xf numFmtId="0" fontId="15" fillId="17" borderId="9" xfId="0" applyFont="1" applyFill="1" applyBorder="1" applyAlignment="1">
      <alignment horizontal="left" vertical="center"/>
    </xf>
    <xf numFmtId="0" fontId="15" fillId="17" borderId="8" xfId="0" applyFont="1" applyFill="1" applyBorder="1" applyAlignment="1">
      <alignment horizontal="left" vertical="center"/>
    </xf>
    <xf numFmtId="0" fontId="15" fillId="17" borderId="10" xfId="0" applyFont="1" applyFill="1" applyBorder="1" applyAlignment="1">
      <alignment horizontal="left" vertical="center"/>
    </xf>
    <xf numFmtId="0" fontId="15" fillId="17" borderId="4" xfId="0" applyFont="1" applyFill="1" applyBorder="1" applyAlignment="1">
      <alignment horizontal="right" vertical="center"/>
    </xf>
    <xf numFmtId="0" fontId="15" fillId="17" borderId="4" xfId="0" applyFont="1" applyFill="1" applyBorder="1" applyAlignment="1">
      <alignment horizontal="center" vertical="center"/>
    </xf>
    <xf numFmtId="0" fontId="15" fillId="17" borderId="11" xfId="0" applyFont="1" applyFill="1" applyBorder="1" applyAlignment="1">
      <alignment horizontal="left" vertical="center"/>
    </xf>
    <xf numFmtId="164" fontId="15" fillId="15" borderId="9" xfId="0" applyNumberFormat="1" applyFont="1" applyFill="1" applyBorder="1" applyAlignment="1">
      <alignment horizontal="left" vertical="center"/>
    </xf>
    <xf numFmtId="0" fontId="15" fillId="15" borderId="18" xfId="0" applyFont="1" applyFill="1" applyBorder="1" applyAlignment="1">
      <alignment horizontal="left" vertical="center"/>
    </xf>
    <xf numFmtId="0" fontId="15" fillId="15" borderId="19" xfId="0" applyFont="1" applyFill="1" applyBorder="1" applyAlignment="1">
      <alignment horizontal="left" vertical="center"/>
    </xf>
    <xf numFmtId="0" fontId="2" fillId="0" borderId="3" xfId="0" applyFont="1" applyBorder="1" applyAlignment="1">
      <alignment horizontal="center" vertical="center"/>
    </xf>
    <xf numFmtId="0" fontId="4" fillId="24" borderId="2" xfId="0" applyFont="1" applyFill="1" applyBorder="1" applyAlignment="1">
      <alignment horizontal="center" vertical="center"/>
    </xf>
    <xf numFmtId="0" fontId="4" fillId="24" borderId="15" xfId="0" applyFont="1" applyFill="1" applyBorder="1" applyAlignment="1">
      <alignment horizontal="center" vertical="center"/>
    </xf>
    <xf numFmtId="0" fontId="4" fillId="24" borderId="16" xfId="0" applyFont="1" applyFill="1" applyBorder="1" applyAlignment="1">
      <alignment horizontal="center" vertical="center"/>
    </xf>
    <xf numFmtId="0" fontId="20" fillId="0" borderId="3" xfId="0" applyFont="1" applyBorder="1" applyAlignment="1">
      <alignment vertical="center" wrapText="1"/>
    </xf>
    <xf numFmtId="0" fontId="23" fillId="0" borderId="3" xfId="0" applyFont="1" applyBorder="1" applyAlignment="1">
      <alignment vertical="center" wrapText="1"/>
    </xf>
    <xf numFmtId="0" fontId="36" fillId="0" borderId="3" xfId="0" applyFont="1" applyBorder="1" applyAlignment="1">
      <alignment vertical="center" wrapText="1"/>
    </xf>
    <xf numFmtId="0" fontId="4" fillId="26" borderId="2" xfId="0" applyFont="1" applyFill="1" applyBorder="1" applyAlignment="1">
      <alignment horizontal="center" vertical="center"/>
    </xf>
    <xf numFmtId="0" fontId="4" fillId="26" borderId="16" xfId="0" applyFont="1" applyFill="1" applyBorder="1" applyAlignment="1">
      <alignment horizontal="center" vertical="center"/>
    </xf>
    <xf numFmtId="0" fontId="4" fillId="24" borderId="17" xfId="0" applyFont="1" applyFill="1" applyBorder="1" applyAlignment="1">
      <alignment horizontal="center" vertical="center"/>
    </xf>
    <xf numFmtId="0" fontId="4" fillId="26" borderId="15" xfId="0" applyFont="1" applyFill="1" applyBorder="1" applyAlignment="1">
      <alignment horizontal="center" vertical="center"/>
    </xf>
    <xf numFmtId="0" fontId="7" fillId="0" borderId="3" xfId="0" applyFont="1" applyBorder="1" applyAlignment="1">
      <alignment horizontal="center" vertical="center" wrapText="1"/>
    </xf>
    <xf numFmtId="0" fontId="29" fillId="14" borderId="5" xfId="0" applyFont="1" applyFill="1" applyBorder="1" applyAlignment="1">
      <alignment horizontal="center" vertical="center" wrapText="1"/>
    </xf>
    <xf numFmtId="0" fontId="17" fillId="14" borderId="6" xfId="0" applyFont="1" applyFill="1" applyBorder="1" applyAlignment="1">
      <alignment horizontal="center" vertical="center"/>
    </xf>
    <xf numFmtId="0" fontId="13" fillId="5" borderId="19" xfId="0" applyFont="1" applyFill="1" applyBorder="1" applyAlignment="1">
      <alignment horizontal="center" vertical="center"/>
    </xf>
    <xf numFmtId="0" fontId="18" fillId="5" borderId="4" xfId="0" applyFont="1" applyFill="1" applyBorder="1" applyAlignment="1">
      <alignment horizontal="center" vertical="center"/>
    </xf>
    <xf numFmtId="0" fontId="18" fillId="5" borderId="11" xfId="0" applyFont="1" applyFill="1" applyBorder="1" applyAlignment="1">
      <alignment horizontal="center" vertical="center"/>
    </xf>
    <xf numFmtId="0" fontId="18" fillId="11" borderId="9" xfId="0" applyFont="1" applyFill="1" applyBorder="1" applyAlignment="1">
      <alignment horizontal="center" vertical="center"/>
    </xf>
    <xf numFmtId="0" fontId="11" fillId="0" borderId="0" xfId="0" applyFont="1" applyAlignment="1">
      <alignment horizontal="center" vertical="center" wrapText="1"/>
    </xf>
    <xf numFmtId="0" fontId="18" fillId="27" borderId="18" xfId="0" applyFont="1" applyFill="1" applyBorder="1" applyAlignment="1">
      <alignment horizontal="center" vertical="center"/>
    </xf>
    <xf numFmtId="0" fontId="13" fillId="27" borderId="20" xfId="0" applyFont="1" applyFill="1" applyBorder="1" applyAlignment="1">
      <alignment horizontal="center" vertical="center"/>
    </xf>
    <xf numFmtId="0" fontId="38" fillId="28" borderId="2" xfId="0" applyFont="1" applyFill="1" applyBorder="1" applyAlignment="1">
      <alignment horizontal="center" vertical="center"/>
    </xf>
    <xf numFmtId="0" fontId="38" fillId="29" borderId="33" xfId="0" applyFont="1" applyFill="1" applyBorder="1" applyAlignment="1">
      <alignment horizontal="center" vertical="center"/>
    </xf>
    <xf numFmtId="0" fontId="38" fillId="29" borderId="34" xfId="0" applyFont="1" applyFill="1" applyBorder="1" applyAlignment="1">
      <alignment horizontal="center" vertical="center"/>
    </xf>
    <xf numFmtId="0" fontId="38" fillId="28" borderId="35" xfId="0" applyFont="1" applyFill="1" applyBorder="1" applyAlignment="1">
      <alignment horizontal="center" vertical="center"/>
    </xf>
    <xf numFmtId="0" fontId="38" fillId="28" borderId="34" xfId="0" applyFont="1" applyFill="1" applyBorder="1" applyAlignment="1">
      <alignment horizontal="center" vertical="center"/>
    </xf>
    <xf numFmtId="0" fontId="38" fillId="29" borderId="35" xfId="0" applyFont="1" applyFill="1" applyBorder="1" applyAlignment="1">
      <alignment horizontal="center" vertical="center"/>
    </xf>
    <xf numFmtId="0" fontId="42" fillId="23" borderId="30" xfId="0" applyFont="1" applyFill="1" applyBorder="1" applyAlignment="1">
      <alignment horizontal="center" vertical="center" wrapText="1"/>
    </xf>
    <xf numFmtId="0" fontId="42" fillId="23" borderId="31" xfId="0" applyFont="1" applyFill="1" applyBorder="1" applyAlignment="1">
      <alignment horizontal="center" vertical="center" wrapText="1"/>
    </xf>
    <xf numFmtId="0" fontId="42" fillId="23" borderId="32" xfId="0" applyFont="1" applyFill="1" applyBorder="1" applyAlignment="1">
      <alignment horizontal="center" vertical="center" wrapText="1"/>
    </xf>
    <xf numFmtId="0" fontId="21" fillId="0" borderId="6" xfId="0" applyFont="1" applyBorder="1" applyAlignment="1">
      <alignment horizontal="center" vertical="center" wrapText="1"/>
    </xf>
    <xf numFmtId="0" fontId="21" fillId="0" borderId="7" xfId="0" applyFont="1" applyBorder="1" applyAlignment="1">
      <alignment horizontal="center" vertical="center" wrapText="1"/>
    </xf>
    <xf numFmtId="0" fontId="2" fillId="0" borderId="3" xfId="0" applyFont="1" applyBorder="1" applyAlignment="1">
      <alignment horizontal="center" vertical="center"/>
    </xf>
    <xf numFmtId="0" fontId="2" fillId="0" borderId="3" xfId="0" applyFont="1" applyBorder="1" applyAlignment="1">
      <alignment horizontal="left" vertical="center"/>
    </xf>
    <xf numFmtId="0" fontId="2" fillId="0" borderId="9" xfId="0" applyFont="1" applyBorder="1" applyAlignment="1">
      <alignment horizontal="left" vertical="center"/>
    </xf>
    <xf numFmtId="0" fontId="43" fillId="23" borderId="28" xfId="0" applyFont="1" applyFill="1" applyBorder="1" applyAlignment="1">
      <alignment horizontal="center" vertical="center" wrapText="1"/>
    </xf>
    <xf numFmtId="0" fontId="43" fillId="23" borderId="22" xfId="0" applyFont="1" applyFill="1" applyBorder="1" applyAlignment="1">
      <alignment horizontal="center" vertical="center" wrapText="1"/>
    </xf>
    <xf numFmtId="0" fontId="43" fillId="23" borderId="23" xfId="0" applyFont="1" applyFill="1" applyBorder="1" applyAlignment="1">
      <alignment horizontal="center" vertical="center" wrapText="1"/>
    </xf>
    <xf numFmtId="0" fontId="43" fillId="23" borderId="8" xfId="0" applyFont="1" applyFill="1" applyBorder="1" applyAlignment="1">
      <alignment horizontal="center" vertical="center" wrapText="1"/>
    </xf>
    <xf numFmtId="0" fontId="43" fillId="23" borderId="3" xfId="0" applyFont="1" applyFill="1" applyBorder="1" applyAlignment="1">
      <alignment horizontal="center" vertical="center" wrapText="1"/>
    </xf>
    <xf numFmtId="0" fontId="43" fillId="23" borderId="26" xfId="0" applyFont="1" applyFill="1" applyBorder="1" applyAlignment="1">
      <alignment horizontal="center" vertical="center" wrapText="1"/>
    </xf>
    <xf numFmtId="0" fontId="15" fillId="0" borderId="3" xfId="0" applyFont="1" applyBorder="1" applyAlignment="1">
      <alignment horizontal="left" vertical="center"/>
    </xf>
    <xf numFmtId="0" fontId="15" fillId="0" borderId="9" xfId="0" applyFont="1" applyBorder="1" applyAlignment="1">
      <alignment horizontal="left" vertical="center"/>
    </xf>
    <xf numFmtId="0" fontId="2" fillId="0" borderId="8" xfId="0" applyFont="1" applyBorder="1" applyAlignment="1">
      <alignment horizontal="left" vertical="center"/>
    </xf>
    <xf numFmtId="0" fontId="2" fillId="0" borderId="10" xfId="0" applyFont="1" applyBorder="1" applyAlignment="1">
      <alignment horizontal="left" vertical="center"/>
    </xf>
    <xf numFmtId="0" fontId="2" fillId="0" borderId="3" xfId="0" applyFont="1" applyBorder="1" applyAlignment="1">
      <alignment horizontal="left" vertical="center" wrapText="1"/>
    </xf>
    <xf numFmtId="0" fontId="2" fillId="0" borderId="9" xfId="0" applyFont="1" applyBorder="1" applyAlignment="1">
      <alignment horizontal="left" vertical="center" wrapText="1"/>
    </xf>
    <xf numFmtId="0" fontId="2" fillId="0" borderId="4" xfId="0" applyFont="1" applyBorder="1" applyAlignment="1">
      <alignment horizontal="left" vertical="center" wrapText="1"/>
    </xf>
    <xf numFmtId="0" fontId="2" fillId="0" borderId="11" xfId="0" applyFont="1" applyBorder="1" applyAlignment="1">
      <alignment horizontal="left" vertical="center" wrapText="1"/>
    </xf>
    <xf numFmtId="0" fontId="44" fillId="23" borderId="18" xfId="0" applyFont="1" applyFill="1" applyBorder="1" applyAlignment="1">
      <alignment horizontal="left" vertical="center" wrapText="1"/>
    </xf>
    <xf numFmtId="0" fontId="44" fillId="23" borderId="20" xfId="0" applyFont="1" applyFill="1" applyBorder="1" applyAlignment="1">
      <alignment horizontal="left" vertical="center" wrapText="1"/>
    </xf>
    <xf numFmtId="0" fontId="44" fillId="23" borderId="25" xfId="0" applyFont="1" applyFill="1" applyBorder="1" applyAlignment="1">
      <alignment horizontal="left" vertical="center" wrapText="1"/>
    </xf>
    <xf numFmtId="0" fontId="0" fillId="0" borderId="8" xfId="0" applyBorder="1" applyAlignment="1">
      <alignment horizontal="center"/>
    </xf>
    <xf numFmtId="0" fontId="14" fillId="12" borderId="5" xfId="0" applyFont="1" applyFill="1" applyBorder="1" applyAlignment="1">
      <alignment horizontal="right" vertical="center"/>
    </xf>
    <xf numFmtId="0" fontId="14" fillId="12" borderId="6" xfId="0" applyFont="1" applyFill="1" applyBorder="1" applyAlignment="1">
      <alignment horizontal="right" vertical="center"/>
    </xf>
    <xf numFmtId="0" fontId="25" fillId="0" borderId="3" xfId="0" applyFont="1" applyBorder="1" applyAlignment="1">
      <alignment horizontal="center" vertical="center" wrapText="1"/>
    </xf>
    <xf numFmtId="0" fontId="13" fillId="11" borderId="8" xfId="0" applyFont="1" applyFill="1" applyBorder="1" applyAlignment="1">
      <alignment horizontal="right" vertical="center"/>
    </xf>
    <xf numFmtId="0" fontId="13" fillId="11" borderId="3" xfId="0" applyFont="1" applyFill="1" applyBorder="1" applyAlignment="1">
      <alignment horizontal="right" vertical="center"/>
    </xf>
    <xf numFmtId="0" fontId="45" fillId="23" borderId="28" xfId="0" applyFont="1" applyFill="1" applyBorder="1" applyAlignment="1">
      <alignment horizontal="left" vertical="center" wrapText="1"/>
    </xf>
    <xf numFmtId="0" fontId="45" fillId="23" borderId="22" xfId="0" applyFont="1" applyFill="1" applyBorder="1" applyAlignment="1">
      <alignment horizontal="left" vertical="center" wrapText="1"/>
    </xf>
    <xf numFmtId="0" fontId="45" fillId="23" borderId="23" xfId="0" applyFont="1" applyFill="1" applyBorder="1" applyAlignment="1">
      <alignment horizontal="left" vertical="center" wrapText="1"/>
    </xf>
    <xf numFmtId="0" fontId="45" fillId="23" borderId="8" xfId="0" applyFont="1" applyFill="1" applyBorder="1" applyAlignment="1">
      <alignment horizontal="left" vertical="center" wrapText="1"/>
    </xf>
    <xf numFmtId="0" fontId="45" fillId="23" borderId="3" xfId="0" applyFont="1" applyFill="1" applyBorder="1" applyAlignment="1">
      <alignment horizontal="left" vertical="center" wrapText="1"/>
    </xf>
    <xf numFmtId="0" fontId="45" fillId="23" borderId="26" xfId="0" applyFont="1" applyFill="1" applyBorder="1" applyAlignment="1">
      <alignment horizontal="left" vertical="center" wrapText="1"/>
    </xf>
    <xf numFmtId="0" fontId="18" fillId="11" borderId="8" xfId="0" applyFont="1" applyFill="1" applyBorder="1" applyAlignment="1">
      <alignment horizontal="right" vertical="center"/>
    </xf>
    <xf numFmtId="0" fontId="18" fillId="11" borderId="3" xfId="0" applyFont="1" applyFill="1" applyBorder="1" applyAlignment="1">
      <alignment horizontal="right" vertical="center"/>
    </xf>
    <xf numFmtId="0" fontId="47" fillId="23" borderId="8" xfId="0" applyFont="1" applyFill="1" applyBorder="1" applyAlignment="1">
      <alignment horizontal="center" vertical="center" wrapText="1"/>
    </xf>
    <xf numFmtId="0" fontId="47" fillId="23" borderId="3" xfId="0" applyFont="1" applyFill="1" applyBorder="1" applyAlignment="1">
      <alignment horizontal="center" vertical="center" wrapText="1"/>
    </xf>
    <xf numFmtId="0" fontId="47" fillId="23" borderId="26" xfId="0" applyFont="1" applyFill="1" applyBorder="1" applyAlignment="1">
      <alignment horizontal="center" vertical="center" wrapText="1"/>
    </xf>
    <xf numFmtId="0" fontId="13" fillId="11" borderId="10" xfId="0" applyFont="1" applyFill="1" applyBorder="1" applyAlignment="1">
      <alignment horizontal="right" vertical="center" wrapText="1"/>
    </xf>
    <xf numFmtId="0" fontId="13" fillId="11" borderId="4" xfId="0" applyFont="1" applyFill="1" applyBorder="1" applyAlignment="1">
      <alignment horizontal="right" vertical="center" wrapText="1"/>
    </xf>
    <xf numFmtId="0" fontId="45" fillId="23" borderId="18" xfId="0" applyFont="1" applyFill="1" applyBorder="1" applyAlignment="1">
      <alignment horizontal="left" vertical="center" wrapText="1"/>
    </xf>
    <xf numFmtId="0" fontId="45" fillId="23" borderId="20" xfId="0" applyFont="1" applyFill="1" applyBorder="1" applyAlignment="1">
      <alignment horizontal="left" vertical="center" wrapText="1"/>
    </xf>
    <xf numFmtId="0" fontId="45" fillId="23" borderId="25" xfId="0" applyFont="1" applyFill="1" applyBorder="1" applyAlignment="1">
      <alignment horizontal="left" vertical="center" wrapText="1"/>
    </xf>
    <xf numFmtId="0" fontId="37" fillId="0" borderId="0" xfId="0" applyFont="1" applyAlignment="1">
      <alignment horizontal="left" vertical="center"/>
    </xf>
    <xf numFmtId="0" fontId="0" fillId="0" borderId="6" xfId="0" applyBorder="1" applyAlignment="1">
      <alignment horizontal="center"/>
    </xf>
    <xf numFmtId="0" fontId="0" fillId="0" borderId="3" xfId="0" applyBorder="1" applyAlignment="1">
      <alignment horizontal="center"/>
    </xf>
    <xf numFmtId="0" fontId="0" fillId="0" borderId="27" xfId="0" applyBorder="1" applyAlignment="1">
      <alignment horizontal="center"/>
    </xf>
    <xf numFmtId="0" fontId="31" fillId="13" borderId="6" xfId="0" applyFont="1" applyFill="1" applyBorder="1" applyAlignment="1">
      <alignment horizontal="left" vertical="center" wrapText="1"/>
    </xf>
    <xf numFmtId="0" fontId="30" fillId="13" borderId="4" xfId="0" applyFont="1" applyFill="1" applyBorder="1" applyAlignment="1">
      <alignment horizontal="left" vertical="center" wrapText="1"/>
    </xf>
    <xf numFmtId="0" fontId="27" fillId="13" borderId="6" xfId="0" applyFont="1" applyFill="1" applyBorder="1" applyAlignment="1">
      <alignment horizontal="center" vertical="center" wrapText="1"/>
    </xf>
    <xf numFmtId="0" fontId="27" fillId="13" borderId="7" xfId="0" applyFont="1" applyFill="1" applyBorder="1" applyAlignment="1">
      <alignment horizontal="center" vertical="center" wrapText="1"/>
    </xf>
    <xf numFmtId="0" fontId="27" fillId="13" borderId="4" xfId="0" applyFont="1" applyFill="1" applyBorder="1" applyAlignment="1">
      <alignment horizontal="center" vertical="center" wrapText="1"/>
    </xf>
    <xf numFmtId="0" fontId="27" fillId="13" borderId="11" xfId="0" applyFont="1" applyFill="1" applyBorder="1" applyAlignment="1">
      <alignment horizontal="center" vertical="center" wrapText="1"/>
    </xf>
    <xf numFmtId="0" fontId="31" fillId="13" borderId="5" xfId="0" applyFont="1" applyFill="1" applyBorder="1" applyAlignment="1">
      <alignment horizontal="right" vertical="center"/>
    </xf>
    <xf numFmtId="0" fontId="31" fillId="13" borderId="10" xfId="0" applyFont="1" applyFill="1" applyBorder="1" applyAlignment="1">
      <alignment horizontal="right" vertical="center"/>
    </xf>
    <xf numFmtId="0" fontId="26" fillId="13" borderId="6" xfId="0" applyFont="1" applyFill="1" applyBorder="1" applyAlignment="1">
      <alignment horizontal="center" vertical="center"/>
    </xf>
    <xf numFmtId="0" fontId="26" fillId="13" borderId="4" xfId="0" applyFont="1" applyFill="1" applyBorder="1" applyAlignment="1">
      <alignment horizontal="center" vertical="center"/>
    </xf>
    <xf numFmtId="0" fontId="31" fillId="13" borderId="4" xfId="0" applyFont="1" applyFill="1" applyBorder="1" applyAlignment="1">
      <alignment horizontal="left" vertical="center" wrapText="1"/>
    </xf>
    <xf numFmtId="0" fontId="2" fillId="0" borderId="4" xfId="0" applyFont="1" applyBorder="1" applyAlignment="1">
      <alignment horizontal="center" vertical="center"/>
    </xf>
    <xf numFmtId="0" fontId="14" fillId="20" borderId="6" xfId="0" applyFont="1" applyFill="1" applyBorder="1" applyAlignment="1">
      <alignment horizontal="center" vertical="center"/>
    </xf>
    <xf numFmtId="0" fontId="15" fillId="6" borderId="10" xfId="0" applyFont="1" applyFill="1" applyBorder="1" applyAlignment="1">
      <alignment horizontal="left" vertical="center"/>
    </xf>
    <xf numFmtId="0" fontId="11" fillId="6" borderId="9" xfId="0" applyFont="1" applyFill="1" applyBorder="1" applyAlignment="1">
      <alignment horizontal="left" vertical="center"/>
    </xf>
    <xf numFmtId="0" fontId="11" fillId="6" borderId="11" xfId="0" applyFont="1" applyFill="1" applyBorder="1" applyAlignment="1">
      <alignment horizontal="left" vertical="center"/>
    </xf>
    <xf numFmtId="0" fontId="15" fillId="21" borderId="23" xfId="0" applyFont="1" applyFill="1" applyBorder="1" applyAlignment="1">
      <alignment horizontal="center" vertical="center" wrapText="1"/>
    </xf>
    <xf numFmtId="0" fontId="15" fillId="21" borderId="25" xfId="0" applyFont="1" applyFill="1" applyBorder="1" applyAlignment="1">
      <alignment horizontal="center" vertical="center" wrapText="1"/>
    </xf>
    <xf numFmtId="0" fontId="41" fillId="22" borderId="5" xfId="0" applyFont="1" applyFill="1" applyBorder="1" applyAlignment="1">
      <alignment horizontal="center" vertical="center"/>
    </xf>
    <xf numFmtId="0" fontId="41" fillId="22" borderId="6" xfId="0" applyFont="1" applyFill="1" applyBorder="1" applyAlignment="1">
      <alignment horizontal="center" vertical="center"/>
    </xf>
    <xf numFmtId="0" fontId="41" fillId="22" borderId="7" xfId="0" applyFont="1" applyFill="1" applyBorder="1" applyAlignment="1">
      <alignment horizontal="center" vertical="center"/>
    </xf>
    <xf numFmtId="0" fontId="15" fillId="23" borderId="8" xfId="0" applyFont="1" applyFill="1" applyBorder="1" applyAlignment="1">
      <alignment horizontal="center" vertical="center" wrapText="1"/>
    </xf>
    <xf numFmtId="0" fontId="15" fillId="23" borderId="3" xfId="0" applyFont="1" applyFill="1" applyBorder="1" applyAlignment="1">
      <alignment horizontal="center" vertical="center" wrapText="1"/>
    </xf>
    <xf numFmtId="0" fontId="15" fillId="23" borderId="9" xfId="0" applyFont="1" applyFill="1" applyBorder="1" applyAlignment="1">
      <alignment horizontal="center" vertical="center" wrapText="1"/>
    </xf>
    <xf numFmtId="0" fontId="15" fillId="23" borderId="10" xfId="0" applyFont="1" applyFill="1" applyBorder="1" applyAlignment="1">
      <alignment horizontal="center" vertical="center" wrapText="1"/>
    </xf>
    <xf numFmtId="0" fontId="15" fillId="23" borderId="4" xfId="0" applyFont="1" applyFill="1" applyBorder="1" applyAlignment="1">
      <alignment horizontal="center" vertical="center" wrapText="1"/>
    </xf>
    <xf numFmtId="0" fontId="15" fillId="23" borderId="11" xfId="0" applyFont="1" applyFill="1" applyBorder="1" applyAlignment="1">
      <alignment horizontal="center" vertical="center" wrapText="1"/>
    </xf>
    <xf numFmtId="0" fontId="30" fillId="13" borderId="5" xfId="0" applyFont="1" applyFill="1" applyBorder="1" applyAlignment="1">
      <alignment horizontal="right" vertical="center"/>
    </xf>
    <xf numFmtId="0" fontId="30" fillId="13" borderId="10" xfId="0" applyFont="1" applyFill="1" applyBorder="1" applyAlignment="1">
      <alignment horizontal="right" vertical="center"/>
    </xf>
    <xf numFmtId="0" fontId="22" fillId="13" borderId="6" xfId="0" applyFont="1" applyFill="1" applyBorder="1" applyAlignment="1">
      <alignment horizontal="center" vertical="center" wrapText="1"/>
    </xf>
    <xf numFmtId="0" fontId="22" fillId="13" borderId="4" xfId="0" applyFont="1" applyFill="1" applyBorder="1" applyAlignment="1">
      <alignment horizontal="center" vertical="center" wrapText="1"/>
    </xf>
    <xf numFmtId="0" fontId="32" fillId="22" borderId="12" xfId="0" applyFont="1" applyFill="1" applyBorder="1" applyAlignment="1">
      <alignment horizontal="center" vertical="center" wrapText="1"/>
    </xf>
    <xf numFmtId="0" fontId="32" fillId="22" borderId="13" xfId="0" applyFont="1" applyFill="1" applyBorder="1" applyAlignment="1">
      <alignment horizontal="center" vertical="center" wrapText="1"/>
    </xf>
    <xf numFmtId="0" fontId="32" fillId="22" borderId="14" xfId="0" applyFont="1" applyFill="1" applyBorder="1" applyAlignment="1">
      <alignment horizontal="center" vertical="center" wrapText="1"/>
    </xf>
    <xf numFmtId="0" fontId="24" fillId="23" borderId="28" xfId="0" applyFont="1" applyFill="1" applyBorder="1" applyAlignment="1">
      <alignment horizontal="center" vertical="center" wrapText="1"/>
    </xf>
    <xf numFmtId="0" fontId="24" fillId="23" borderId="22" xfId="0" applyFont="1" applyFill="1" applyBorder="1" applyAlignment="1">
      <alignment horizontal="center" vertical="center" wrapText="1"/>
    </xf>
    <xf numFmtId="0" fontId="24" fillId="23" borderId="29" xfId="0" applyFont="1" applyFill="1" applyBorder="1" applyAlignment="1">
      <alignment horizontal="center" vertical="center" wrapText="1"/>
    </xf>
    <xf numFmtId="0" fontId="24" fillId="23" borderId="8" xfId="0" applyFont="1" applyFill="1" applyBorder="1" applyAlignment="1">
      <alignment horizontal="center" vertical="center" wrapText="1"/>
    </xf>
    <xf numFmtId="0" fontId="24" fillId="23" borderId="3" xfId="0" applyFont="1" applyFill="1" applyBorder="1" applyAlignment="1">
      <alignment horizontal="center" vertical="center" wrapText="1"/>
    </xf>
    <xf numFmtId="0" fontId="24" fillId="23" borderId="9" xfId="0" applyFont="1" applyFill="1" applyBorder="1" applyAlignment="1">
      <alignment horizontal="center" vertical="center" wrapText="1"/>
    </xf>
    <xf numFmtId="0" fontId="34" fillId="23" borderId="8" xfId="0" applyFont="1" applyFill="1" applyBorder="1" applyAlignment="1">
      <alignment horizontal="center" vertical="center" wrapText="1"/>
    </xf>
    <xf numFmtId="0" fontId="34" fillId="23" borderId="3" xfId="0" applyFont="1" applyFill="1" applyBorder="1" applyAlignment="1">
      <alignment horizontal="center" vertical="center" wrapText="1"/>
    </xf>
    <xf numFmtId="0" fontId="34" fillId="23" borderId="9" xfId="0" applyFont="1" applyFill="1" applyBorder="1" applyAlignment="1">
      <alignment horizontal="center" vertical="center" wrapText="1"/>
    </xf>
    <xf numFmtId="0" fontId="33" fillId="23" borderId="8" xfId="0" applyFont="1" applyFill="1" applyBorder="1" applyAlignment="1">
      <alignment horizontal="center" vertical="center" wrapText="1"/>
    </xf>
    <xf numFmtId="0" fontId="33" fillId="23" borderId="3" xfId="0" applyFont="1" applyFill="1" applyBorder="1" applyAlignment="1">
      <alignment horizontal="center" vertical="center" wrapText="1"/>
    </xf>
    <xf numFmtId="0" fontId="33" fillId="23" borderId="9" xfId="0" applyFont="1" applyFill="1" applyBorder="1" applyAlignment="1">
      <alignment horizontal="center" vertical="center" wrapText="1"/>
    </xf>
    <xf numFmtId="0" fontId="33" fillId="23" borderId="10" xfId="0" applyFont="1" applyFill="1" applyBorder="1" applyAlignment="1">
      <alignment horizontal="center" vertical="center" wrapText="1"/>
    </xf>
    <xf numFmtId="0" fontId="33" fillId="23" borderId="4" xfId="0" applyFont="1" applyFill="1" applyBorder="1" applyAlignment="1">
      <alignment horizontal="center" vertical="center" wrapText="1"/>
    </xf>
    <xf numFmtId="0" fontId="33" fillId="23" borderId="11" xfId="0" applyFont="1" applyFill="1" applyBorder="1" applyAlignment="1">
      <alignment horizontal="center" vertical="center" wrapText="1"/>
    </xf>
    <xf numFmtId="0" fontId="39" fillId="25" borderId="5" xfId="0" applyFont="1" applyFill="1" applyBorder="1" applyAlignment="1">
      <alignment horizontal="center" vertical="center" wrapText="1"/>
    </xf>
    <xf numFmtId="0" fontId="39" fillId="25" borderId="6" xfId="0" applyFont="1" applyFill="1" applyBorder="1" applyAlignment="1">
      <alignment horizontal="center" vertical="center" wrapText="1"/>
    </xf>
    <xf numFmtId="0" fontId="39" fillId="25" borderId="7" xfId="0" applyFont="1" applyFill="1" applyBorder="1" applyAlignment="1">
      <alignment horizontal="center" vertical="center" wrapText="1"/>
    </xf>
    <xf numFmtId="0" fontId="39" fillId="25" borderId="8" xfId="0" applyFont="1" applyFill="1" applyBorder="1" applyAlignment="1">
      <alignment horizontal="center" vertical="center" wrapText="1"/>
    </xf>
    <xf numFmtId="0" fontId="39" fillId="25" borderId="3" xfId="0" applyFont="1" applyFill="1" applyBorder="1" applyAlignment="1">
      <alignment horizontal="center" vertical="center" wrapText="1"/>
    </xf>
    <xf numFmtId="0" fontId="39" fillId="25" borderId="9" xfId="0" applyFont="1" applyFill="1" applyBorder="1" applyAlignment="1">
      <alignment horizontal="center" vertical="center" wrapText="1"/>
    </xf>
    <xf numFmtId="0" fontId="39" fillId="25" borderId="10" xfId="0" applyFont="1" applyFill="1" applyBorder="1" applyAlignment="1">
      <alignment horizontal="center" vertical="center" wrapText="1"/>
    </xf>
    <xf numFmtId="0" fontId="39" fillId="25" borderId="4" xfId="0" applyFont="1" applyFill="1" applyBorder="1" applyAlignment="1">
      <alignment horizontal="center" vertical="center" wrapText="1"/>
    </xf>
    <xf numFmtId="0" fontId="39" fillId="25" borderId="11" xfId="0" applyFont="1" applyFill="1" applyBorder="1" applyAlignment="1">
      <alignment horizontal="center" vertical="center" wrapText="1"/>
    </xf>
    <xf numFmtId="0" fontId="40" fillId="7" borderId="36" xfId="0" applyFont="1" applyFill="1" applyBorder="1" applyAlignment="1">
      <alignment horizontal="center" vertical="center"/>
    </xf>
    <xf numFmtId="0" fontId="40" fillId="7" borderId="27" xfId="0" applyFont="1" applyFill="1" applyBorder="1" applyAlignment="1">
      <alignment horizontal="center" vertical="center"/>
    </xf>
    <xf numFmtId="0" fontId="40" fillId="7" borderId="37"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DED8FF"/>
      <color rgb="FFE6EB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AB913"/>
  <sheetViews>
    <sheetView zoomScale="85" workbookViewId="0">
      <selection activeCell="C7" sqref="C7"/>
    </sheetView>
  </sheetViews>
  <sheetFormatPr baseColWidth="10" defaultColWidth="10.140625" defaultRowHeight="15" customHeight="1" x14ac:dyDescent="0.2"/>
  <cols>
    <col min="1" max="1" width="1.7109375" style="45" customWidth="1"/>
    <col min="2" max="2" width="34.42578125" style="45" customWidth="1"/>
    <col min="3" max="3" width="64.7109375" style="45" customWidth="1"/>
    <col min="4" max="4" width="15.85546875" style="45" customWidth="1"/>
    <col min="5" max="5" width="1.7109375" style="45" customWidth="1"/>
    <col min="6" max="6" width="31.7109375" style="45" customWidth="1"/>
    <col min="7" max="7" width="21.5703125" style="45" customWidth="1"/>
    <col min="8" max="8" width="18.140625" style="45" customWidth="1"/>
    <col min="9" max="9" width="17.5703125" style="45" customWidth="1"/>
    <col min="10" max="10" width="1.7109375" style="45" customWidth="1"/>
    <col min="11" max="25" width="26" style="45" customWidth="1"/>
    <col min="26" max="28" width="11.42578125" style="45" customWidth="1"/>
    <col min="29" max="16384" width="10.140625" style="45"/>
  </cols>
  <sheetData>
    <row r="1" spans="2:28" ht="12" customHeight="1" thickBot="1" x14ac:dyDescent="0.25">
      <c r="E1" s="52"/>
      <c r="F1" s="52"/>
      <c r="G1" s="52"/>
      <c r="H1" s="52"/>
      <c r="I1" s="52"/>
      <c r="J1" s="52"/>
    </row>
    <row r="2" spans="2:28" ht="31.5" customHeight="1" x14ac:dyDescent="0.2">
      <c r="B2" s="54" t="s">
        <v>0</v>
      </c>
      <c r="C2" s="55" t="s">
        <v>243</v>
      </c>
      <c r="D2" s="48"/>
      <c r="E2" s="80"/>
      <c r="F2" s="193" t="s">
        <v>222</v>
      </c>
      <c r="G2" s="193"/>
      <c r="H2" s="193"/>
      <c r="I2" s="193"/>
      <c r="J2" s="81"/>
      <c r="K2" s="49"/>
      <c r="L2" s="49"/>
      <c r="M2" s="49"/>
      <c r="N2" s="49"/>
      <c r="O2" s="49"/>
      <c r="P2" s="49"/>
      <c r="Q2" s="49"/>
      <c r="R2" s="49"/>
      <c r="S2" s="49"/>
      <c r="T2" s="49"/>
      <c r="U2" s="49"/>
      <c r="V2" s="49"/>
      <c r="W2" s="49"/>
      <c r="X2" s="49"/>
      <c r="Y2" s="49"/>
      <c r="Z2" s="49"/>
      <c r="AA2" s="49"/>
      <c r="AB2" s="49"/>
    </row>
    <row r="3" spans="2:28" ht="31.5" customHeight="1" x14ac:dyDescent="0.2">
      <c r="B3" s="56" t="s">
        <v>1</v>
      </c>
      <c r="C3" s="57">
        <v>2.2999999999999998</v>
      </c>
      <c r="D3" s="48"/>
      <c r="E3" s="82"/>
      <c r="F3" s="83" t="s">
        <v>33</v>
      </c>
      <c r="G3" s="83" t="s">
        <v>34</v>
      </c>
      <c r="H3" s="83" t="s">
        <v>35</v>
      </c>
      <c r="I3" s="83" t="s">
        <v>36</v>
      </c>
      <c r="J3" s="84"/>
      <c r="K3" s="49"/>
      <c r="L3" s="49"/>
      <c r="M3" s="49"/>
      <c r="N3" s="49"/>
      <c r="O3" s="49"/>
      <c r="P3" s="49"/>
      <c r="Q3" s="49"/>
      <c r="R3" s="49"/>
      <c r="S3" s="49"/>
      <c r="T3" s="49"/>
      <c r="U3" s="49"/>
      <c r="V3" s="49"/>
      <c r="W3" s="49"/>
      <c r="X3" s="49"/>
      <c r="Y3" s="49"/>
      <c r="Z3" s="49"/>
      <c r="AA3" s="49"/>
      <c r="AB3" s="49"/>
    </row>
    <row r="4" spans="2:28" ht="30" customHeight="1" x14ac:dyDescent="0.2">
      <c r="B4" s="74" t="s">
        <v>5</v>
      </c>
      <c r="C4" s="75" t="s">
        <v>48</v>
      </c>
      <c r="D4" s="49"/>
      <c r="E4" s="85"/>
      <c r="F4" s="86" t="s">
        <v>223</v>
      </c>
      <c r="G4" s="86">
        <v>50</v>
      </c>
      <c r="H4" s="86">
        <v>30</v>
      </c>
      <c r="I4" s="86">
        <v>1</v>
      </c>
      <c r="J4" s="87"/>
      <c r="K4" s="49"/>
      <c r="L4" s="49"/>
      <c r="M4" s="49"/>
      <c r="N4" s="49"/>
      <c r="O4" s="49"/>
      <c r="P4" s="49"/>
      <c r="Q4" s="49"/>
      <c r="R4" s="49"/>
      <c r="S4" s="49"/>
      <c r="T4" s="49"/>
      <c r="U4" s="49"/>
      <c r="V4" s="49"/>
      <c r="W4" s="49"/>
      <c r="X4" s="49"/>
      <c r="Y4" s="49"/>
      <c r="Z4" s="49"/>
      <c r="AA4" s="49"/>
      <c r="AB4" s="49"/>
    </row>
    <row r="5" spans="2:28" ht="30" customHeight="1" x14ac:dyDescent="0.2">
      <c r="B5" s="74" t="s">
        <v>8</v>
      </c>
      <c r="C5" s="100">
        <v>1.2</v>
      </c>
      <c r="D5" s="50"/>
      <c r="E5" s="92"/>
      <c r="F5" s="93" t="s">
        <v>233</v>
      </c>
      <c r="G5" s="93">
        <v>95</v>
      </c>
      <c r="H5" s="93">
        <v>2</v>
      </c>
      <c r="I5" s="93">
        <v>1</v>
      </c>
      <c r="J5" s="94"/>
      <c r="K5" s="49"/>
      <c r="L5" s="49"/>
      <c r="M5" s="49"/>
      <c r="N5" s="49"/>
      <c r="O5" s="49"/>
      <c r="P5" s="49"/>
      <c r="Q5" s="49"/>
      <c r="R5" s="49"/>
      <c r="S5" s="49"/>
      <c r="T5" s="49"/>
      <c r="U5" s="49"/>
      <c r="V5" s="49"/>
      <c r="W5" s="49"/>
      <c r="X5" s="49"/>
      <c r="Y5" s="49"/>
      <c r="Z5" s="49"/>
      <c r="AA5" s="49"/>
      <c r="AB5" s="49"/>
    </row>
    <row r="6" spans="2:28" ht="30" customHeight="1" x14ac:dyDescent="0.2">
      <c r="B6" s="76" t="s">
        <v>102</v>
      </c>
      <c r="C6" s="77" t="s">
        <v>9</v>
      </c>
      <c r="D6" s="49"/>
      <c r="E6" s="85"/>
      <c r="F6" s="88" t="s">
        <v>234</v>
      </c>
      <c r="G6" s="89">
        <v>95</v>
      </c>
      <c r="H6" s="89" t="s">
        <v>242</v>
      </c>
      <c r="I6" s="197">
        <v>45</v>
      </c>
      <c r="J6" s="87"/>
      <c r="K6" s="49"/>
      <c r="L6" s="49"/>
      <c r="M6" s="49"/>
      <c r="N6" s="49"/>
      <c r="O6" s="49"/>
      <c r="P6" s="49"/>
      <c r="Q6" s="49"/>
      <c r="R6" s="49"/>
      <c r="S6" s="49"/>
      <c r="T6" s="49"/>
      <c r="U6" s="49"/>
      <c r="V6" s="49"/>
      <c r="W6" s="49"/>
      <c r="X6" s="49"/>
      <c r="Y6" s="49"/>
      <c r="Z6" s="49"/>
      <c r="AA6" s="49"/>
      <c r="AB6" s="49"/>
    </row>
    <row r="7" spans="2:28" ht="30" customHeight="1" x14ac:dyDescent="0.2">
      <c r="B7" s="74" t="s">
        <v>103</v>
      </c>
      <c r="C7" s="75" t="s">
        <v>10</v>
      </c>
      <c r="D7" s="49"/>
      <c r="E7" s="95"/>
      <c r="F7" s="90" t="s">
        <v>224</v>
      </c>
      <c r="G7" s="91">
        <v>57</v>
      </c>
      <c r="H7" s="91">
        <v>1</v>
      </c>
      <c r="I7" s="198"/>
      <c r="J7" s="94"/>
      <c r="K7" s="49"/>
      <c r="L7" s="49"/>
      <c r="M7" s="49"/>
      <c r="N7" s="49"/>
      <c r="O7" s="49"/>
      <c r="P7" s="49"/>
      <c r="Q7" s="49"/>
      <c r="R7" s="49"/>
      <c r="S7" s="49"/>
      <c r="T7" s="49"/>
      <c r="U7" s="49"/>
      <c r="V7" s="49"/>
      <c r="W7" s="49"/>
      <c r="X7" s="49"/>
      <c r="Y7" s="49"/>
      <c r="Z7" s="49"/>
      <c r="AA7" s="49"/>
      <c r="AB7" s="49"/>
    </row>
    <row r="8" spans="2:28" ht="30" customHeight="1" thickBot="1" x14ac:dyDescent="0.25">
      <c r="B8" s="101" t="s">
        <v>11</v>
      </c>
      <c r="C8" s="102" t="s">
        <v>254</v>
      </c>
      <c r="D8" s="49"/>
      <c r="E8" s="96"/>
      <c r="F8" s="97"/>
      <c r="G8" s="98"/>
      <c r="H8" s="98"/>
      <c r="I8" s="98"/>
      <c r="J8" s="99"/>
      <c r="K8" s="49"/>
      <c r="L8" s="49"/>
      <c r="M8" s="49"/>
      <c r="N8" s="49"/>
      <c r="O8" s="49"/>
      <c r="P8" s="49"/>
      <c r="Q8" s="49"/>
      <c r="R8" s="49"/>
      <c r="S8" s="49"/>
      <c r="T8" s="49"/>
      <c r="U8" s="49"/>
      <c r="V8" s="49"/>
      <c r="W8" s="49"/>
      <c r="X8" s="49"/>
      <c r="Y8" s="49"/>
      <c r="Z8" s="49"/>
      <c r="AA8" s="49"/>
      <c r="AB8" s="49"/>
    </row>
    <row r="9" spans="2:28" ht="30" customHeight="1" thickBot="1" x14ac:dyDescent="0.25">
      <c r="B9" s="78" t="s">
        <v>2</v>
      </c>
      <c r="C9" s="79">
        <v>1</v>
      </c>
      <c r="D9" s="49"/>
      <c r="E9" s="49"/>
      <c r="F9" s="53"/>
      <c r="G9" s="43"/>
      <c r="H9" s="43"/>
      <c r="I9" s="43"/>
      <c r="J9" s="49"/>
      <c r="K9" s="49"/>
      <c r="L9" s="49"/>
      <c r="M9" s="49"/>
      <c r="N9" s="49"/>
      <c r="O9" s="49"/>
      <c r="P9" s="49"/>
      <c r="Q9" s="49"/>
      <c r="R9" s="49"/>
      <c r="S9" s="49"/>
      <c r="T9" s="49"/>
      <c r="U9" s="49"/>
      <c r="V9" s="49"/>
      <c r="W9" s="49"/>
      <c r="X9" s="49"/>
      <c r="Y9" s="49"/>
      <c r="Z9" s="49"/>
      <c r="AA9" s="49"/>
      <c r="AB9" s="49"/>
    </row>
    <row r="10" spans="2:28" ht="30" customHeight="1" x14ac:dyDescent="0.2">
      <c r="B10" s="61" t="s">
        <v>3</v>
      </c>
      <c r="C10" s="62" t="s">
        <v>4</v>
      </c>
      <c r="D10" s="49"/>
      <c r="E10" s="199" t="s">
        <v>239</v>
      </c>
      <c r="F10" s="200"/>
      <c r="G10" s="200"/>
      <c r="H10" s="200"/>
      <c r="I10" s="200"/>
      <c r="J10" s="201"/>
      <c r="K10" s="49"/>
      <c r="L10" s="49"/>
      <c r="M10" s="49"/>
      <c r="N10" s="49"/>
      <c r="O10" s="49"/>
      <c r="P10" s="49"/>
      <c r="Q10" s="49"/>
      <c r="R10" s="49"/>
      <c r="S10" s="49"/>
      <c r="T10" s="49"/>
      <c r="U10" s="49"/>
      <c r="V10" s="49"/>
      <c r="W10" s="49"/>
      <c r="X10" s="49"/>
      <c r="Y10" s="49"/>
      <c r="Z10" s="49"/>
      <c r="AA10" s="49"/>
      <c r="AB10" s="49"/>
    </row>
    <row r="11" spans="2:28" ht="30" customHeight="1" x14ac:dyDescent="0.2">
      <c r="B11" s="61" t="s">
        <v>7</v>
      </c>
      <c r="C11" s="62" t="s">
        <v>244</v>
      </c>
      <c r="D11" s="49"/>
      <c r="E11" s="202" t="s">
        <v>271</v>
      </c>
      <c r="F11" s="203"/>
      <c r="G11" s="203"/>
      <c r="H11" s="203"/>
      <c r="I11" s="203"/>
      <c r="J11" s="204"/>
      <c r="K11" s="49"/>
      <c r="L11" s="49"/>
      <c r="M11" s="49"/>
      <c r="N11" s="49"/>
      <c r="O11" s="49"/>
      <c r="P11" s="49"/>
      <c r="Q11" s="49"/>
      <c r="R11" s="49"/>
      <c r="S11" s="49"/>
      <c r="T11" s="49"/>
      <c r="U11" s="49"/>
      <c r="V11" s="49"/>
      <c r="W11" s="49"/>
      <c r="X11" s="49"/>
      <c r="Y11" s="49"/>
      <c r="Z11" s="49"/>
      <c r="AA11" s="49"/>
      <c r="AB11" s="49"/>
    </row>
    <row r="12" spans="2:28" s="52" customFormat="1" ht="30" customHeight="1" thickBot="1" x14ac:dyDescent="0.25">
      <c r="B12" s="194" t="s">
        <v>12</v>
      </c>
      <c r="C12" s="195"/>
      <c r="D12" s="51"/>
      <c r="E12" s="202"/>
      <c r="F12" s="203"/>
      <c r="G12" s="203"/>
      <c r="H12" s="203"/>
      <c r="I12" s="203"/>
      <c r="J12" s="204"/>
      <c r="K12" s="51"/>
      <c r="L12" s="51"/>
      <c r="M12" s="51"/>
      <c r="N12" s="51"/>
      <c r="O12" s="51"/>
      <c r="P12" s="51"/>
      <c r="Q12" s="51"/>
      <c r="R12" s="51"/>
      <c r="S12" s="51"/>
      <c r="T12" s="51"/>
      <c r="U12" s="51"/>
      <c r="V12" s="51"/>
      <c r="W12" s="51"/>
      <c r="X12" s="51"/>
      <c r="Y12" s="51"/>
      <c r="Z12" s="51"/>
      <c r="AA12" s="51"/>
      <c r="AB12" s="51"/>
    </row>
    <row r="13" spans="2:28" ht="21" thickBot="1" x14ac:dyDescent="0.25">
      <c r="B13" s="194"/>
      <c r="C13" s="196"/>
      <c r="D13" s="49"/>
      <c r="E13" s="205"/>
      <c r="F13" s="206"/>
      <c r="G13" s="206"/>
      <c r="H13" s="206"/>
      <c r="I13" s="206"/>
      <c r="J13" s="207"/>
      <c r="K13" s="49"/>
      <c r="L13" s="49"/>
      <c r="M13" s="49"/>
      <c r="N13" s="49"/>
      <c r="O13" s="49"/>
      <c r="P13" s="49"/>
      <c r="Q13" s="49"/>
      <c r="R13" s="49"/>
      <c r="S13" s="49"/>
      <c r="T13" s="49"/>
      <c r="U13" s="49"/>
      <c r="V13" s="49"/>
      <c r="W13" s="49"/>
      <c r="X13" s="49"/>
      <c r="Y13" s="49"/>
      <c r="Z13" s="49"/>
      <c r="AA13" s="49"/>
      <c r="AB13" s="49"/>
    </row>
    <row r="14" spans="2:28" ht="21" customHeight="1" x14ac:dyDescent="0.2">
      <c r="G14" s="49"/>
      <c r="H14" s="49"/>
      <c r="I14" s="49"/>
      <c r="J14" s="49"/>
      <c r="K14" s="49"/>
      <c r="L14" s="49"/>
      <c r="M14" s="49"/>
      <c r="N14" s="49"/>
      <c r="O14" s="49"/>
      <c r="P14" s="49"/>
      <c r="Q14" s="49"/>
      <c r="R14" s="49"/>
      <c r="S14" s="49"/>
      <c r="T14" s="49"/>
      <c r="U14" s="49"/>
      <c r="V14" s="49"/>
      <c r="W14" s="49"/>
      <c r="X14" s="49"/>
      <c r="Y14" s="49"/>
      <c r="Z14" s="49"/>
      <c r="AA14" s="49"/>
      <c r="AB14" s="49"/>
    </row>
    <row r="15" spans="2:28" ht="21" customHeight="1" x14ac:dyDescent="0.2">
      <c r="G15" s="49"/>
      <c r="H15" s="49"/>
      <c r="I15" s="49"/>
      <c r="J15" s="49"/>
      <c r="K15" s="49"/>
      <c r="L15" s="49"/>
      <c r="M15" s="49"/>
      <c r="N15" s="49"/>
      <c r="O15" s="49"/>
      <c r="P15" s="49"/>
      <c r="Q15" s="49"/>
      <c r="R15" s="49"/>
      <c r="S15" s="49"/>
      <c r="T15" s="49"/>
      <c r="U15" s="49"/>
      <c r="V15" s="49"/>
      <c r="W15" s="49"/>
      <c r="X15" s="49"/>
      <c r="Y15" s="49"/>
      <c r="Z15" s="49"/>
      <c r="AA15" s="49"/>
      <c r="AB15" s="49"/>
    </row>
    <row r="16" spans="2:28" ht="20" x14ac:dyDescent="0.2">
      <c r="G16" s="49"/>
      <c r="H16" s="49"/>
      <c r="I16" s="49"/>
      <c r="J16" s="49"/>
      <c r="K16" s="49"/>
      <c r="L16" s="49"/>
      <c r="M16" s="49"/>
      <c r="N16" s="49"/>
      <c r="O16" s="49"/>
      <c r="P16" s="49"/>
      <c r="Q16" s="49"/>
      <c r="R16" s="49"/>
      <c r="S16" s="49"/>
      <c r="T16" s="49"/>
      <c r="U16" s="49"/>
      <c r="V16" s="49"/>
      <c r="W16" s="49"/>
      <c r="X16" s="49"/>
      <c r="Y16" s="49"/>
      <c r="Z16" s="49"/>
      <c r="AA16" s="49"/>
      <c r="AB16" s="49"/>
    </row>
    <row r="17" spans="2:28" ht="21" customHeight="1" x14ac:dyDescent="0.2">
      <c r="G17" s="49"/>
      <c r="H17" s="49"/>
      <c r="I17" s="49"/>
      <c r="J17" s="49"/>
      <c r="K17" s="49"/>
      <c r="L17" s="49"/>
      <c r="M17" s="49"/>
      <c r="N17" s="49"/>
      <c r="O17" s="49"/>
      <c r="P17" s="49"/>
      <c r="Q17" s="49"/>
      <c r="R17" s="49"/>
      <c r="S17" s="49"/>
      <c r="T17" s="49"/>
      <c r="U17" s="49"/>
      <c r="V17" s="49"/>
      <c r="W17" s="49"/>
      <c r="X17" s="49"/>
      <c r="Y17" s="49"/>
      <c r="Z17" s="49"/>
      <c r="AA17" s="49"/>
      <c r="AB17" s="49"/>
    </row>
    <row r="18" spans="2:28" ht="21" customHeight="1" x14ac:dyDescent="0.2">
      <c r="G18" s="49"/>
      <c r="H18" s="49"/>
      <c r="I18" s="49"/>
      <c r="J18" s="49"/>
      <c r="K18" s="49"/>
      <c r="L18" s="49"/>
      <c r="M18" s="49"/>
      <c r="N18" s="49"/>
      <c r="O18" s="49"/>
      <c r="P18" s="49"/>
      <c r="Q18" s="49"/>
      <c r="R18" s="49"/>
      <c r="S18" s="49"/>
      <c r="T18" s="49"/>
      <c r="U18" s="49"/>
      <c r="V18" s="49"/>
      <c r="W18" s="49"/>
      <c r="X18" s="49"/>
      <c r="Y18" s="49"/>
      <c r="Z18" s="49"/>
      <c r="AA18" s="49"/>
      <c r="AB18" s="49"/>
    </row>
    <row r="19" spans="2:28" ht="21" customHeight="1" x14ac:dyDescent="0.2">
      <c r="G19" s="49"/>
      <c r="H19" s="49"/>
      <c r="I19" s="49"/>
      <c r="J19" s="49"/>
      <c r="K19" s="49"/>
      <c r="L19" s="49"/>
      <c r="M19" s="49"/>
      <c r="N19" s="49"/>
      <c r="O19" s="49"/>
      <c r="P19" s="49"/>
      <c r="Q19" s="49"/>
      <c r="R19" s="49"/>
      <c r="S19" s="49"/>
      <c r="T19" s="49"/>
      <c r="U19" s="49"/>
      <c r="V19" s="49"/>
      <c r="W19" s="49"/>
      <c r="X19" s="49"/>
      <c r="Y19" s="49"/>
      <c r="Z19" s="49"/>
      <c r="AA19" s="49"/>
      <c r="AB19" s="49"/>
    </row>
    <row r="20" spans="2:28" ht="21" customHeight="1" x14ac:dyDescent="0.2">
      <c r="G20" s="49"/>
      <c r="H20" s="49"/>
      <c r="I20" s="49"/>
      <c r="J20" s="49"/>
      <c r="K20" s="49"/>
      <c r="L20" s="49"/>
      <c r="M20" s="49"/>
      <c r="N20" s="49"/>
      <c r="O20" s="49"/>
      <c r="P20" s="49"/>
      <c r="Q20" s="49"/>
      <c r="R20" s="49"/>
      <c r="S20" s="49"/>
      <c r="T20" s="49"/>
      <c r="U20" s="49"/>
      <c r="V20" s="49"/>
      <c r="W20" s="49"/>
      <c r="X20" s="49"/>
      <c r="Y20" s="49"/>
      <c r="Z20" s="49"/>
      <c r="AA20" s="49"/>
      <c r="AB20" s="49"/>
    </row>
    <row r="21" spans="2:28" ht="21" customHeight="1" x14ac:dyDescent="0.2">
      <c r="G21" s="49"/>
      <c r="H21" s="49"/>
      <c r="I21" s="49"/>
      <c r="J21" s="49"/>
      <c r="K21" s="49"/>
      <c r="L21" s="49"/>
      <c r="M21" s="49"/>
      <c r="N21" s="49"/>
      <c r="O21" s="49"/>
      <c r="P21" s="49"/>
      <c r="Q21" s="49"/>
      <c r="R21" s="49"/>
      <c r="S21" s="49"/>
      <c r="T21" s="49"/>
      <c r="U21" s="49"/>
      <c r="V21" s="49"/>
      <c r="W21" s="49"/>
      <c r="X21" s="49"/>
      <c r="Y21" s="49"/>
      <c r="Z21" s="49"/>
      <c r="AA21" s="49"/>
      <c r="AB21" s="49"/>
    </row>
    <row r="22" spans="2:28" ht="21" customHeight="1" x14ac:dyDescent="0.2">
      <c r="G22" s="49"/>
      <c r="H22" s="49"/>
      <c r="I22" s="49"/>
      <c r="J22" s="49"/>
      <c r="K22" s="49"/>
      <c r="L22" s="49"/>
      <c r="M22" s="49"/>
      <c r="N22" s="49"/>
      <c r="O22" s="49"/>
      <c r="P22" s="49"/>
      <c r="Q22" s="49"/>
      <c r="R22" s="49"/>
      <c r="S22" s="49"/>
      <c r="T22" s="49"/>
      <c r="U22" s="49"/>
      <c r="V22" s="49"/>
      <c r="W22" s="49"/>
      <c r="X22" s="49"/>
      <c r="Y22" s="49"/>
      <c r="Z22" s="49"/>
      <c r="AA22" s="49"/>
      <c r="AB22" s="49"/>
    </row>
    <row r="23" spans="2:28" ht="21" customHeight="1" x14ac:dyDescent="0.2">
      <c r="G23" s="49"/>
      <c r="H23" s="49"/>
      <c r="I23" s="49"/>
      <c r="J23" s="49"/>
      <c r="K23" s="49"/>
      <c r="L23" s="49"/>
      <c r="M23" s="49"/>
      <c r="N23" s="49"/>
      <c r="O23" s="49"/>
      <c r="P23" s="49"/>
      <c r="Q23" s="49"/>
      <c r="R23" s="49"/>
      <c r="S23" s="49"/>
      <c r="T23" s="49"/>
      <c r="U23" s="49"/>
      <c r="V23" s="49"/>
      <c r="W23" s="49"/>
      <c r="X23" s="49"/>
      <c r="Y23" s="49"/>
      <c r="Z23" s="49"/>
      <c r="AA23" s="49"/>
      <c r="AB23" s="49"/>
    </row>
    <row r="24" spans="2:28" ht="21" customHeight="1" x14ac:dyDescent="0.2">
      <c r="G24" s="49"/>
      <c r="H24" s="49"/>
      <c r="I24" s="49"/>
      <c r="J24" s="49"/>
      <c r="K24" s="49"/>
      <c r="L24" s="49"/>
      <c r="M24" s="49"/>
      <c r="N24" s="49"/>
      <c r="O24" s="49"/>
      <c r="P24" s="49"/>
      <c r="Q24" s="49"/>
      <c r="R24" s="49"/>
      <c r="S24" s="49"/>
      <c r="T24" s="49"/>
      <c r="U24" s="49"/>
      <c r="V24" s="49"/>
      <c r="W24" s="49"/>
      <c r="X24" s="49"/>
      <c r="Y24" s="49"/>
      <c r="Z24" s="49"/>
      <c r="AA24" s="49"/>
      <c r="AB24" s="49"/>
    </row>
    <row r="25" spans="2:28" ht="21" customHeight="1" x14ac:dyDescent="0.2">
      <c r="G25" s="49"/>
      <c r="H25" s="49"/>
      <c r="I25" s="49"/>
      <c r="J25" s="49"/>
      <c r="K25" s="49"/>
      <c r="L25" s="49"/>
      <c r="M25" s="49"/>
      <c r="N25" s="49"/>
      <c r="O25" s="49"/>
      <c r="P25" s="49"/>
      <c r="Q25" s="49"/>
      <c r="R25" s="49"/>
      <c r="S25" s="49"/>
      <c r="T25" s="49"/>
      <c r="U25" s="49"/>
      <c r="V25" s="49"/>
      <c r="W25" s="49"/>
      <c r="X25" s="49"/>
      <c r="Y25" s="49"/>
      <c r="Z25" s="49"/>
      <c r="AA25" s="49"/>
      <c r="AB25" s="49"/>
    </row>
    <row r="26" spans="2:28" ht="21" customHeight="1" x14ac:dyDescent="0.2">
      <c r="B26" s="49"/>
      <c r="C26" s="49"/>
      <c r="D26" s="49"/>
      <c r="E26" s="49"/>
      <c r="F26" s="49"/>
      <c r="G26" s="49"/>
      <c r="H26" s="49"/>
      <c r="I26" s="49"/>
      <c r="J26" s="49"/>
      <c r="K26" s="49"/>
      <c r="L26" s="49"/>
      <c r="M26" s="49"/>
      <c r="N26" s="49"/>
      <c r="O26" s="49"/>
      <c r="P26" s="49"/>
      <c r="Q26" s="49"/>
      <c r="R26" s="49"/>
      <c r="S26" s="49"/>
      <c r="T26" s="49"/>
      <c r="U26" s="49"/>
      <c r="V26" s="49"/>
      <c r="W26" s="49"/>
      <c r="X26" s="49"/>
      <c r="Y26" s="49"/>
      <c r="Z26" s="49"/>
      <c r="AA26" s="49"/>
      <c r="AB26" s="49"/>
    </row>
    <row r="27" spans="2:28" ht="21" customHeight="1" x14ac:dyDescent="0.2">
      <c r="B27" s="49"/>
      <c r="C27" s="49"/>
      <c r="D27" s="49"/>
      <c r="E27" s="49"/>
      <c r="F27" s="49"/>
      <c r="G27" s="49"/>
      <c r="H27" s="49"/>
      <c r="I27" s="49"/>
      <c r="J27" s="49"/>
      <c r="K27" s="49"/>
      <c r="L27" s="49"/>
      <c r="M27" s="49"/>
      <c r="N27" s="49"/>
      <c r="O27" s="49"/>
      <c r="P27" s="49"/>
      <c r="Q27" s="49"/>
      <c r="R27" s="49"/>
      <c r="S27" s="49"/>
      <c r="T27" s="49"/>
      <c r="U27" s="49"/>
      <c r="V27" s="49"/>
      <c r="W27" s="49"/>
      <c r="X27" s="49"/>
      <c r="Y27" s="49"/>
      <c r="Z27" s="49"/>
      <c r="AA27" s="49"/>
      <c r="AB27" s="49"/>
    </row>
    <row r="28" spans="2:28" ht="21" customHeight="1" x14ac:dyDescent="0.2">
      <c r="B28" s="49"/>
      <c r="C28" s="49"/>
      <c r="D28" s="49"/>
      <c r="E28" s="49"/>
      <c r="F28" s="49"/>
      <c r="G28" s="49"/>
      <c r="H28" s="49"/>
      <c r="I28" s="49"/>
      <c r="J28" s="49"/>
      <c r="K28" s="49"/>
      <c r="L28" s="49"/>
      <c r="M28" s="49"/>
      <c r="N28" s="49"/>
      <c r="O28" s="49"/>
      <c r="P28" s="49"/>
      <c r="Q28" s="49"/>
      <c r="R28" s="49"/>
      <c r="S28" s="49"/>
      <c r="T28" s="49"/>
      <c r="U28" s="49"/>
      <c r="V28" s="49"/>
      <c r="W28" s="49"/>
      <c r="X28" s="49"/>
      <c r="Y28" s="49"/>
      <c r="Z28" s="49"/>
      <c r="AA28" s="49"/>
      <c r="AB28" s="49"/>
    </row>
    <row r="29" spans="2:28" ht="21" customHeight="1" x14ac:dyDescent="0.2">
      <c r="B29" s="49"/>
      <c r="C29" s="49"/>
      <c r="D29" s="49"/>
      <c r="E29" s="49"/>
      <c r="F29" s="49"/>
      <c r="G29" s="49"/>
      <c r="H29" s="49"/>
      <c r="I29" s="49"/>
      <c r="J29" s="49"/>
      <c r="K29" s="49"/>
      <c r="L29" s="49"/>
      <c r="M29" s="49"/>
      <c r="N29" s="49"/>
      <c r="O29" s="49"/>
      <c r="P29" s="49"/>
      <c r="Q29" s="49"/>
      <c r="R29" s="49"/>
      <c r="S29" s="49"/>
      <c r="T29" s="49"/>
      <c r="U29" s="49"/>
      <c r="V29" s="49"/>
      <c r="W29" s="49"/>
      <c r="X29" s="49"/>
      <c r="Y29" s="49"/>
      <c r="Z29" s="49"/>
      <c r="AA29" s="49"/>
      <c r="AB29" s="49"/>
    </row>
    <row r="30" spans="2:28" ht="21" customHeight="1" x14ac:dyDescent="0.2">
      <c r="B30" s="49"/>
      <c r="C30" s="49"/>
      <c r="D30" s="49"/>
      <c r="E30" s="49"/>
      <c r="F30" s="49"/>
      <c r="G30" s="49"/>
      <c r="H30" s="49"/>
      <c r="I30" s="49"/>
      <c r="J30" s="49"/>
      <c r="K30" s="49"/>
      <c r="L30" s="49"/>
      <c r="M30" s="49"/>
      <c r="N30" s="49"/>
      <c r="O30" s="49"/>
      <c r="P30" s="49"/>
      <c r="Q30" s="49"/>
      <c r="R30" s="49"/>
      <c r="S30" s="49"/>
      <c r="T30" s="49"/>
      <c r="U30" s="49"/>
      <c r="V30" s="49"/>
      <c r="W30" s="49"/>
      <c r="X30" s="49"/>
      <c r="Y30" s="49"/>
      <c r="Z30" s="49"/>
      <c r="AA30" s="49"/>
      <c r="AB30" s="49"/>
    </row>
    <row r="31" spans="2:28" ht="21" customHeight="1" x14ac:dyDescent="0.2">
      <c r="B31" s="49"/>
      <c r="C31" s="49"/>
      <c r="D31" s="49"/>
      <c r="E31" s="49"/>
      <c r="F31" s="49"/>
      <c r="G31" s="49"/>
      <c r="H31" s="49"/>
      <c r="I31" s="49"/>
      <c r="J31" s="49"/>
      <c r="K31" s="49"/>
      <c r="L31" s="49"/>
      <c r="M31" s="49"/>
      <c r="N31" s="49"/>
      <c r="O31" s="49"/>
      <c r="P31" s="49"/>
      <c r="Q31" s="49"/>
      <c r="R31" s="49"/>
      <c r="S31" s="49"/>
      <c r="T31" s="49"/>
      <c r="U31" s="49"/>
      <c r="V31" s="49"/>
      <c r="W31" s="49"/>
      <c r="X31" s="49"/>
      <c r="Y31" s="49"/>
      <c r="Z31" s="49"/>
      <c r="AA31" s="49"/>
      <c r="AB31" s="49"/>
    </row>
    <row r="32" spans="2:28" ht="21" customHeight="1" x14ac:dyDescent="0.2">
      <c r="B32" s="49"/>
      <c r="C32" s="49"/>
      <c r="D32" s="49"/>
      <c r="E32" s="49"/>
      <c r="F32" s="49"/>
      <c r="G32" s="49"/>
      <c r="H32" s="49"/>
      <c r="I32" s="49"/>
      <c r="J32" s="49"/>
      <c r="K32" s="49"/>
      <c r="L32" s="49"/>
      <c r="M32" s="49"/>
      <c r="N32" s="49"/>
      <c r="O32" s="49"/>
      <c r="P32" s="49"/>
      <c r="Q32" s="49"/>
      <c r="R32" s="49"/>
      <c r="S32" s="49"/>
      <c r="T32" s="49"/>
      <c r="U32" s="49"/>
      <c r="V32" s="49"/>
      <c r="W32" s="49"/>
      <c r="X32" s="49"/>
      <c r="Y32" s="49"/>
      <c r="Z32" s="49"/>
      <c r="AA32" s="49"/>
      <c r="AB32" s="49"/>
    </row>
    <row r="33" spans="2:28" ht="21" customHeight="1" x14ac:dyDescent="0.2">
      <c r="B33" s="49"/>
      <c r="C33" s="49"/>
      <c r="D33" s="49"/>
      <c r="E33" s="49"/>
      <c r="F33" s="49"/>
      <c r="G33" s="49"/>
      <c r="H33" s="49"/>
      <c r="I33" s="49"/>
      <c r="J33" s="49"/>
      <c r="K33" s="49"/>
      <c r="L33" s="49"/>
      <c r="M33" s="49"/>
      <c r="N33" s="49"/>
      <c r="O33" s="49"/>
      <c r="P33" s="49"/>
      <c r="Q33" s="49"/>
      <c r="R33" s="49"/>
      <c r="S33" s="49"/>
      <c r="T33" s="49"/>
      <c r="U33" s="49"/>
      <c r="V33" s="49"/>
      <c r="W33" s="49"/>
      <c r="X33" s="49"/>
      <c r="Y33" s="49"/>
      <c r="Z33" s="49"/>
      <c r="AA33" s="49"/>
      <c r="AB33" s="49"/>
    </row>
    <row r="34" spans="2:28" ht="21" customHeight="1" x14ac:dyDescent="0.2">
      <c r="B34" s="49"/>
      <c r="C34" s="49"/>
      <c r="D34" s="49"/>
      <c r="E34" s="49"/>
      <c r="F34" s="49"/>
      <c r="G34" s="49"/>
      <c r="H34" s="49"/>
      <c r="I34" s="49"/>
      <c r="J34" s="49"/>
      <c r="K34" s="49"/>
      <c r="L34" s="49"/>
      <c r="M34" s="49"/>
      <c r="N34" s="49"/>
      <c r="O34" s="49"/>
      <c r="P34" s="49"/>
      <c r="Q34" s="49"/>
      <c r="R34" s="49"/>
      <c r="S34" s="49"/>
      <c r="T34" s="49"/>
      <c r="U34" s="49"/>
      <c r="V34" s="49"/>
      <c r="W34" s="49"/>
      <c r="X34" s="49"/>
      <c r="Y34" s="49"/>
      <c r="Z34" s="49"/>
      <c r="AA34" s="49"/>
      <c r="AB34" s="49"/>
    </row>
    <row r="35" spans="2:28" ht="21" customHeight="1" x14ac:dyDescent="0.2">
      <c r="B35" s="49"/>
      <c r="C35" s="49"/>
      <c r="D35" s="49"/>
      <c r="E35" s="49"/>
      <c r="F35" s="49"/>
      <c r="G35" s="49"/>
      <c r="H35" s="49"/>
      <c r="I35" s="49"/>
      <c r="J35" s="49"/>
      <c r="K35" s="49"/>
      <c r="L35" s="49"/>
      <c r="M35" s="49"/>
      <c r="N35" s="49"/>
      <c r="O35" s="49"/>
      <c r="P35" s="49"/>
      <c r="Q35" s="49"/>
      <c r="R35" s="49"/>
      <c r="S35" s="49"/>
      <c r="T35" s="49"/>
      <c r="U35" s="49"/>
      <c r="V35" s="49"/>
      <c r="W35" s="49"/>
      <c r="X35" s="49"/>
      <c r="Y35" s="49"/>
      <c r="Z35" s="49"/>
      <c r="AA35" s="49"/>
      <c r="AB35" s="49"/>
    </row>
    <row r="36" spans="2:28" ht="21" customHeight="1" x14ac:dyDescent="0.2">
      <c r="B36" s="49"/>
      <c r="C36" s="49"/>
      <c r="D36" s="49"/>
      <c r="E36" s="49"/>
      <c r="F36" s="49"/>
      <c r="G36" s="49"/>
      <c r="H36" s="49"/>
      <c r="I36" s="49"/>
      <c r="J36" s="49"/>
      <c r="K36" s="49"/>
      <c r="L36" s="49"/>
      <c r="M36" s="49"/>
      <c r="N36" s="49"/>
      <c r="O36" s="49"/>
      <c r="P36" s="49"/>
      <c r="Q36" s="49"/>
      <c r="R36" s="49"/>
      <c r="S36" s="49"/>
      <c r="T36" s="49"/>
      <c r="U36" s="49"/>
      <c r="V36" s="49"/>
      <c r="W36" s="49"/>
      <c r="X36" s="49"/>
      <c r="Y36" s="49"/>
      <c r="Z36" s="49"/>
      <c r="AA36" s="49"/>
      <c r="AB36" s="49"/>
    </row>
    <row r="37" spans="2:28" ht="21" customHeight="1" x14ac:dyDescent="0.2">
      <c r="B37" s="49"/>
      <c r="C37" s="49"/>
      <c r="D37" s="49"/>
      <c r="E37" s="49"/>
      <c r="F37" s="49"/>
      <c r="G37" s="49"/>
      <c r="H37" s="49"/>
      <c r="I37" s="49"/>
      <c r="J37" s="49"/>
      <c r="K37" s="49"/>
      <c r="L37" s="49"/>
      <c r="M37" s="49"/>
      <c r="N37" s="49"/>
      <c r="O37" s="49"/>
      <c r="P37" s="49"/>
      <c r="Q37" s="49"/>
      <c r="R37" s="49"/>
      <c r="S37" s="49"/>
      <c r="T37" s="49"/>
      <c r="U37" s="49"/>
      <c r="V37" s="49"/>
      <c r="W37" s="49"/>
      <c r="X37" s="49"/>
      <c r="Y37" s="49"/>
      <c r="Z37" s="49"/>
      <c r="AA37" s="49"/>
      <c r="AB37" s="49"/>
    </row>
    <row r="38" spans="2:28" ht="21" customHeight="1" x14ac:dyDescent="0.2">
      <c r="B38" s="49"/>
      <c r="C38" s="49"/>
      <c r="D38" s="49"/>
      <c r="E38" s="49"/>
      <c r="F38" s="49"/>
      <c r="G38" s="49"/>
      <c r="H38" s="49"/>
      <c r="I38" s="49"/>
      <c r="J38" s="49"/>
      <c r="K38" s="49"/>
      <c r="L38" s="49"/>
      <c r="M38" s="49"/>
      <c r="N38" s="49"/>
      <c r="O38" s="49"/>
      <c r="P38" s="49"/>
      <c r="Q38" s="49"/>
      <c r="R38" s="49"/>
      <c r="S38" s="49"/>
      <c r="T38" s="49"/>
      <c r="U38" s="49"/>
      <c r="V38" s="49"/>
      <c r="W38" s="49"/>
      <c r="X38" s="49"/>
      <c r="Y38" s="49"/>
      <c r="Z38" s="49"/>
      <c r="AA38" s="49"/>
      <c r="AB38" s="49"/>
    </row>
    <row r="39" spans="2:28" ht="21" customHeight="1" x14ac:dyDescent="0.2">
      <c r="B39" s="49"/>
      <c r="C39" s="49"/>
      <c r="D39" s="49"/>
      <c r="E39" s="49"/>
      <c r="F39" s="49"/>
      <c r="G39" s="49"/>
      <c r="H39" s="49"/>
      <c r="I39" s="49"/>
      <c r="J39" s="49"/>
      <c r="K39" s="49"/>
      <c r="L39" s="49"/>
      <c r="M39" s="49"/>
      <c r="N39" s="49"/>
      <c r="O39" s="49"/>
      <c r="P39" s="49"/>
      <c r="Q39" s="49"/>
      <c r="R39" s="49"/>
      <c r="S39" s="49"/>
      <c r="T39" s="49"/>
      <c r="U39" s="49"/>
      <c r="V39" s="49"/>
      <c r="W39" s="49"/>
      <c r="X39" s="49"/>
      <c r="Y39" s="49"/>
      <c r="Z39" s="49"/>
      <c r="AA39" s="49"/>
      <c r="AB39" s="49"/>
    </row>
    <row r="40" spans="2:28" ht="21" customHeight="1" x14ac:dyDescent="0.2">
      <c r="B40" s="49"/>
      <c r="C40" s="49"/>
      <c r="D40" s="49"/>
      <c r="E40" s="49"/>
      <c r="F40" s="49"/>
      <c r="G40" s="49"/>
      <c r="H40" s="49"/>
      <c r="I40" s="49"/>
      <c r="J40" s="49"/>
      <c r="K40" s="49"/>
      <c r="L40" s="49"/>
      <c r="M40" s="49"/>
      <c r="N40" s="49"/>
      <c r="O40" s="49"/>
      <c r="P40" s="49"/>
      <c r="Q40" s="49"/>
      <c r="R40" s="49"/>
      <c r="S40" s="49"/>
      <c r="T40" s="49"/>
      <c r="U40" s="49"/>
      <c r="V40" s="49"/>
      <c r="W40" s="49"/>
      <c r="X40" s="49"/>
      <c r="Y40" s="49"/>
      <c r="Z40" s="49"/>
      <c r="AA40" s="49"/>
      <c r="AB40" s="49"/>
    </row>
    <row r="41" spans="2:28" ht="21" customHeight="1" x14ac:dyDescent="0.2">
      <c r="B41" s="49"/>
      <c r="C41" s="49"/>
      <c r="D41" s="49"/>
      <c r="E41" s="49"/>
      <c r="F41" s="49"/>
      <c r="G41" s="49"/>
      <c r="H41" s="49"/>
      <c r="I41" s="49"/>
      <c r="J41" s="49"/>
      <c r="K41" s="49"/>
      <c r="L41" s="49"/>
      <c r="M41" s="49"/>
      <c r="N41" s="49"/>
      <c r="O41" s="49"/>
      <c r="P41" s="49"/>
      <c r="Q41" s="49"/>
      <c r="R41" s="49"/>
      <c r="S41" s="49"/>
      <c r="T41" s="49"/>
      <c r="U41" s="49"/>
      <c r="V41" s="49"/>
      <c r="W41" s="49"/>
      <c r="X41" s="49"/>
      <c r="Y41" s="49"/>
      <c r="Z41" s="49"/>
      <c r="AA41" s="49"/>
      <c r="AB41" s="49"/>
    </row>
    <row r="42" spans="2:28" ht="21" customHeight="1" x14ac:dyDescent="0.2">
      <c r="B42" s="49"/>
      <c r="C42" s="49"/>
      <c r="D42" s="49"/>
      <c r="E42" s="49"/>
      <c r="F42" s="49"/>
      <c r="G42" s="49"/>
      <c r="H42" s="49"/>
      <c r="I42" s="49"/>
      <c r="J42" s="49"/>
      <c r="K42" s="49"/>
      <c r="L42" s="49"/>
      <c r="M42" s="49"/>
      <c r="N42" s="49"/>
      <c r="O42" s="49"/>
      <c r="P42" s="49"/>
      <c r="Q42" s="49"/>
      <c r="R42" s="49"/>
      <c r="S42" s="49"/>
      <c r="T42" s="49"/>
      <c r="U42" s="49"/>
      <c r="V42" s="49"/>
      <c r="W42" s="49"/>
      <c r="X42" s="49"/>
      <c r="Y42" s="49"/>
      <c r="Z42" s="49"/>
      <c r="AA42" s="49"/>
      <c r="AB42" s="49"/>
    </row>
    <row r="43" spans="2:28" ht="21" customHeight="1" x14ac:dyDescent="0.2">
      <c r="B43" s="49"/>
      <c r="C43" s="49"/>
      <c r="D43" s="49"/>
      <c r="E43" s="49"/>
      <c r="F43" s="49"/>
      <c r="G43" s="49"/>
      <c r="H43" s="49"/>
      <c r="I43" s="49"/>
      <c r="J43" s="49"/>
      <c r="K43" s="49"/>
      <c r="L43" s="49"/>
      <c r="M43" s="49"/>
      <c r="N43" s="49"/>
      <c r="O43" s="49"/>
      <c r="P43" s="49"/>
      <c r="Q43" s="49"/>
      <c r="R43" s="49"/>
      <c r="S43" s="49"/>
      <c r="T43" s="49"/>
      <c r="U43" s="49"/>
      <c r="V43" s="49"/>
      <c r="W43" s="49"/>
      <c r="X43" s="49"/>
      <c r="Y43" s="49"/>
      <c r="Z43" s="49"/>
      <c r="AA43" s="49"/>
      <c r="AB43" s="49"/>
    </row>
    <row r="44" spans="2:28" ht="21" customHeight="1" x14ac:dyDescent="0.2">
      <c r="B44" s="49"/>
      <c r="C44" s="49"/>
      <c r="D44" s="49"/>
      <c r="E44" s="49"/>
      <c r="F44" s="49"/>
      <c r="G44" s="49"/>
      <c r="H44" s="49"/>
      <c r="I44" s="49"/>
      <c r="J44" s="49"/>
      <c r="K44" s="49"/>
      <c r="L44" s="49"/>
      <c r="M44" s="49"/>
      <c r="N44" s="49"/>
      <c r="O44" s="49"/>
      <c r="P44" s="49"/>
      <c r="Q44" s="49"/>
      <c r="R44" s="49"/>
      <c r="S44" s="49"/>
      <c r="T44" s="49"/>
      <c r="U44" s="49"/>
      <c r="V44" s="49"/>
      <c r="W44" s="49"/>
      <c r="X44" s="49"/>
      <c r="Y44" s="49"/>
      <c r="Z44" s="49"/>
      <c r="AA44" s="49"/>
      <c r="AB44" s="49"/>
    </row>
    <row r="45" spans="2:28" ht="21" customHeight="1" x14ac:dyDescent="0.2">
      <c r="B45" s="49"/>
      <c r="C45" s="49"/>
      <c r="D45" s="49"/>
      <c r="E45" s="49"/>
      <c r="F45" s="49"/>
      <c r="G45" s="49"/>
      <c r="H45" s="49"/>
      <c r="I45" s="49"/>
      <c r="J45" s="49"/>
      <c r="K45" s="49"/>
      <c r="L45" s="49"/>
      <c r="M45" s="49"/>
      <c r="N45" s="49"/>
      <c r="O45" s="49"/>
      <c r="P45" s="49"/>
      <c r="Q45" s="49"/>
      <c r="R45" s="49"/>
      <c r="S45" s="49"/>
      <c r="T45" s="49"/>
      <c r="U45" s="49"/>
      <c r="V45" s="49"/>
      <c r="W45" s="49"/>
      <c r="X45" s="49"/>
      <c r="Y45" s="49"/>
      <c r="Z45" s="49"/>
      <c r="AA45" s="49"/>
      <c r="AB45" s="49"/>
    </row>
    <row r="46" spans="2:28" ht="21" customHeight="1" x14ac:dyDescent="0.2">
      <c r="B46" s="49"/>
      <c r="C46" s="49"/>
      <c r="D46" s="49"/>
      <c r="E46" s="49"/>
      <c r="F46" s="49"/>
      <c r="G46" s="49"/>
      <c r="H46" s="49"/>
      <c r="I46" s="49"/>
      <c r="J46" s="49"/>
      <c r="K46" s="49"/>
      <c r="L46" s="49"/>
      <c r="M46" s="49"/>
      <c r="N46" s="49"/>
      <c r="O46" s="49"/>
      <c r="P46" s="49"/>
      <c r="Q46" s="49"/>
      <c r="R46" s="49"/>
      <c r="S46" s="49"/>
      <c r="T46" s="49"/>
      <c r="U46" s="49"/>
      <c r="V46" s="49"/>
      <c r="W46" s="49"/>
      <c r="X46" s="49"/>
      <c r="Y46" s="49"/>
      <c r="Z46" s="49"/>
      <c r="AA46" s="49"/>
      <c r="AB46" s="49"/>
    </row>
    <row r="47" spans="2:28" ht="21" customHeight="1" x14ac:dyDescent="0.2">
      <c r="B47" s="49"/>
      <c r="C47" s="49"/>
      <c r="D47" s="49"/>
      <c r="E47" s="49"/>
      <c r="F47" s="49"/>
      <c r="G47" s="49"/>
      <c r="H47" s="49"/>
      <c r="I47" s="49"/>
      <c r="J47" s="49"/>
      <c r="K47" s="49"/>
      <c r="L47" s="49"/>
      <c r="M47" s="49"/>
      <c r="N47" s="49"/>
      <c r="O47" s="49"/>
      <c r="P47" s="49"/>
      <c r="Q47" s="49"/>
      <c r="R47" s="49"/>
      <c r="S47" s="49"/>
      <c r="T47" s="49"/>
      <c r="U47" s="49"/>
      <c r="V47" s="49"/>
      <c r="W47" s="49"/>
      <c r="X47" s="49"/>
      <c r="Y47" s="49"/>
      <c r="Z47" s="49"/>
      <c r="AA47" s="49"/>
      <c r="AB47" s="49"/>
    </row>
    <row r="48" spans="2:28" ht="21" customHeight="1" x14ac:dyDescent="0.2">
      <c r="B48" s="49"/>
      <c r="C48" s="49"/>
      <c r="D48" s="49"/>
      <c r="E48" s="49"/>
      <c r="F48" s="49"/>
      <c r="G48" s="49"/>
      <c r="H48" s="49"/>
      <c r="I48" s="49"/>
      <c r="J48" s="49"/>
      <c r="K48" s="49"/>
      <c r="L48" s="49"/>
      <c r="M48" s="49"/>
      <c r="N48" s="49"/>
      <c r="O48" s="49"/>
      <c r="P48" s="49"/>
      <c r="Q48" s="49"/>
      <c r="R48" s="49"/>
      <c r="S48" s="49"/>
      <c r="T48" s="49"/>
      <c r="U48" s="49"/>
      <c r="V48" s="49"/>
      <c r="W48" s="49"/>
      <c r="X48" s="49"/>
      <c r="Y48" s="49"/>
      <c r="Z48" s="49"/>
      <c r="AA48" s="49"/>
      <c r="AB48" s="49"/>
    </row>
    <row r="49" spans="2:28" ht="21" customHeight="1" x14ac:dyDescent="0.2">
      <c r="B49" s="49"/>
      <c r="C49" s="49"/>
      <c r="D49" s="49"/>
      <c r="E49" s="49"/>
      <c r="F49" s="49"/>
      <c r="G49" s="49"/>
      <c r="H49" s="49"/>
      <c r="I49" s="49"/>
      <c r="J49" s="49"/>
      <c r="K49" s="49"/>
      <c r="L49" s="49"/>
      <c r="M49" s="49"/>
      <c r="N49" s="49"/>
      <c r="O49" s="49"/>
      <c r="P49" s="49"/>
      <c r="Q49" s="49"/>
      <c r="R49" s="49"/>
      <c r="S49" s="49"/>
      <c r="T49" s="49"/>
      <c r="U49" s="49"/>
      <c r="V49" s="49"/>
      <c r="W49" s="49"/>
      <c r="X49" s="49"/>
      <c r="Y49" s="49"/>
      <c r="Z49" s="49"/>
      <c r="AA49" s="49"/>
      <c r="AB49" s="49"/>
    </row>
    <row r="50" spans="2:28" ht="21" customHeight="1" x14ac:dyDescent="0.2">
      <c r="B50" s="49"/>
      <c r="C50" s="49"/>
      <c r="D50" s="49"/>
      <c r="E50" s="49"/>
      <c r="F50" s="49"/>
      <c r="G50" s="49"/>
      <c r="H50" s="49"/>
      <c r="I50" s="49"/>
      <c r="J50" s="49"/>
      <c r="K50" s="49"/>
      <c r="L50" s="49"/>
      <c r="M50" s="49"/>
      <c r="N50" s="49"/>
      <c r="O50" s="49"/>
      <c r="P50" s="49"/>
      <c r="Q50" s="49"/>
      <c r="R50" s="49"/>
      <c r="S50" s="49"/>
      <c r="T50" s="49"/>
      <c r="U50" s="49"/>
      <c r="V50" s="49"/>
      <c r="W50" s="49"/>
      <c r="X50" s="49"/>
      <c r="Y50" s="49"/>
      <c r="Z50" s="49"/>
      <c r="AA50" s="49"/>
      <c r="AB50" s="49"/>
    </row>
    <row r="51" spans="2:28" ht="21" customHeight="1" x14ac:dyDescent="0.2">
      <c r="B51" s="49"/>
      <c r="C51" s="49"/>
      <c r="D51" s="49"/>
      <c r="E51" s="49"/>
      <c r="F51" s="49"/>
      <c r="G51" s="49"/>
      <c r="H51" s="49"/>
      <c r="I51" s="49"/>
      <c r="J51" s="49"/>
      <c r="K51" s="49"/>
      <c r="L51" s="49"/>
      <c r="M51" s="49"/>
      <c r="N51" s="49"/>
      <c r="O51" s="49"/>
      <c r="P51" s="49"/>
      <c r="Q51" s="49"/>
      <c r="R51" s="49"/>
      <c r="S51" s="49"/>
      <c r="T51" s="49"/>
      <c r="U51" s="49"/>
      <c r="V51" s="49"/>
      <c r="W51" s="49"/>
      <c r="X51" s="49"/>
      <c r="Y51" s="49"/>
      <c r="Z51" s="49"/>
      <c r="AA51" s="49"/>
      <c r="AB51" s="49"/>
    </row>
    <row r="52" spans="2:28" ht="21" customHeight="1" x14ac:dyDescent="0.2">
      <c r="B52" s="49"/>
      <c r="C52" s="49"/>
      <c r="D52" s="49"/>
      <c r="E52" s="49"/>
      <c r="F52" s="49"/>
      <c r="G52" s="49"/>
      <c r="H52" s="49"/>
      <c r="I52" s="49"/>
      <c r="J52" s="49"/>
      <c r="K52" s="49"/>
      <c r="L52" s="49"/>
      <c r="M52" s="49"/>
      <c r="N52" s="49"/>
      <c r="O52" s="49"/>
      <c r="P52" s="49"/>
      <c r="Q52" s="49"/>
      <c r="R52" s="49"/>
      <c r="S52" s="49"/>
      <c r="T52" s="49"/>
      <c r="U52" s="49"/>
      <c r="V52" s="49"/>
      <c r="W52" s="49"/>
      <c r="X52" s="49"/>
      <c r="Y52" s="49"/>
      <c r="Z52" s="49"/>
      <c r="AA52" s="49"/>
      <c r="AB52" s="49"/>
    </row>
    <row r="53" spans="2:28" ht="21" customHeight="1" x14ac:dyDescent="0.2">
      <c r="B53" s="49"/>
      <c r="C53" s="49"/>
      <c r="D53" s="49"/>
      <c r="E53" s="49"/>
      <c r="F53" s="49"/>
      <c r="G53" s="49"/>
      <c r="H53" s="49"/>
      <c r="I53" s="49"/>
      <c r="J53" s="49"/>
      <c r="K53" s="49"/>
      <c r="L53" s="49"/>
      <c r="M53" s="49"/>
      <c r="N53" s="49"/>
      <c r="O53" s="49"/>
      <c r="P53" s="49"/>
      <c r="Q53" s="49"/>
      <c r="R53" s="49"/>
      <c r="S53" s="49"/>
      <c r="T53" s="49"/>
      <c r="U53" s="49"/>
      <c r="V53" s="49"/>
      <c r="W53" s="49"/>
      <c r="X53" s="49"/>
      <c r="Y53" s="49"/>
      <c r="Z53" s="49"/>
      <c r="AA53" s="49"/>
      <c r="AB53" s="49"/>
    </row>
    <row r="54" spans="2:28" ht="21" customHeight="1" x14ac:dyDescent="0.2">
      <c r="B54" s="49"/>
      <c r="C54" s="49"/>
      <c r="D54" s="49"/>
      <c r="E54" s="49"/>
      <c r="F54" s="49"/>
      <c r="G54" s="49"/>
      <c r="H54" s="49"/>
      <c r="I54" s="49"/>
      <c r="J54" s="49"/>
      <c r="K54" s="49"/>
      <c r="L54" s="49"/>
      <c r="M54" s="49"/>
      <c r="N54" s="49"/>
      <c r="O54" s="49"/>
      <c r="P54" s="49"/>
      <c r="Q54" s="49"/>
      <c r="R54" s="49"/>
      <c r="S54" s="49"/>
      <c r="T54" s="49"/>
      <c r="U54" s="49"/>
      <c r="V54" s="49"/>
      <c r="W54" s="49"/>
      <c r="X54" s="49"/>
      <c r="Y54" s="49"/>
      <c r="Z54" s="49"/>
      <c r="AA54" s="49"/>
      <c r="AB54" s="49"/>
    </row>
    <row r="55" spans="2:28" ht="21" customHeight="1" x14ac:dyDescent="0.2">
      <c r="B55" s="49"/>
      <c r="C55" s="49"/>
      <c r="D55" s="49"/>
      <c r="E55" s="49"/>
      <c r="F55" s="49"/>
      <c r="G55" s="49"/>
      <c r="H55" s="49"/>
      <c r="I55" s="49"/>
      <c r="J55" s="49"/>
      <c r="K55" s="49"/>
      <c r="L55" s="49"/>
      <c r="M55" s="49"/>
      <c r="N55" s="49"/>
      <c r="O55" s="49"/>
      <c r="P55" s="49"/>
      <c r="Q55" s="49"/>
      <c r="R55" s="49"/>
      <c r="S55" s="49"/>
      <c r="T55" s="49"/>
      <c r="U55" s="49"/>
      <c r="V55" s="49"/>
      <c r="W55" s="49"/>
      <c r="X55" s="49"/>
      <c r="Y55" s="49"/>
      <c r="Z55" s="49"/>
      <c r="AA55" s="49"/>
      <c r="AB55" s="49"/>
    </row>
    <row r="56" spans="2:28" ht="21" customHeight="1" x14ac:dyDescent="0.2">
      <c r="B56" s="49"/>
      <c r="C56" s="49"/>
      <c r="D56" s="49"/>
      <c r="E56" s="49"/>
      <c r="F56" s="49"/>
      <c r="G56" s="49"/>
      <c r="H56" s="49"/>
      <c r="I56" s="49"/>
      <c r="J56" s="49"/>
      <c r="K56" s="49"/>
      <c r="L56" s="49"/>
      <c r="M56" s="49"/>
      <c r="N56" s="49"/>
      <c r="O56" s="49"/>
      <c r="P56" s="49"/>
      <c r="Q56" s="49"/>
      <c r="R56" s="49"/>
      <c r="S56" s="49"/>
      <c r="T56" s="49"/>
      <c r="U56" s="49"/>
      <c r="V56" s="49"/>
      <c r="W56" s="49"/>
      <c r="X56" s="49"/>
      <c r="Y56" s="49"/>
      <c r="Z56" s="49"/>
      <c r="AA56" s="49"/>
      <c r="AB56" s="49"/>
    </row>
    <row r="57" spans="2:28" ht="21" customHeight="1" x14ac:dyDescent="0.2">
      <c r="B57" s="49"/>
      <c r="C57" s="49"/>
      <c r="D57" s="49"/>
      <c r="E57" s="49"/>
      <c r="F57" s="49"/>
      <c r="G57" s="49"/>
      <c r="H57" s="49"/>
      <c r="I57" s="49"/>
      <c r="J57" s="49"/>
      <c r="K57" s="49"/>
      <c r="L57" s="49"/>
      <c r="M57" s="49"/>
      <c r="N57" s="49"/>
      <c r="O57" s="49"/>
      <c r="P57" s="49"/>
      <c r="Q57" s="49"/>
      <c r="R57" s="49"/>
      <c r="S57" s="49"/>
      <c r="T57" s="49"/>
      <c r="U57" s="49"/>
      <c r="V57" s="49"/>
      <c r="W57" s="49"/>
      <c r="X57" s="49"/>
      <c r="Y57" s="49"/>
      <c r="Z57" s="49"/>
      <c r="AA57" s="49"/>
      <c r="AB57" s="49"/>
    </row>
    <row r="58" spans="2:28" ht="21" customHeight="1" x14ac:dyDescent="0.2">
      <c r="B58" s="49"/>
      <c r="C58" s="49"/>
      <c r="D58" s="49"/>
      <c r="E58" s="49"/>
      <c r="F58" s="49"/>
      <c r="G58" s="49"/>
      <c r="H58" s="49"/>
      <c r="I58" s="49"/>
      <c r="J58" s="49"/>
      <c r="K58" s="49"/>
      <c r="L58" s="49"/>
      <c r="M58" s="49"/>
      <c r="N58" s="49"/>
      <c r="O58" s="49"/>
      <c r="P58" s="49"/>
      <c r="Q58" s="49"/>
      <c r="R58" s="49"/>
      <c r="S58" s="49"/>
      <c r="T58" s="49"/>
      <c r="U58" s="49"/>
      <c r="V58" s="49"/>
      <c r="W58" s="49"/>
      <c r="X58" s="49"/>
      <c r="Y58" s="49"/>
      <c r="Z58" s="49"/>
      <c r="AA58" s="49"/>
      <c r="AB58" s="49"/>
    </row>
    <row r="59" spans="2:28" ht="21" customHeight="1" x14ac:dyDescent="0.2">
      <c r="B59" s="49"/>
      <c r="C59" s="49"/>
      <c r="D59" s="49"/>
      <c r="E59" s="49"/>
      <c r="F59" s="49"/>
      <c r="G59" s="49"/>
      <c r="H59" s="49"/>
      <c r="I59" s="49"/>
      <c r="J59" s="49"/>
      <c r="K59" s="49"/>
      <c r="L59" s="49"/>
      <c r="M59" s="49"/>
      <c r="N59" s="49"/>
      <c r="O59" s="49"/>
      <c r="P59" s="49"/>
      <c r="Q59" s="49"/>
      <c r="R59" s="49"/>
      <c r="S59" s="49"/>
      <c r="T59" s="49"/>
      <c r="U59" s="49"/>
      <c r="V59" s="49"/>
      <c r="W59" s="49"/>
      <c r="X59" s="49"/>
      <c r="Y59" s="49"/>
      <c r="Z59" s="49"/>
      <c r="AA59" s="49"/>
      <c r="AB59" s="49"/>
    </row>
    <row r="60" spans="2:28" ht="21" customHeight="1" x14ac:dyDescent="0.2">
      <c r="B60" s="49"/>
      <c r="C60" s="49"/>
      <c r="D60" s="49"/>
      <c r="E60" s="49"/>
      <c r="F60" s="49"/>
      <c r="G60" s="49"/>
      <c r="H60" s="49"/>
      <c r="I60" s="49"/>
      <c r="J60" s="49"/>
      <c r="K60" s="49"/>
      <c r="L60" s="49"/>
      <c r="M60" s="49"/>
      <c r="N60" s="49"/>
      <c r="O60" s="49"/>
      <c r="P60" s="49"/>
      <c r="Q60" s="49"/>
      <c r="R60" s="49"/>
      <c r="S60" s="49"/>
      <c r="T60" s="49"/>
      <c r="U60" s="49"/>
      <c r="V60" s="49"/>
      <c r="W60" s="49"/>
      <c r="X60" s="49"/>
      <c r="Y60" s="49"/>
      <c r="Z60" s="49"/>
      <c r="AA60" s="49"/>
      <c r="AB60" s="49"/>
    </row>
    <row r="61" spans="2:28" ht="21" customHeight="1" x14ac:dyDescent="0.2">
      <c r="B61" s="49"/>
      <c r="C61" s="49"/>
      <c r="D61" s="49"/>
      <c r="E61" s="49"/>
      <c r="F61" s="49"/>
      <c r="G61" s="49"/>
      <c r="H61" s="49"/>
      <c r="I61" s="49"/>
      <c r="J61" s="49"/>
      <c r="K61" s="49"/>
      <c r="L61" s="49"/>
      <c r="M61" s="49"/>
      <c r="N61" s="49"/>
      <c r="O61" s="49"/>
      <c r="P61" s="49"/>
      <c r="Q61" s="49"/>
      <c r="R61" s="49"/>
      <c r="S61" s="49"/>
      <c r="T61" s="49"/>
      <c r="U61" s="49"/>
      <c r="V61" s="49"/>
      <c r="W61" s="49"/>
      <c r="X61" s="49"/>
      <c r="Y61" s="49"/>
      <c r="Z61" s="49"/>
      <c r="AA61" s="49"/>
      <c r="AB61" s="49"/>
    </row>
    <row r="62" spans="2:28" ht="21" customHeight="1" x14ac:dyDescent="0.2">
      <c r="B62" s="49"/>
      <c r="C62" s="49"/>
      <c r="D62" s="49"/>
      <c r="E62" s="49"/>
      <c r="F62" s="49"/>
      <c r="G62" s="49"/>
      <c r="H62" s="49"/>
      <c r="I62" s="49"/>
      <c r="J62" s="49"/>
      <c r="K62" s="49"/>
      <c r="L62" s="49"/>
      <c r="M62" s="49"/>
      <c r="N62" s="49"/>
      <c r="O62" s="49"/>
      <c r="P62" s="49"/>
      <c r="Q62" s="49"/>
      <c r="R62" s="49"/>
      <c r="S62" s="49"/>
      <c r="T62" s="49"/>
      <c r="U62" s="49"/>
      <c r="V62" s="49"/>
      <c r="W62" s="49"/>
      <c r="X62" s="49"/>
      <c r="Y62" s="49"/>
      <c r="Z62" s="49"/>
      <c r="AA62" s="49"/>
      <c r="AB62" s="49"/>
    </row>
    <row r="63" spans="2:28" ht="21" customHeight="1" x14ac:dyDescent="0.2">
      <c r="B63" s="49"/>
      <c r="C63" s="49"/>
      <c r="D63" s="49"/>
      <c r="E63" s="49"/>
      <c r="F63" s="49"/>
      <c r="G63" s="49"/>
      <c r="H63" s="49"/>
      <c r="I63" s="49"/>
      <c r="J63" s="49"/>
      <c r="K63" s="49"/>
      <c r="L63" s="49"/>
      <c r="M63" s="49"/>
      <c r="N63" s="49"/>
      <c r="O63" s="49"/>
      <c r="P63" s="49"/>
      <c r="Q63" s="49"/>
      <c r="R63" s="49"/>
      <c r="S63" s="49"/>
      <c r="T63" s="49"/>
      <c r="U63" s="49"/>
      <c r="V63" s="49"/>
      <c r="W63" s="49"/>
      <c r="X63" s="49"/>
      <c r="Y63" s="49"/>
      <c r="Z63" s="49"/>
      <c r="AA63" s="49"/>
      <c r="AB63" s="49"/>
    </row>
    <row r="64" spans="2:28" ht="21" customHeight="1" x14ac:dyDescent="0.2">
      <c r="B64" s="49"/>
      <c r="C64" s="49"/>
      <c r="D64" s="49"/>
      <c r="E64" s="49"/>
      <c r="F64" s="49"/>
      <c r="G64" s="49"/>
      <c r="H64" s="49"/>
      <c r="I64" s="49"/>
      <c r="J64" s="49"/>
      <c r="K64" s="49"/>
      <c r="L64" s="49"/>
      <c r="M64" s="49"/>
      <c r="N64" s="49"/>
      <c r="O64" s="49"/>
      <c r="P64" s="49"/>
      <c r="Q64" s="49"/>
      <c r="R64" s="49"/>
      <c r="S64" s="49"/>
      <c r="T64" s="49"/>
      <c r="U64" s="49"/>
      <c r="V64" s="49"/>
      <c r="W64" s="49"/>
      <c r="X64" s="49"/>
      <c r="Y64" s="49"/>
      <c r="Z64" s="49"/>
      <c r="AA64" s="49"/>
      <c r="AB64" s="49"/>
    </row>
    <row r="65" spans="2:28" ht="21" customHeight="1" x14ac:dyDescent="0.2">
      <c r="B65" s="49"/>
      <c r="C65" s="49"/>
      <c r="D65" s="49"/>
      <c r="E65" s="49"/>
      <c r="F65" s="49"/>
      <c r="G65" s="49"/>
      <c r="H65" s="49"/>
      <c r="I65" s="49"/>
      <c r="J65" s="49"/>
      <c r="K65" s="49"/>
      <c r="L65" s="49"/>
      <c r="M65" s="49"/>
      <c r="N65" s="49"/>
      <c r="O65" s="49"/>
      <c r="P65" s="49"/>
      <c r="Q65" s="49"/>
      <c r="R65" s="49"/>
      <c r="S65" s="49"/>
      <c r="T65" s="49"/>
      <c r="U65" s="49"/>
      <c r="V65" s="49"/>
      <c r="W65" s="49"/>
      <c r="X65" s="49"/>
      <c r="Y65" s="49"/>
      <c r="Z65" s="49"/>
      <c r="AA65" s="49"/>
      <c r="AB65" s="49"/>
    </row>
    <row r="66" spans="2:28" ht="21" customHeight="1" x14ac:dyDescent="0.2">
      <c r="B66" s="49"/>
      <c r="C66" s="49"/>
      <c r="D66" s="49"/>
      <c r="E66" s="49"/>
      <c r="F66" s="49"/>
      <c r="G66" s="49"/>
      <c r="H66" s="49"/>
      <c r="I66" s="49"/>
      <c r="J66" s="49"/>
      <c r="K66" s="49"/>
      <c r="L66" s="49"/>
      <c r="M66" s="49"/>
      <c r="N66" s="49"/>
      <c r="O66" s="49"/>
      <c r="P66" s="49"/>
      <c r="Q66" s="49"/>
      <c r="R66" s="49"/>
      <c r="S66" s="49"/>
      <c r="T66" s="49"/>
      <c r="U66" s="49"/>
      <c r="V66" s="49"/>
      <c r="W66" s="49"/>
      <c r="X66" s="49"/>
      <c r="Y66" s="49"/>
      <c r="Z66" s="49"/>
      <c r="AA66" s="49"/>
      <c r="AB66" s="49"/>
    </row>
    <row r="67" spans="2:28" ht="21" customHeight="1" x14ac:dyDescent="0.2">
      <c r="B67" s="49"/>
      <c r="C67" s="49"/>
      <c r="D67" s="49"/>
      <c r="E67" s="49"/>
      <c r="F67" s="49"/>
      <c r="G67" s="49"/>
      <c r="H67" s="49"/>
      <c r="I67" s="49"/>
      <c r="J67" s="49"/>
      <c r="K67" s="49"/>
      <c r="L67" s="49"/>
      <c r="M67" s="49"/>
      <c r="N67" s="49"/>
      <c r="O67" s="49"/>
      <c r="P67" s="49"/>
      <c r="Q67" s="49"/>
      <c r="R67" s="49"/>
      <c r="S67" s="49"/>
      <c r="T67" s="49"/>
      <c r="U67" s="49"/>
      <c r="V67" s="49"/>
      <c r="W67" s="49"/>
      <c r="X67" s="49"/>
      <c r="Y67" s="49"/>
      <c r="Z67" s="49"/>
      <c r="AA67" s="49"/>
      <c r="AB67" s="49"/>
    </row>
    <row r="68" spans="2:28" ht="21" customHeight="1" x14ac:dyDescent="0.2">
      <c r="B68" s="49"/>
      <c r="C68" s="49"/>
      <c r="D68" s="49"/>
      <c r="E68" s="49"/>
      <c r="F68" s="49"/>
      <c r="G68" s="49"/>
      <c r="H68" s="49"/>
      <c r="I68" s="49"/>
      <c r="J68" s="49"/>
      <c r="K68" s="49"/>
      <c r="L68" s="49"/>
      <c r="M68" s="49"/>
      <c r="N68" s="49"/>
      <c r="O68" s="49"/>
      <c r="P68" s="49"/>
      <c r="Q68" s="49"/>
      <c r="R68" s="49"/>
      <c r="S68" s="49"/>
      <c r="T68" s="49"/>
      <c r="U68" s="49"/>
      <c r="V68" s="49"/>
      <c r="W68" s="49"/>
      <c r="X68" s="49"/>
      <c r="Y68" s="49"/>
      <c r="Z68" s="49"/>
      <c r="AA68" s="49"/>
      <c r="AB68" s="49"/>
    </row>
    <row r="69" spans="2:28" ht="21" customHeight="1" x14ac:dyDescent="0.2">
      <c r="B69" s="49"/>
      <c r="C69" s="49"/>
      <c r="D69" s="49"/>
      <c r="E69" s="49"/>
      <c r="F69" s="49"/>
      <c r="G69" s="49"/>
      <c r="H69" s="49"/>
      <c r="I69" s="49"/>
      <c r="J69" s="49"/>
      <c r="K69" s="49"/>
      <c r="L69" s="49"/>
      <c r="M69" s="49"/>
      <c r="N69" s="49"/>
      <c r="O69" s="49"/>
      <c r="P69" s="49"/>
      <c r="Q69" s="49"/>
      <c r="R69" s="49"/>
      <c r="S69" s="49"/>
      <c r="T69" s="49"/>
      <c r="U69" s="49"/>
      <c r="V69" s="49"/>
      <c r="W69" s="49"/>
      <c r="X69" s="49"/>
      <c r="Y69" s="49"/>
      <c r="Z69" s="49"/>
      <c r="AA69" s="49"/>
      <c r="AB69" s="49"/>
    </row>
    <row r="70" spans="2:28" ht="21" customHeight="1" x14ac:dyDescent="0.2">
      <c r="B70" s="49"/>
      <c r="C70" s="49"/>
      <c r="D70" s="49"/>
      <c r="E70" s="49"/>
      <c r="F70" s="49"/>
      <c r="G70" s="49"/>
      <c r="H70" s="49"/>
      <c r="I70" s="49"/>
      <c r="J70" s="49"/>
      <c r="K70" s="49"/>
      <c r="L70" s="49"/>
      <c r="M70" s="49"/>
      <c r="N70" s="49"/>
      <c r="O70" s="49"/>
      <c r="P70" s="49"/>
      <c r="Q70" s="49"/>
      <c r="R70" s="49"/>
      <c r="S70" s="49"/>
      <c r="T70" s="49"/>
      <c r="U70" s="49"/>
      <c r="V70" s="49"/>
      <c r="W70" s="49"/>
      <c r="X70" s="49"/>
      <c r="Y70" s="49"/>
      <c r="Z70" s="49"/>
      <c r="AA70" s="49"/>
      <c r="AB70" s="49"/>
    </row>
    <row r="71" spans="2:28" ht="21" customHeight="1" x14ac:dyDescent="0.2">
      <c r="B71" s="49"/>
      <c r="C71" s="49"/>
      <c r="D71" s="49"/>
      <c r="E71" s="49"/>
      <c r="F71" s="49"/>
      <c r="G71" s="49"/>
      <c r="H71" s="49"/>
      <c r="I71" s="49"/>
      <c r="J71" s="49"/>
      <c r="K71" s="49"/>
      <c r="L71" s="49"/>
      <c r="M71" s="49"/>
      <c r="N71" s="49"/>
      <c r="O71" s="49"/>
      <c r="P71" s="49"/>
      <c r="Q71" s="49"/>
      <c r="R71" s="49"/>
      <c r="S71" s="49"/>
      <c r="T71" s="49"/>
      <c r="U71" s="49"/>
      <c r="V71" s="49"/>
      <c r="W71" s="49"/>
      <c r="X71" s="49"/>
      <c r="Y71" s="49"/>
      <c r="Z71" s="49"/>
      <c r="AA71" s="49"/>
      <c r="AB71" s="49"/>
    </row>
    <row r="72" spans="2:28" ht="21" customHeight="1" x14ac:dyDescent="0.2">
      <c r="B72" s="49"/>
      <c r="C72" s="49"/>
      <c r="D72" s="49"/>
      <c r="E72" s="49"/>
      <c r="F72" s="49"/>
      <c r="G72" s="49"/>
      <c r="H72" s="49"/>
      <c r="I72" s="49"/>
      <c r="J72" s="49"/>
      <c r="K72" s="49"/>
      <c r="L72" s="49"/>
      <c r="M72" s="49"/>
      <c r="N72" s="49"/>
      <c r="O72" s="49"/>
      <c r="P72" s="49"/>
      <c r="Q72" s="49"/>
      <c r="R72" s="49"/>
      <c r="S72" s="49"/>
      <c r="T72" s="49"/>
      <c r="U72" s="49"/>
      <c r="V72" s="49"/>
      <c r="W72" s="49"/>
      <c r="X72" s="49"/>
      <c r="Y72" s="49"/>
      <c r="Z72" s="49"/>
      <c r="AA72" s="49"/>
      <c r="AB72" s="49"/>
    </row>
    <row r="73" spans="2:28" ht="21" customHeight="1" x14ac:dyDescent="0.2">
      <c r="B73" s="49"/>
      <c r="C73" s="49"/>
      <c r="D73" s="49"/>
      <c r="E73" s="49"/>
      <c r="F73" s="49"/>
      <c r="G73" s="49"/>
      <c r="H73" s="49"/>
      <c r="I73" s="49"/>
      <c r="J73" s="49"/>
      <c r="K73" s="49"/>
      <c r="L73" s="49"/>
      <c r="M73" s="49"/>
      <c r="N73" s="49"/>
      <c r="O73" s="49"/>
      <c r="P73" s="49"/>
      <c r="Q73" s="49"/>
      <c r="R73" s="49"/>
      <c r="S73" s="49"/>
      <c r="T73" s="49"/>
      <c r="U73" s="49"/>
      <c r="V73" s="49"/>
      <c r="W73" s="49"/>
      <c r="X73" s="49"/>
      <c r="Y73" s="49"/>
      <c r="Z73" s="49"/>
      <c r="AA73" s="49"/>
      <c r="AB73" s="49"/>
    </row>
    <row r="74" spans="2:28" ht="21" customHeight="1" x14ac:dyDescent="0.2">
      <c r="B74" s="49"/>
      <c r="C74" s="49"/>
      <c r="D74" s="49"/>
      <c r="E74" s="49"/>
      <c r="F74" s="49"/>
      <c r="G74" s="49"/>
      <c r="H74" s="49"/>
      <c r="I74" s="49"/>
      <c r="J74" s="49"/>
      <c r="K74" s="49"/>
      <c r="L74" s="49"/>
      <c r="M74" s="49"/>
      <c r="N74" s="49"/>
      <c r="O74" s="49"/>
      <c r="P74" s="49"/>
      <c r="Q74" s="49"/>
      <c r="R74" s="49"/>
      <c r="S74" s="49"/>
      <c r="T74" s="49"/>
      <c r="U74" s="49"/>
      <c r="V74" s="49"/>
      <c r="W74" s="49"/>
      <c r="X74" s="49"/>
      <c r="Y74" s="49"/>
      <c r="Z74" s="49"/>
      <c r="AA74" s="49"/>
      <c r="AB74" s="49"/>
    </row>
    <row r="75" spans="2:28" ht="21" customHeight="1" x14ac:dyDescent="0.2">
      <c r="B75" s="49"/>
      <c r="C75" s="49"/>
      <c r="D75" s="49"/>
      <c r="E75" s="49"/>
      <c r="F75" s="49"/>
      <c r="G75" s="49"/>
      <c r="H75" s="49"/>
      <c r="I75" s="49"/>
      <c r="J75" s="49"/>
      <c r="K75" s="49"/>
      <c r="L75" s="49"/>
      <c r="M75" s="49"/>
      <c r="N75" s="49"/>
      <c r="O75" s="49"/>
      <c r="P75" s="49"/>
      <c r="Q75" s="49"/>
      <c r="R75" s="49"/>
      <c r="S75" s="49"/>
      <c r="T75" s="49"/>
      <c r="U75" s="49"/>
      <c r="V75" s="49"/>
      <c r="W75" s="49"/>
      <c r="X75" s="49"/>
      <c r="Y75" s="49"/>
      <c r="Z75" s="49"/>
      <c r="AA75" s="49"/>
      <c r="AB75" s="49"/>
    </row>
    <row r="76" spans="2:28" ht="21" customHeight="1" x14ac:dyDescent="0.2">
      <c r="B76" s="49"/>
      <c r="C76" s="49"/>
      <c r="D76" s="49"/>
      <c r="E76" s="49"/>
      <c r="F76" s="49"/>
      <c r="G76" s="49"/>
      <c r="H76" s="49"/>
      <c r="I76" s="49"/>
      <c r="J76" s="49"/>
      <c r="K76" s="49"/>
      <c r="L76" s="49"/>
      <c r="M76" s="49"/>
      <c r="N76" s="49"/>
      <c r="O76" s="49"/>
      <c r="P76" s="49"/>
      <c r="Q76" s="49"/>
      <c r="R76" s="49"/>
      <c r="S76" s="49"/>
      <c r="T76" s="49"/>
      <c r="U76" s="49"/>
      <c r="V76" s="49"/>
      <c r="W76" s="49"/>
      <c r="X76" s="49"/>
      <c r="Y76" s="49"/>
      <c r="Z76" s="49"/>
      <c r="AA76" s="49"/>
      <c r="AB76" s="49"/>
    </row>
    <row r="77" spans="2:28" ht="21" customHeight="1" x14ac:dyDescent="0.2">
      <c r="B77" s="49"/>
      <c r="C77" s="49"/>
      <c r="D77" s="49"/>
      <c r="E77" s="49"/>
      <c r="F77" s="49"/>
      <c r="G77" s="49"/>
      <c r="H77" s="49"/>
      <c r="I77" s="49"/>
      <c r="J77" s="49"/>
      <c r="K77" s="49"/>
      <c r="L77" s="49"/>
      <c r="M77" s="49"/>
      <c r="N77" s="49"/>
      <c r="O77" s="49"/>
      <c r="P77" s="49"/>
      <c r="Q77" s="49"/>
      <c r="R77" s="49"/>
      <c r="S77" s="49"/>
      <c r="T77" s="49"/>
      <c r="U77" s="49"/>
      <c r="V77" s="49"/>
      <c r="W77" s="49"/>
      <c r="X77" s="49"/>
      <c r="Y77" s="49"/>
      <c r="Z77" s="49"/>
      <c r="AA77" s="49"/>
      <c r="AB77" s="49"/>
    </row>
    <row r="78" spans="2:28" ht="21" customHeight="1" x14ac:dyDescent="0.2">
      <c r="B78" s="49"/>
      <c r="C78" s="49"/>
      <c r="D78" s="49"/>
      <c r="E78" s="49"/>
      <c r="F78" s="49"/>
      <c r="G78" s="49"/>
      <c r="H78" s="49"/>
      <c r="I78" s="49"/>
      <c r="J78" s="49"/>
      <c r="K78" s="49"/>
      <c r="L78" s="49"/>
      <c r="M78" s="49"/>
      <c r="N78" s="49"/>
      <c r="O78" s="49"/>
      <c r="P78" s="49"/>
      <c r="Q78" s="49"/>
      <c r="R78" s="49"/>
      <c r="S78" s="49"/>
      <c r="T78" s="49"/>
      <c r="U78" s="49"/>
      <c r="V78" s="49"/>
      <c r="W78" s="49"/>
      <c r="X78" s="49"/>
      <c r="Y78" s="49"/>
      <c r="Z78" s="49"/>
      <c r="AA78" s="49"/>
      <c r="AB78" s="49"/>
    </row>
    <row r="79" spans="2:28" ht="21" customHeight="1" x14ac:dyDescent="0.2">
      <c r="B79" s="49"/>
      <c r="C79" s="49"/>
      <c r="D79" s="49"/>
      <c r="E79" s="49"/>
      <c r="F79" s="49"/>
      <c r="G79" s="49"/>
      <c r="H79" s="49"/>
      <c r="I79" s="49"/>
      <c r="J79" s="49"/>
      <c r="K79" s="49"/>
      <c r="L79" s="49"/>
      <c r="M79" s="49"/>
      <c r="N79" s="49"/>
      <c r="O79" s="49"/>
      <c r="P79" s="49"/>
      <c r="Q79" s="49"/>
      <c r="R79" s="49"/>
      <c r="S79" s="49"/>
      <c r="T79" s="49"/>
      <c r="U79" s="49"/>
      <c r="V79" s="49"/>
      <c r="W79" s="49"/>
      <c r="X79" s="49"/>
      <c r="Y79" s="49"/>
      <c r="Z79" s="49"/>
      <c r="AA79" s="49"/>
      <c r="AB79" s="49"/>
    </row>
    <row r="80" spans="2:28" ht="21" customHeight="1" x14ac:dyDescent="0.2">
      <c r="B80" s="49"/>
      <c r="C80" s="49"/>
      <c r="D80" s="49"/>
      <c r="E80" s="49"/>
      <c r="F80" s="49"/>
      <c r="G80" s="49"/>
      <c r="H80" s="49"/>
      <c r="I80" s="49"/>
      <c r="J80" s="49"/>
      <c r="K80" s="49"/>
      <c r="L80" s="49"/>
      <c r="M80" s="49"/>
      <c r="N80" s="49"/>
      <c r="O80" s="49"/>
      <c r="P80" s="49"/>
      <c r="Q80" s="49"/>
      <c r="R80" s="49"/>
      <c r="S80" s="49"/>
      <c r="T80" s="49"/>
      <c r="U80" s="49"/>
      <c r="V80" s="49"/>
      <c r="W80" s="49"/>
      <c r="X80" s="49"/>
      <c r="Y80" s="49"/>
      <c r="Z80" s="49"/>
      <c r="AA80" s="49"/>
      <c r="AB80" s="49"/>
    </row>
    <row r="81" spans="2:28" ht="21" customHeight="1" x14ac:dyDescent="0.2">
      <c r="B81" s="49"/>
      <c r="C81" s="49"/>
      <c r="D81" s="49"/>
      <c r="E81" s="49"/>
      <c r="F81" s="49"/>
      <c r="G81" s="49"/>
      <c r="H81" s="49"/>
      <c r="I81" s="49"/>
      <c r="J81" s="49"/>
      <c r="K81" s="49"/>
      <c r="L81" s="49"/>
      <c r="M81" s="49"/>
      <c r="N81" s="49"/>
      <c r="O81" s="49"/>
      <c r="P81" s="49"/>
      <c r="Q81" s="49"/>
      <c r="R81" s="49"/>
      <c r="S81" s="49"/>
      <c r="T81" s="49"/>
      <c r="U81" s="49"/>
      <c r="V81" s="49"/>
      <c r="W81" s="49"/>
      <c r="X81" s="49"/>
      <c r="Y81" s="49"/>
      <c r="Z81" s="49"/>
      <c r="AA81" s="49"/>
      <c r="AB81" s="49"/>
    </row>
    <row r="82" spans="2:28" ht="21" customHeight="1" x14ac:dyDescent="0.2">
      <c r="B82" s="49"/>
      <c r="C82" s="49"/>
      <c r="D82" s="49"/>
      <c r="E82" s="49"/>
      <c r="F82" s="49"/>
      <c r="G82" s="49"/>
      <c r="H82" s="49"/>
      <c r="I82" s="49"/>
      <c r="J82" s="49"/>
      <c r="K82" s="49"/>
      <c r="L82" s="49"/>
      <c r="M82" s="49"/>
      <c r="N82" s="49"/>
      <c r="O82" s="49"/>
      <c r="P82" s="49"/>
      <c r="Q82" s="49"/>
      <c r="R82" s="49"/>
      <c r="S82" s="49"/>
      <c r="T82" s="49"/>
      <c r="U82" s="49"/>
      <c r="V82" s="49"/>
      <c r="W82" s="49"/>
      <c r="X82" s="49"/>
      <c r="Y82" s="49"/>
      <c r="Z82" s="49"/>
      <c r="AA82" s="49"/>
      <c r="AB82" s="49"/>
    </row>
    <row r="83" spans="2:28" ht="21" customHeight="1" x14ac:dyDescent="0.2">
      <c r="B83" s="49"/>
      <c r="C83" s="49"/>
      <c r="D83" s="49"/>
      <c r="E83" s="49"/>
      <c r="F83" s="49"/>
      <c r="G83" s="49"/>
      <c r="H83" s="49"/>
      <c r="I83" s="49"/>
      <c r="J83" s="49"/>
      <c r="K83" s="49"/>
      <c r="L83" s="49"/>
      <c r="M83" s="49"/>
      <c r="N83" s="49"/>
      <c r="O83" s="49"/>
      <c r="P83" s="49"/>
      <c r="Q83" s="49"/>
      <c r="R83" s="49"/>
      <c r="S83" s="49"/>
      <c r="T83" s="49"/>
      <c r="U83" s="49"/>
      <c r="V83" s="49"/>
      <c r="W83" s="49"/>
      <c r="X83" s="49"/>
      <c r="Y83" s="49"/>
      <c r="Z83" s="49"/>
      <c r="AA83" s="49"/>
      <c r="AB83" s="49"/>
    </row>
    <row r="84" spans="2:28" ht="21" customHeight="1" x14ac:dyDescent="0.2">
      <c r="B84" s="49"/>
      <c r="C84" s="49"/>
      <c r="D84" s="49"/>
      <c r="E84" s="49"/>
      <c r="F84" s="49"/>
      <c r="G84" s="49"/>
      <c r="H84" s="49"/>
      <c r="I84" s="49"/>
      <c r="J84" s="49"/>
      <c r="K84" s="49"/>
      <c r="L84" s="49"/>
      <c r="M84" s="49"/>
      <c r="N84" s="49"/>
      <c r="O84" s="49"/>
      <c r="P84" s="49"/>
      <c r="Q84" s="49"/>
      <c r="R84" s="49"/>
      <c r="S84" s="49"/>
      <c r="T84" s="49"/>
      <c r="U84" s="49"/>
      <c r="V84" s="49"/>
      <c r="W84" s="49"/>
      <c r="X84" s="49"/>
      <c r="Y84" s="49"/>
      <c r="Z84" s="49"/>
      <c r="AA84" s="49"/>
      <c r="AB84" s="49"/>
    </row>
    <row r="85" spans="2:28" ht="21" customHeight="1" x14ac:dyDescent="0.2">
      <c r="B85" s="49"/>
      <c r="C85" s="49"/>
      <c r="D85" s="49"/>
      <c r="E85" s="49"/>
      <c r="F85" s="49"/>
      <c r="G85" s="49"/>
      <c r="H85" s="49"/>
      <c r="I85" s="49"/>
      <c r="J85" s="49"/>
      <c r="K85" s="49"/>
      <c r="L85" s="49"/>
      <c r="M85" s="49"/>
      <c r="N85" s="49"/>
      <c r="O85" s="49"/>
      <c r="P85" s="49"/>
      <c r="Q85" s="49"/>
      <c r="R85" s="49"/>
      <c r="S85" s="49"/>
      <c r="T85" s="49"/>
      <c r="U85" s="49"/>
      <c r="V85" s="49"/>
      <c r="W85" s="49"/>
      <c r="X85" s="49"/>
      <c r="Y85" s="49"/>
      <c r="Z85" s="49"/>
      <c r="AA85" s="49"/>
      <c r="AB85" s="49"/>
    </row>
    <row r="86" spans="2:28" ht="21" customHeight="1" x14ac:dyDescent="0.2">
      <c r="B86" s="49"/>
      <c r="C86" s="49"/>
      <c r="D86" s="49"/>
      <c r="E86" s="49"/>
      <c r="F86" s="49"/>
      <c r="G86" s="49"/>
      <c r="H86" s="49"/>
      <c r="I86" s="49"/>
      <c r="J86" s="49"/>
      <c r="K86" s="49"/>
      <c r="L86" s="49"/>
      <c r="M86" s="49"/>
      <c r="N86" s="49"/>
      <c r="O86" s="49"/>
      <c r="P86" s="49"/>
      <c r="Q86" s="49"/>
      <c r="R86" s="49"/>
      <c r="S86" s="49"/>
      <c r="T86" s="49"/>
      <c r="U86" s="49"/>
      <c r="V86" s="49"/>
      <c r="W86" s="49"/>
      <c r="X86" s="49"/>
      <c r="Y86" s="49"/>
      <c r="Z86" s="49"/>
      <c r="AA86" s="49"/>
      <c r="AB86" s="49"/>
    </row>
    <row r="87" spans="2:28" ht="21" customHeight="1" x14ac:dyDescent="0.2">
      <c r="B87" s="49"/>
      <c r="C87" s="49"/>
      <c r="D87" s="49"/>
      <c r="E87" s="49"/>
      <c r="F87" s="49"/>
      <c r="G87" s="49"/>
      <c r="H87" s="49"/>
      <c r="I87" s="49"/>
      <c r="J87" s="49"/>
      <c r="K87" s="49"/>
      <c r="L87" s="49"/>
      <c r="M87" s="49"/>
      <c r="N87" s="49"/>
      <c r="O87" s="49"/>
      <c r="P87" s="49"/>
      <c r="Q87" s="49"/>
      <c r="R87" s="49"/>
      <c r="S87" s="49"/>
      <c r="T87" s="49"/>
      <c r="U87" s="49"/>
      <c r="V87" s="49"/>
      <c r="W87" s="49"/>
      <c r="X87" s="49"/>
      <c r="Y87" s="49"/>
      <c r="Z87" s="49"/>
      <c r="AA87" s="49"/>
      <c r="AB87" s="49"/>
    </row>
    <row r="88" spans="2:28" ht="21" customHeight="1" x14ac:dyDescent="0.2">
      <c r="B88" s="49"/>
      <c r="C88" s="49"/>
      <c r="D88" s="49"/>
      <c r="E88" s="49"/>
      <c r="F88" s="49"/>
      <c r="G88" s="49"/>
      <c r="H88" s="49"/>
      <c r="I88" s="49"/>
      <c r="J88" s="49"/>
      <c r="K88" s="49"/>
      <c r="L88" s="49"/>
      <c r="M88" s="49"/>
      <c r="N88" s="49"/>
      <c r="O88" s="49"/>
      <c r="P88" s="49"/>
      <c r="Q88" s="49"/>
      <c r="R88" s="49"/>
      <c r="S88" s="49"/>
      <c r="T88" s="49"/>
      <c r="U88" s="49"/>
      <c r="V88" s="49"/>
      <c r="W88" s="49"/>
      <c r="X88" s="49"/>
      <c r="Y88" s="49"/>
      <c r="Z88" s="49"/>
      <c r="AA88" s="49"/>
      <c r="AB88" s="49"/>
    </row>
    <row r="89" spans="2:28" ht="21" customHeight="1" x14ac:dyDescent="0.2">
      <c r="B89" s="49"/>
      <c r="C89" s="49"/>
      <c r="D89" s="49"/>
      <c r="E89" s="49"/>
      <c r="F89" s="49"/>
      <c r="G89" s="49"/>
      <c r="H89" s="49"/>
      <c r="I89" s="49"/>
      <c r="J89" s="49"/>
      <c r="K89" s="49"/>
      <c r="L89" s="49"/>
      <c r="M89" s="49"/>
      <c r="N89" s="49"/>
      <c r="O89" s="49"/>
      <c r="P89" s="49"/>
      <c r="Q89" s="49"/>
      <c r="R89" s="49"/>
      <c r="S89" s="49"/>
      <c r="T89" s="49"/>
      <c r="U89" s="49"/>
      <c r="V89" s="49"/>
      <c r="W89" s="49"/>
      <c r="X89" s="49"/>
      <c r="Y89" s="49"/>
      <c r="Z89" s="49"/>
      <c r="AA89" s="49"/>
      <c r="AB89" s="49"/>
    </row>
    <row r="90" spans="2:28" ht="21" customHeight="1" x14ac:dyDescent="0.2">
      <c r="B90" s="49"/>
      <c r="C90" s="49"/>
      <c r="D90" s="49"/>
      <c r="E90" s="49"/>
      <c r="F90" s="49"/>
      <c r="G90" s="49"/>
      <c r="H90" s="49"/>
      <c r="I90" s="49"/>
      <c r="J90" s="49"/>
      <c r="K90" s="49"/>
      <c r="L90" s="49"/>
      <c r="M90" s="49"/>
      <c r="N90" s="49"/>
      <c r="O90" s="49"/>
      <c r="P90" s="49"/>
      <c r="Q90" s="49"/>
      <c r="R90" s="49"/>
      <c r="S90" s="49"/>
      <c r="T90" s="49"/>
      <c r="U90" s="49"/>
      <c r="V90" s="49"/>
      <c r="W90" s="49"/>
      <c r="X90" s="49"/>
      <c r="Y90" s="49"/>
      <c r="Z90" s="49"/>
      <c r="AA90" s="49"/>
      <c r="AB90" s="49"/>
    </row>
    <row r="91" spans="2:28" ht="21" customHeight="1" x14ac:dyDescent="0.2">
      <c r="B91" s="49"/>
      <c r="C91" s="49"/>
      <c r="D91" s="49"/>
      <c r="E91" s="49"/>
      <c r="F91" s="49"/>
      <c r="G91" s="49"/>
      <c r="H91" s="49"/>
      <c r="I91" s="49"/>
      <c r="J91" s="49"/>
      <c r="K91" s="49"/>
      <c r="L91" s="49"/>
      <c r="M91" s="49"/>
      <c r="N91" s="49"/>
      <c r="O91" s="49"/>
      <c r="P91" s="49"/>
      <c r="Q91" s="49"/>
      <c r="R91" s="49"/>
      <c r="S91" s="49"/>
      <c r="T91" s="49"/>
      <c r="U91" s="49"/>
      <c r="V91" s="49"/>
      <c r="W91" s="49"/>
      <c r="X91" s="49"/>
      <c r="Y91" s="49"/>
      <c r="Z91" s="49"/>
      <c r="AA91" s="49"/>
      <c r="AB91" s="49"/>
    </row>
    <row r="92" spans="2:28" ht="21" customHeight="1" x14ac:dyDescent="0.2">
      <c r="B92" s="49"/>
      <c r="C92" s="49"/>
      <c r="D92" s="49"/>
      <c r="E92" s="49"/>
      <c r="F92" s="49"/>
      <c r="G92" s="49"/>
      <c r="H92" s="49"/>
      <c r="I92" s="49"/>
      <c r="J92" s="49"/>
      <c r="K92" s="49"/>
      <c r="L92" s="49"/>
      <c r="M92" s="49"/>
      <c r="N92" s="49"/>
      <c r="O92" s="49"/>
      <c r="P92" s="49"/>
      <c r="Q92" s="49"/>
      <c r="R92" s="49"/>
      <c r="S92" s="49"/>
      <c r="T92" s="49"/>
      <c r="U92" s="49"/>
      <c r="V92" s="49"/>
      <c r="W92" s="49"/>
      <c r="X92" s="49"/>
      <c r="Y92" s="49"/>
      <c r="Z92" s="49"/>
      <c r="AA92" s="49"/>
      <c r="AB92" s="49"/>
    </row>
    <row r="93" spans="2:28" ht="21" customHeight="1" x14ac:dyDescent="0.2">
      <c r="B93" s="49"/>
      <c r="C93" s="49"/>
      <c r="D93" s="49"/>
      <c r="E93" s="49"/>
      <c r="F93" s="49"/>
      <c r="G93" s="49"/>
      <c r="H93" s="49"/>
      <c r="I93" s="49"/>
      <c r="J93" s="49"/>
      <c r="K93" s="49"/>
      <c r="L93" s="49"/>
      <c r="M93" s="49"/>
      <c r="N93" s="49"/>
      <c r="O93" s="49"/>
      <c r="P93" s="49"/>
      <c r="Q93" s="49"/>
      <c r="R93" s="49"/>
      <c r="S93" s="49"/>
      <c r="T93" s="49"/>
      <c r="U93" s="49"/>
      <c r="V93" s="49"/>
      <c r="W93" s="49"/>
      <c r="X93" s="49"/>
      <c r="Y93" s="49"/>
      <c r="Z93" s="49"/>
      <c r="AA93" s="49"/>
      <c r="AB93" s="49"/>
    </row>
    <row r="94" spans="2:28" ht="21" customHeight="1" x14ac:dyDescent="0.2">
      <c r="B94" s="49"/>
      <c r="C94" s="49"/>
      <c r="D94" s="49"/>
      <c r="E94" s="49"/>
      <c r="F94" s="49"/>
      <c r="G94" s="49"/>
      <c r="H94" s="49"/>
      <c r="I94" s="49"/>
      <c r="J94" s="49"/>
      <c r="K94" s="49"/>
      <c r="L94" s="49"/>
      <c r="M94" s="49"/>
      <c r="N94" s="49"/>
      <c r="O94" s="49"/>
      <c r="P94" s="49"/>
      <c r="Q94" s="49"/>
      <c r="R94" s="49"/>
      <c r="S94" s="49"/>
      <c r="T94" s="49"/>
      <c r="U94" s="49"/>
      <c r="V94" s="49"/>
      <c r="W94" s="49"/>
      <c r="X94" s="49"/>
      <c r="Y94" s="49"/>
      <c r="Z94" s="49"/>
      <c r="AA94" s="49"/>
      <c r="AB94" s="49"/>
    </row>
    <row r="95" spans="2:28" ht="21" customHeight="1" x14ac:dyDescent="0.2">
      <c r="B95" s="49"/>
      <c r="C95" s="49"/>
      <c r="D95" s="49"/>
      <c r="E95" s="49"/>
      <c r="F95" s="49"/>
      <c r="G95" s="49"/>
      <c r="H95" s="49"/>
      <c r="I95" s="49"/>
      <c r="J95" s="49"/>
      <c r="K95" s="49"/>
      <c r="L95" s="49"/>
      <c r="M95" s="49"/>
      <c r="N95" s="49"/>
      <c r="O95" s="49"/>
      <c r="P95" s="49"/>
      <c r="Q95" s="49"/>
      <c r="R95" s="49"/>
      <c r="S95" s="49"/>
      <c r="T95" s="49"/>
      <c r="U95" s="49"/>
      <c r="V95" s="49"/>
      <c r="W95" s="49"/>
      <c r="X95" s="49"/>
      <c r="Y95" s="49"/>
      <c r="Z95" s="49"/>
      <c r="AA95" s="49"/>
      <c r="AB95" s="49"/>
    </row>
    <row r="96" spans="2:28" ht="21" customHeight="1" x14ac:dyDescent="0.2">
      <c r="B96" s="49"/>
      <c r="C96" s="49"/>
      <c r="D96" s="49"/>
      <c r="E96" s="49"/>
      <c r="F96" s="49"/>
      <c r="G96" s="49"/>
      <c r="H96" s="49"/>
      <c r="I96" s="49"/>
      <c r="J96" s="49"/>
      <c r="K96" s="49"/>
      <c r="L96" s="49"/>
      <c r="M96" s="49"/>
      <c r="N96" s="49"/>
      <c r="O96" s="49"/>
      <c r="P96" s="49"/>
      <c r="Q96" s="49"/>
      <c r="R96" s="49"/>
      <c r="S96" s="49"/>
      <c r="T96" s="49"/>
      <c r="U96" s="49"/>
      <c r="V96" s="49"/>
      <c r="W96" s="49"/>
      <c r="X96" s="49"/>
      <c r="Y96" s="49"/>
      <c r="Z96" s="49"/>
      <c r="AA96" s="49"/>
      <c r="AB96" s="49"/>
    </row>
    <row r="97" spans="2:28" ht="21" customHeight="1" x14ac:dyDescent="0.2">
      <c r="B97" s="49"/>
      <c r="C97" s="49"/>
      <c r="D97" s="49"/>
      <c r="E97" s="49"/>
      <c r="F97" s="49"/>
      <c r="G97" s="49"/>
      <c r="H97" s="49"/>
      <c r="I97" s="49"/>
      <c r="J97" s="49"/>
      <c r="K97" s="49"/>
      <c r="L97" s="49"/>
      <c r="M97" s="49"/>
      <c r="N97" s="49"/>
      <c r="O97" s="49"/>
      <c r="P97" s="49"/>
      <c r="Q97" s="49"/>
      <c r="R97" s="49"/>
      <c r="S97" s="49"/>
      <c r="T97" s="49"/>
      <c r="U97" s="49"/>
      <c r="V97" s="49"/>
      <c r="W97" s="49"/>
      <c r="X97" s="49"/>
      <c r="Y97" s="49"/>
      <c r="Z97" s="49"/>
      <c r="AA97" s="49"/>
      <c r="AB97" s="49"/>
    </row>
    <row r="98" spans="2:28" ht="21" customHeight="1" x14ac:dyDescent="0.2">
      <c r="B98" s="49"/>
      <c r="C98" s="49"/>
      <c r="D98" s="49"/>
      <c r="E98" s="49"/>
      <c r="F98" s="49"/>
      <c r="G98" s="49"/>
      <c r="H98" s="49"/>
      <c r="I98" s="49"/>
      <c r="J98" s="49"/>
      <c r="K98" s="49"/>
      <c r="L98" s="49"/>
      <c r="M98" s="49"/>
      <c r="N98" s="49"/>
      <c r="O98" s="49"/>
      <c r="P98" s="49"/>
      <c r="Q98" s="49"/>
      <c r="R98" s="49"/>
      <c r="S98" s="49"/>
      <c r="T98" s="49"/>
      <c r="U98" s="49"/>
      <c r="V98" s="49"/>
      <c r="W98" s="49"/>
      <c r="X98" s="49"/>
      <c r="Y98" s="49"/>
      <c r="Z98" s="49"/>
      <c r="AA98" s="49"/>
      <c r="AB98" s="49"/>
    </row>
    <row r="99" spans="2:28" ht="21" customHeight="1" x14ac:dyDescent="0.2">
      <c r="B99" s="49"/>
      <c r="C99" s="49"/>
      <c r="D99" s="49"/>
      <c r="E99" s="49"/>
      <c r="F99" s="49"/>
      <c r="G99" s="49"/>
      <c r="H99" s="49"/>
      <c r="I99" s="49"/>
      <c r="J99" s="49"/>
      <c r="K99" s="49"/>
      <c r="L99" s="49"/>
      <c r="M99" s="49"/>
      <c r="N99" s="49"/>
      <c r="O99" s="49"/>
      <c r="P99" s="49"/>
      <c r="Q99" s="49"/>
      <c r="R99" s="49"/>
      <c r="S99" s="49"/>
      <c r="T99" s="49"/>
      <c r="U99" s="49"/>
      <c r="V99" s="49"/>
      <c r="W99" s="49"/>
      <c r="X99" s="49"/>
      <c r="Y99" s="49"/>
      <c r="Z99" s="49"/>
      <c r="AA99" s="49"/>
      <c r="AB99" s="49"/>
    </row>
    <row r="100" spans="2:28" ht="21" customHeight="1" x14ac:dyDescent="0.2">
      <c r="B100" s="49"/>
      <c r="C100" s="49"/>
      <c r="D100" s="49"/>
      <c r="E100" s="49"/>
      <c r="F100" s="49"/>
      <c r="G100" s="49"/>
      <c r="H100" s="49"/>
      <c r="I100" s="49"/>
      <c r="J100" s="49"/>
      <c r="K100" s="49"/>
      <c r="L100" s="49"/>
      <c r="M100" s="49"/>
      <c r="N100" s="49"/>
      <c r="O100" s="49"/>
      <c r="P100" s="49"/>
      <c r="Q100" s="49"/>
      <c r="R100" s="49"/>
      <c r="S100" s="49"/>
      <c r="T100" s="49"/>
      <c r="U100" s="49"/>
      <c r="V100" s="49"/>
      <c r="W100" s="49"/>
      <c r="X100" s="49"/>
      <c r="Y100" s="49"/>
      <c r="Z100" s="49"/>
      <c r="AA100" s="49"/>
      <c r="AB100" s="49"/>
    </row>
    <row r="101" spans="2:28" ht="21" customHeight="1" x14ac:dyDescent="0.2">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c r="AA101" s="49"/>
      <c r="AB101" s="49"/>
    </row>
    <row r="102" spans="2:28" ht="21" customHeight="1" x14ac:dyDescent="0.2">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c r="AA102" s="49"/>
      <c r="AB102" s="49"/>
    </row>
    <row r="103" spans="2:28" ht="21" customHeight="1" x14ac:dyDescent="0.2">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c r="AA103" s="49"/>
      <c r="AB103" s="49"/>
    </row>
    <row r="104" spans="2:28" ht="21" customHeight="1" x14ac:dyDescent="0.2">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c r="AA104" s="49"/>
      <c r="AB104" s="49"/>
    </row>
    <row r="105" spans="2:28" ht="21" customHeight="1" x14ac:dyDescent="0.2">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c r="AA105" s="49"/>
      <c r="AB105" s="49"/>
    </row>
    <row r="106" spans="2:28" ht="21" customHeight="1" x14ac:dyDescent="0.2">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c r="AA106" s="49"/>
      <c r="AB106" s="49"/>
    </row>
    <row r="107" spans="2:28" ht="21" customHeight="1" x14ac:dyDescent="0.2">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c r="AA107" s="49"/>
      <c r="AB107" s="49"/>
    </row>
    <row r="108" spans="2:28" ht="21" customHeight="1" x14ac:dyDescent="0.2">
      <c r="B108" s="49"/>
      <c r="C108" s="49"/>
      <c r="D108" s="49"/>
      <c r="E108" s="49"/>
      <c r="F108" s="49"/>
      <c r="G108" s="49"/>
      <c r="H108" s="49"/>
      <c r="I108" s="49"/>
      <c r="J108" s="49"/>
      <c r="K108" s="49"/>
      <c r="L108" s="49"/>
      <c r="M108" s="49"/>
      <c r="N108" s="49"/>
      <c r="O108" s="49"/>
      <c r="P108" s="49"/>
      <c r="Q108" s="49"/>
      <c r="R108" s="49"/>
      <c r="S108" s="49"/>
      <c r="T108" s="49"/>
      <c r="U108" s="49"/>
      <c r="V108" s="49"/>
      <c r="W108" s="49"/>
      <c r="X108" s="49"/>
      <c r="Y108" s="49"/>
      <c r="Z108" s="49"/>
      <c r="AA108" s="49"/>
      <c r="AB108" s="49"/>
    </row>
    <row r="109" spans="2:28" ht="21" customHeight="1" x14ac:dyDescent="0.2">
      <c r="B109" s="49"/>
      <c r="C109" s="49"/>
      <c r="D109" s="49"/>
      <c r="E109" s="49"/>
      <c r="F109" s="49"/>
      <c r="G109" s="49"/>
      <c r="H109" s="49"/>
      <c r="I109" s="49"/>
      <c r="J109" s="49"/>
      <c r="K109" s="49"/>
      <c r="L109" s="49"/>
      <c r="M109" s="49"/>
      <c r="N109" s="49"/>
      <c r="O109" s="49"/>
      <c r="P109" s="49"/>
      <c r="Q109" s="49"/>
      <c r="R109" s="49"/>
      <c r="S109" s="49"/>
      <c r="T109" s="49"/>
      <c r="U109" s="49"/>
      <c r="V109" s="49"/>
      <c r="W109" s="49"/>
      <c r="X109" s="49"/>
      <c r="Y109" s="49"/>
      <c r="Z109" s="49"/>
      <c r="AA109" s="49"/>
      <c r="AB109" s="49"/>
    </row>
    <row r="110" spans="2:28" ht="21" customHeight="1" x14ac:dyDescent="0.2">
      <c r="B110" s="49"/>
      <c r="C110" s="49"/>
      <c r="D110" s="49"/>
      <c r="E110" s="49"/>
      <c r="F110" s="49"/>
      <c r="G110" s="49"/>
      <c r="H110" s="49"/>
      <c r="I110" s="49"/>
      <c r="J110" s="49"/>
      <c r="K110" s="49"/>
      <c r="L110" s="49"/>
      <c r="M110" s="49"/>
      <c r="N110" s="49"/>
      <c r="O110" s="49"/>
      <c r="P110" s="49"/>
      <c r="Q110" s="49"/>
      <c r="R110" s="49"/>
      <c r="S110" s="49"/>
      <c r="T110" s="49"/>
      <c r="U110" s="49"/>
      <c r="V110" s="49"/>
      <c r="W110" s="49"/>
      <c r="X110" s="49"/>
      <c r="Y110" s="49"/>
      <c r="Z110" s="49"/>
      <c r="AA110" s="49"/>
      <c r="AB110" s="49"/>
    </row>
    <row r="111" spans="2:28" ht="21" customHeight="1" x14ac:dyDescent="0.2">
      <c r="B111" s="49"/>
      <c r="C111" s="49"/>
      <c r="D111" s="49"/>
      <c r="E111" s="49"/>
      <c r="F111" s="49"/>
      <c r="G111" s="49"/>
      <c r="H111" s="49"/>
      <c r="I111" s="49"/>
      <c r="J111" s="49"/>
      <c r="K111" s="49"/>
      <c r="L111" s="49"/>
      <c r="M111" s="49"/>
      <c r="N111" s="49"/>
      <c r="O111" s="49"/>
      <c r="P111" s="49"/>
      <c r="Q111" s="49"/>
      <c r="R111" s="49"/>
      <c r="S111" s="49"/>
      <c r="T111" s="49"/>
      <c r="U111" s="49"/>
      <c r="V111" s="49"/>
      <c r="W111" s="49"/>
      <c r="X111" s="49"/>
      <c r="Y111" s="49"/>
      <c r="Z111" s="49"/>
      <c r="AA111" s="49"/>
      <c r="AB111" s="49"/>
    </row>
    <row r="112" spans="2:28" ht="21" customHeight="1" x14ac:dyDescent="0.2">
      <c r="B112" s="49"/>
      <c r="C112" s="49"/>
      <c r="D112" s="49"/>
      <c r="E112" s="49"/>
      <c r="F112" s="49"/>
      <c r="G112" s="49"/>
      <c r="H112" s="49"/>
      <c r="I112" s="49"/>
      <c r="J112" s="49"/>
      <c r="K112" s="49"/>
      <c r="L112" s="49"/>
      <c r="M112" s="49"/>
      <c r="N112" s="49"/>
      <c r="O112" s="49"/>
      <c r="P112" s="49"/>
      <c r="Q112" s="49"/>
      <c r="R112" s="49"/>
      <c r="S112" s="49"/>
      <c r="T112" s="49"/>
      <c r="U112" s="49"/>
      <c r="V112" s="49"/>
      <c r="W112" s="49"/>
      <c r="X112" s="49"/>
      <c r="Y112" s="49"/>
      <c r="Z112" s="49"/>
      <c r="AA112" s="49"/>
      <c r="AB112" s="49"/>
    </row>
    <row r="113" spans="2:28" ht="21" customHeight="1" x14ac:dyDescent="0.2">
      <c r="B113" s="49"/>
      <c r="C113" s="49"/>
      <c r="D113" s="49"/>
      <c r="E113" s="49"/>
      <c r="F113" s="49"/>
      <c r="G113" s="49"/>
      <c r="H113" s="49"/>
      <c r="I113" s="49"/>
      <c r="J113" s="49"/>
      <c r="K113" s="49"/>
      <c r="L113" s="49"/>
      <c r="M113" s="49"/>
      <c r="N113" s="49"/>
      <c r="O113" s="49"/>
      <c r="P113" s="49"/>
      <c r="Q113" s="49"/>
      <c r="R113" s="49"/>
      <c r="S113" s="49"/>
      <c r="T113" s="49"/>
      <c r="U113" s="49"/>
      <c r="V113" s="49"/>
      <c r="W113" s="49"/>
      <c r="X113" s="49"/>
      <c r="Y113" s="49"/>
      <c r="Z113" s="49"/>
      <c r="AA113" s="49"/>
      <c r="AB113" s="49"/>
    </row>
    <row r="114" spans="2:28" ht="21" customHeight="1" x14ac:dyDescent="0.2">
      <c r="B114" s="49"/>
      <c r="C114" s="49"/>
      <c r="D114" s="49"/>
      <c r="E114" s="49"/>
      <c r="F114" s="49"/>
      <c r="G114" s="49"/>
      <c r="H114" s="49"/>
      <c r="I114" s="49"/>
      <c r="J114" s="49"/>
      <c r="K114" s="49"/>
      <c r="L114" s="49"/>
      <c r="M114" s="49"/>
      <c r="N114" s="49"/>
      <c r="O114" s="49"/>
      <c r="P114" s="49"/>
      <c r="Q114" s="49"/>
      <c r="R114" s="49"/>
      <c r="S114" s="49"/>
      <c r="T114" s="49"/>
      <c r="U114" s="49"/>
      <c r="V114" s="49"/>
      <c r="W114" s="49"/>
      <c r="X114" s="49"/>
      <c r="Y114" s="49"/>
      <c r="Z114" s="49"/>
      <c r="AA114" s="49"/>
      <c r="AB114" s="49"/>
    </row>
    <row r="115" spans="2:28" ht="21" customHeight="1" x14ac:dyDescent="0.2">
      <c r="B115" s="49"/>
      <c r="C115" s="49"/>
      <c r="D115" s="49"/>
      <c r="E115" s="49"/>
      <c r="F115" s="49"/>
      <c r="G115" s="49"/>
      <c r="H115" s="49"/>
      <c r="I115" s="49"/>
      <c r="J115" s="49"/>
      <c r="K115" s="49"/>
      <c r="L115" s="49"/>
      <c r="M115" s="49"/>
      <c r="N115" s="49"/>
      <c r="O115" s="49"/>
      <c r="P115" s="49"/>
      <c r="Q115" s="49"/>
      <c r="R115" s="49"/>
      <c r="S115" s="49"/>
      <c r="T115" s="49"/>
      <c r="U115" s="49"/>
      <c r="V115" s="49"/>
      <c r="W115" s="49"/>
      <c r="X115" s="49"/>
      <c r="Y115" s="49"/>
      <c r="Z115" s="49"/>
      <c r="AA115" s="49"/>
      <c r="AB115" s="49"/>
    </row>
    <row r="116" spans="2:28" ht="21" customHeight="1" x14ac:dyDescent="0.2">
      <c r="B116" s="49"/>
      <c r="C116" s="49"/>
      <c r="D116" s="49"/>
      <c r="E116" s="49"/>
      <c r="F116" s="49"/>
      <c r="G116" s="49"/>
      <c r="H116" s="49"/>
      <c r="I116" s="49"/>
      <c r="J116" s="49"/>
      <c r="K116" s="49"/>
      <c r="L116" s="49"/>
      <c r="M116" s="49"/>
      <c r="N116" s="49"/>
      <c r="O116" s="49"/>
      <c r="P116" s="49"/>
      <c r="Q116" s="49"/>
      <c r="R116" s="49"/>
      <c r="S116" s="49"/>
      <c r="T116" s="49"/>
      <c r="U116" s="49"/>
      <c r="V116" s="49"/>
      <c r="W116" s="49"/>
      <c r="X116" s="49"/>
      <c r="Y116" s="49"/>
      <c r="Z116" s="49"/>
      <c r="AA116" s="49"/>
      <c r="AB116" s="49"/>
    </row>
    <row r="117" spans="2:28" ht="21" customHeight="1" x14ac:dyDescent="0.2">
      <c r="B117" s="49"/>
      <c r="C117" s="49"/>
      <c r="D117" s="49"/>
      <c r="E117" s="49"/>
      <c r="F117" s="49"/>
      <c r="G117" s="49"/>
      <c r="H117" s="49"/>
      <c r="I117" s="49"/>
      <c r="J117" s="49"/>
      <c r="K117" s="49"/>
      <c r="L117" s="49"/>
      <c r="M117" s="49"/>
      <c r="N117" s="49"/>
      <c r="O117" s="49"/>
      <c r="P117" s="49"/>
      <c r="Q117" s="49"/>
      <c r="R117" s="49"/>
      <c r="S117" s="49"/>
      <c r="T117" s="49"/>
      <c r="U117" s="49"/>
      <c r="V117" s="49"/>
      <c r="W117" s="49"/>
      <c r="X117" s="49"/>
      <c r="Y117" s="49"/>
      <c r="Z117" s="49"/>
      <c r="AA117" s="49"/>
      <c r="AB117" s="49"/>
    </row>
    <row r="118" spans="2:28" ht="21" customHeight="1" x14ac:dyDescent="0.2">
      <c r="B118" s="49"/>
      <c r="C118" s="49"/>
      <c r="D118" s="49"/>
      <c r="E118" s="49"/>
      <c r="F118" s="49"/>
      <c r="G118" s="49"/>
      <c r="H118" s="49"/>
      <c r="I118" s="49"/>
      <c r="J118" s="49"/>
      <c r="K118" s="49"/>
      <c r="L118" s="49"/>
      <c r="M118" s="49"/>
      <c r="N118" s="49"/>
      <c r="O118" s="49"/>
      <c r="P118" s="49"/>
      <c r="Q118" s="49"/>
      <c r="R118" s="49"/>
      <c r="S118" s="49"/>
      <c r="T118" s="49"/>
      <c r="U118" s="49"/>
      <c r="V118" s="49"/>
      <c r="W118" s="49"/>
      <c r="X118" s="49"/>
      <c r="Y118" s="49"/>
      <c r="Z118" s="49"/>
      <c r="AA118" s="49"/>
      <c r="AB118" s="49"/>
    </row>
    <row r="119" spans="2:28" ht="21" customHeight="1" x14ac:dyDescent="0.2">
      <c r="B119" s="49"/>
      <c r="C119" s="49"/>
      <c r="D119" s="49"/>
      <c r="E119" s="49"/>
      <c r="F119" s="49"/>
      <c r="G119" s="49"/>
      <c r="H119" s="49"/>
      <c r="I119" s="49"/>
      <c r="J119" s="49"/>
      <c r="K119" s="49"/>
      <c r="L119" s="49"/>
      <c r="M119" s="49"/>
      <c r="N119" s="49"/>
      <c r="O119" s="49"/>
      <c r="P119" s="49"/>
      <c r="Q119" s="49"/>
      <c r="R119" s="49"/>
      <c r="S119" s="49"/>
      <c r="T119" s="49"/>
      <c r="U119" s="49"/>
      <c r="V119" s="49"/>
      <c r="W119" s="49"/>
      <c r="X119" s="49"/>
      <c r="Y119" s="49"/>
      <c r="Z119" s="49"/>
      <c r="AA119" s="49"/>
      <c r="AB119" s="49"/>
    </row>
    <row r="120" spans="2:28" ht="21" customHeight="1" x14ac:dyDescent="0.2">
      <c r="B120" s="49"/>
      <c r="C120" s="49"/>
      <c r="D120" s="49"/>
      <c r="E120" s="49"/>
      <c r="F120" s="49"/>
      <c r="G120" s="49"/>
      <c r="H120" s="49"/>
      <c r="I120" s="49"/>
      <c r="J120" s="49"/>
      <c r="K120" s="49"/>
      <c r="L120" s="49"/>
      <c r="M120" s="49"/>
      <c r="N120" s="49"/>
      <c r="O120" s="49"/>
      <c r="P120" s="49"/>
      <c r="Q120" s="49"/>
      <c r="R120" s="49"/>
      <c r="S120" s="49"/>
      <c r="T120" s="49"/>
      <c r="U120" s="49"/>
      <c r="V120" s="49"/>
      <c r="W120" s="49"/>
      <c r="X120" s="49"/>
      <c r="Y120" s="49"/>
      <c r="Z120" s="49"/>
      <c r="AA120" s="49"/>
      <c r="AB120" s="49"/>
    </row>
    <row r="121" spans="2:28" ht="21" customHeight="1" x14ac:dyDescent="0.2">
      <c r="B121" s="49"/>
      <c r="C121" s="49"/>
      <c r="D121" s="49"/>
      <c r="E121" s="49"/>
      <c r="F121" s="49"/>
      <c r="G121" s="49"/>
      <c r="H121" s="49"/>
      <c r="I121" s="49"/>
      <c r="J121" s="49"/>
      <c r="K121" s="49"/>
      <c r="L121" s="49"/>
      <c r="M121" s="49"/>
      <c r="N121" s="49"/>
      <c r="O121" s="49"/>
      <c r="P121" s="49"/>
      <c r="Q121" s="49"/>
      <c r="R121" s="49"/>
      <c r="S121" s="49"/>
      <c r="T121" s="49"/>
      <c r="U121" s="49"/>
      <c r="V121" s="49"/>
      <c r="W121" s="49"/>
      <c r="X121" s="49"/>
      <c r="Y121" s="49"/>
      <c r="Z121" s="49"/>
      <c r="AA121" s="49"/>
      <c r="AB121" s="49"/>
    </row>
    <row r="122" spans="2:28" ht="21" customHeight="1" x14ac:dyDescent="0.2">
      <c r="B122" s="49"/>
      <c r="C122" s="49"/>
      <c r="D122" s="49"/>
      <c r="E122" s="49"/>
      <c r="F122" s="49"/>
      <c r="G122" s="49"/>
      <c r="H122" s="49"/>
      <c r="I122" s="49"/>
      <c r="J122" s="49"/>
      <c r="K122" s="49"/>
      <c r="L122" s="49"/>
      <c r="M122" s="49"/>
      <c r="N122" s="49"/>
      <c r="O122" s="49"/>
      <c r="P122" s="49"/>
      <c r="Q122" s="49"/>
      <c r="R122" s="49"/>
      <c r="S122" s="49"/>
      <c r="T122" s="49"/>
      <c r="U122" s="49"/>
      <c r="V122" s="49"/>
      <c r="W122" s="49"/>
      <c r="X122" s="49"/>
      <c r="Y122" s="49"/>
      <c r="Z122" s="49"/>
      <c r="AA122" s="49"/>
      <c r="AB122" s="49"/>
    </row>
    <row r="123" spans="2:28" ht="21" customHeight="1" x14ac:dyDescent="0.2">
      <c r="B123" s="49"/>
      <c r="C123" s="49"/>
      <c r="D123" s="49"/>
      <c r="E123" s="49"/>
      <c r="F123" s="49"/>
      <c r="G123" s="49"/>
      <c r="H123" s="49"/>
      <c r="I123" s="49"/>
      <c r="J123" s="49"/>
      <c r="K123" s="49"/>
      <c r="L123" s="49"/>
      <c r="M123" s="49"/>
      <c r="N123" s="49"/>
      <c r="O123" s="49"/>
      <c r="P123" s="49"/>
      <c r="Q123" s="49"/>
      <c r="R123" s="49"/>
      <c r="S123" s="49"/>
      <c r="T123" s="49"/>
      <c r="U123" s="49"/>
      <c r="V123" s="49"/>
      <c r="W123" s="49"/>
      <c r="X123" s="49"/>
      <c r="Y123" s="49"/>
      <c r="Z123" s="49"/>
      <c r="AA123" s="49"/>
      <c r="AB123" s="49"/>
    </row>
    <row r="124" spans="2:28" ht="21" customHeight="1" x14ac:dyDescent="0.2">
      <c r="B124" s="49"/>
      <c r="C124" s="49"/>
      <c r="D124" s="49"/>
      <c r="E124" s="49"/>
      <c r="F124" s="49"/>
      <c r="G124" s="49"/>
      <c r="H124" s="49"/>
      <c r="I124" s="49"/>
      <c r="J124" s="49"/>
      <c r="K124" s="49"/>
      <c r="L124" s="49"/>
      <c r="M124" s="49"/>
      <c r="N124" s="49"/>
      <c r="O124" s="49"/>
      <c r="P124" s="49"/>
      <c r="Q124" s="49"/>
      <c r="R124" s="49"/>
      <c r="S124" s="49"/>
      <c r="T124" s="49"/>
      <c r="U124" s="49"/>
      <c r="V124" s="49"/>
      <c r="W124" s="49"/>
      <c r="X124" s="49"/>
      <c r="Y124" s="49"/>
      <c r="Z124" s="49"/>
      <c r="AA124" s="49"/>
      <c r="AB124" s="49"/>
    </row>
    <row r="125" spans="2:28" ht="21" customHeight="1" x14ac:dyDescent="0.2">
      <c r="B125" s="49"/>
      <c r="C125" s="49"/>
      <c r="D125" s="49"/>
      <c r="E125" s="49"/>
      <c r="F125" s="49"/>
      <c r="G125" s="49"/>
      <c r="H125" s="49"/>
      <c r="I125" s="49"/>
      <c r="J125" s="49"/>
      <c r="K125" s="49"/>
      <c r="L125" s="49"/>
      <c r="M125" s="49"/>
      <c r="N125" s="49"/>
      <c r="O125" s="49"/>
      <c r="P125" s="49"/>
      <c r="Q125" s="49"/>
      <c r="R125" s="49"/>
      <c r="S125" s="49"/>
      <c r="T125" s="49"/>
      <c r="U125" s="49"/>
      <c r="V125" s="49"/>
      <c r="W125" s="49"/>
      <c r="X125" s="49"/>
      <c r="Y125" s="49"/>
      <c r="Z125" s="49"/>
      <c r="AA125" s="49"/>
      <c r="AB125" s="49"/>
    </row>
    <row r="126" spans="2:28" ht="21" customHeight="1" x14ac:dyDescent="0.2">
      <c r="B126" s="49"/>
      <c r="C126" s="49"/>
      <c r="D126" s="49"/>
      <c r="E126" s="49"/>
      <c r="F126" s="49"/>
      <c r="G126" s="49"/>
      <c r="H126" s="49"/>
      <c r="I126" s="49"/>
      <c r="J126" s="49"/>
      <c r="K126" s="49"/>
      <c r="L126" s="49"/>
      <c r="M126" s="49"/>
      <c r="N126" s="49"/>
      <c r="O126" s="49"/>
      <c r="P126" s="49"/>
      <c r="Q126" s="49"/>
      <c r="R126" s="49"/>
      <c r="S126" s="49"/>
      <c r="T126" s="49"/>
      <c r="U126" s="49"/>
      <c r="V126" s="49"/>
      <c r="W126" s="49"/>
      <c r="X126" s="49"/>
      <c r="Y126" s="49"/>
      <c r="Z126" s="49"/>
      <c r="AA126" s="49"/>
      <c r="AB126" s="49"/>
    </row>
    <row r="127" spans="2:28" ht="21" customHeight="1" x14ac:dyDescent="0.2">
      <c r="B127" s="49"/>
      <c r="C127" s="49"/>
      <c r="D127" s="49"/>
      <c r="E127" s="49"/>
      <c r="F127" s="49"/>
      <c r="G127" s="49"/>
      <c r="H127" s="49"/>
      <c r="I127" s="49"/>
      <c r="J127" s="49"/>
      <c r="K127" s="49"/>
      <c r="L127" s="49"/>
      <c r="M127" s="49"/>
      <c r="N127" s="49"/>
      <c r="O127" s="49"/>
      <c r="P127" s="49"/>
      <c r="Q127" s="49"/>
      <c r="R127" s="49"/>
      <c r="S127" s="49"/>
      <c r="T127" s="49"/>
      <c r="U127" s="49"/>
      <c r="V127" s="49"/>
      <c r="W127" s="49"/>
      <c r="X127" s="49"/>
      <c r="Y127" s="49"/>
      <c r="Z127" s="49"/>
      <c r="AA127" s="49"/>
      <c r="AB127" s="49"/>
    </row>
    <row r="128" spans="2:28" ht="21" customHeight="1" x14ac:dyDescent="0.2">
      <c r="B128" s="49"/>
      <c r="C128" s="49"/>
      <c r="D128" s="49"/>
      <c r="E128" s="49"/>
      <c r="F128" s="49"/>
      <c r="G128" s="49"/>
      <c r="H128" s="49"/>
      <c r="I128" s="49"/>
      <c r="J128" s="49"/>
      <c r="K128" s="49"/>
      <c r="L128" s="49"/>
      <c r="M128" s="49"/>
      <c r="N128" s="49"/>
      <c r="O128" s="49"/>
      <c r="P128" s="49"/>
      <c r="Q128" s="49"/>
      <c r="R128" s="49"/>
      <c r="S128" s="49"/>
      <c r="T128" s="49"/>
      <c r="U128" s="49"/>
      <c r="V128" s="49"/>
      <c r="W128" s="49"/>
      <c r="X128" s="49"/>
      <c r="Y128" s="49"/>
      <c r="Z128" s="49"/>
      <c r="AA128" s="49"/>
      <c r="AB128" s="49"/>
    </row>
    <row r="129" spans="2:28" ht="21" customHeight="1" x14ac:dyDescent="0.2">
      <c r="B129" s="49"/>
      <c r="C129" s="49"/>
      <c r="D129" s="49"/>
      <c r="E129" s="49"/>
      <c r="F129" s="49"/>
      <c r="G129" s="49"/>
      <c r="H129" s="49"/>
      <c r="I129" s="49"/>
      <c r="J129" s="49"/>
      <c r="K129" s="49"/>
      <c r="L129" s="49"/>
      <c r="M129" s="49"/>
      <c r="N129" s="49"/>
      <c r="O129" s="49"/>
      <c r="P129" s="49"/>
      <c r="Q129" s="49"/>
      <c r="R129" s="49"/>
      <c r="S129" s="49"/>
      <c r="T129" s="49"/>
      <c r="U129" s="49"/>
      <c r="V129" s="49"/>
      <c r="W129" s="49"/>
      <c r="X129" s="49"/>
      <c r="Y129" s="49"/>
      <c r="Z129" s="49"/>
      <c r="AA129" s="49"/>
      <c r="AB129" s="49"/>
    </row>
    <row r="130" spans="2:28" ht="21" customHeight="1" x14ac:dyDescent="0.2">
      <c r="B130" s="49"/>
      <c r="C130" s="49"/>
      <c r="D130" s="49"/>
      <c r="E130" s="49"/>
      <c r="F130" s="49"/>
      <c r="G130" s="49"/>
      <c r="H130" s="49"/>
      <c r="I130" s="49"/>
      <c r="J130" s="49"/>
      <c r="K130" s="49"/>
      <c r="L130" s="49"/>
      <c r="M130" s="49"/>
      <c r="N130" s="49"/>
      <c r="O130" s="49"/>
      <c r="P130" s="49"/>
      <c r="Q130" s="49"/>
      <c r="R130" s="49"/>
      <c r="S130" s="49"/>
      <c r="T130" s="49"/>
      <c r="U130" s="49"/>
      <c r="V130" s="49"/>
      <c r="W130" s="49"/>
      <c r="X130" s="49"/>
      <c r="Y130" s="49"/>
      <c r="Z130" s="49"/>
      <c r="AA130" s="49"/>
      <c r="AB130" s="49"/>
    </row>
    <row r="131" spans="2:28" ht="21" customHeight="1" x14ac:dyDescent="0.2">
      <c r="B131" s="49"/>
      <c r="C131" s="49"/>
      <c r="D131" s="49"/>
      <c r="E131" s="49"/>
      <c r="F131" s="49"/>
      <c r="G131" s="49"/>
      <c r="H131" s="49"/>
      <c r="I131" s="49"/>
      <c r="J131" s="49"/>
      <c r="K131" s="49"/>
      <c r="L131" s="49"/>
      <c r="M131" s="49"/>
      <c r="N131" s="49"/>
      <c r="O131" s="49"/>
      <c r="P131" s="49"/>
      <c r="Q131" s="49"/>
      <c r="R131" s="49"/>
      <c r="S131" s="49"/>
      <c r="T131" s="49"/>
      <c r="U131" s="49"/>
      <c r="V131" s="49"/>
      <c r="W131" s="49"/>
      <c r="X131" s="49"/>
      <c r="Y131" s="49"/>
      <c r="Z131" s="49"/>
      <c r="AA131" s="49"/>
      <c r="AB131" s="49"/>
    </row>
    <row r="132" spans="2:28" ht="21" customHeight="1" x14ac:dyDescent="0.2">
      <c r="B132" s="49"/>
      <c r="C132" s="49"/>
      <c r="D132" s="49"/>
      <c r="E132" s="49"/>
      <c r="F132" s="49"/>
      <c r="G132" s="49"/>
      <c r="H132" s="49"/>
      <c r="I132" s="49"/>
      <c r="J132" s="49"/>
      <c r="K132" s="49"/>
      <c r="L132" s="49"/>
      <c r="M132" s="49"/>
      <c r="N132" s="49"/>
      <c r="O132" s="49"/>
      <c r="P132" s="49"/>
      <c r="Q132" s="49"/>
      <c r="R132" s="49"/>
      <c r="S132" s="49"/>
      <c r="T132" s="49"/>
      <c r="U132" s="49"/>
      <c r="V132" s="49"/>
      <c r="W132" s="49"/>
      <c r="X132" s="49"/>
      <c r="Y132" s="49"/>
      <c r="Z132" s="49"/>
      <c r="AA132" s="49"/>
      <c r="AB132" s="49"/>
    </row>
    <row r="133" spans="2:28" ht="21" customHeight="1" x14ac:dyDescent="0.2">
      <c r="B133" s="49"/>
      <c r="C133" s="49"/>
      <c r="D133" s="49"/>
      <c r="E133" s="49"/>
      <c r="F133" s="49"/>
      <c r="G133" s="49"/>
      <c r="H133" s="49"/>
      <c r="I133" s="49"/>
      <c r="J133" s="49"/>
      <c r="K133" s="49"/>
      <c r="L133" s="49"/>
      <c r="M133" s="49"/>
      <c r="N133" s="49"/>
      <c r="O133" s="49"/>
      <c r="P133" s="49"/>
      <c r="Q133" s="49"/>
      <c r="R133" s="49"/>
      <c r="S133" s="49"/>
      <c r="T133" s="49"/>
      <c r="U133" s="49"/>
      <c r="V133" s="49"/>
      <c r="W133" s="49"/>
      <c r="X133" s="49"/>
      <c r="Y133" s="49"/>
      <c r="Z133" s="49"/>
      <c r="AA133" s="49"/>
      <c r="AB133" s="49"/>
    </row>
    <row r="134" spans="2:28" ht="21" customHeight="1" x14ac:dyDescent="0.2">
      <c r="B134" s="49"/>
      <c r="C134" s="49"/>
      <c r="D134" s="49"/>
      <c r="E134" s="49"/>
      <c r="F134" s="49"/>
      <c r="G134" s="49"/>
      <c r="H134" s="49"/>
      <c r="I134" s="49"/>
      <c r="J134" s="49"/>
      <c r="K134" s="49"/>
      <c r="L134" s="49"/>
      <c r="M134" s="49"/>
      <c r="N134" s="49"/>
      <c r="O134" s="49"/>
      <c r="P134" s="49"/>
      <c r="Q134" s="49"/>
      <c r="R134" s="49"/>
      <c r="S134" s="49"/>
      <c r="T134" s="49"/>
      <c r="U134" s="49"/>
      <c r="V134" s="49"/>
      <c r="W134" s="49"/>
      <c r="X134" s="49"/>
      <c r="Y134" s="49"/>
      <c r="Z134" s="49"/>
      <c r="AA134" s="49"/>
      <c r="AB134" s="49"/>
    </row>
    <row r="135" spans="2:28" ht="21" customHeight="1" x14ac:dyDescent="0.2">
      <c r="B135" s="49"/>
      <c r="C135" s="49"/>
      <c r="D135" s="49"/>
      <c r="E135" s="49"/>
      <c r="F135" s="49"/>
      <c r="G135" s="49"/>
      <c r="H135" s="49"/>
      <c r="I135" s="49"/>
      <c r="J135" s="49"/>
      <c r="K135" s="49"/>
      <c r="L135" s="49"/>
      <c r="M135" s="49"/>
      <c r="N135" s="49"/>
      <c r="O135" s="49"/>
      <c r="P135" s="49"/>
      <c r="Q135" s="49"/>
      <c r="R135" s="49"/>
      <c r="S135" s="49"/>
      <c r="T135" s="49"/>
      <c r="U135" s="49"/>
      <c r="V135" s="49"/>
      <c r="W135" s="49"/>
      <c r="X135" s="49"/>
      <c r="Y135" s="49"/>
      <c r="Z135" s="49"/>
      <c r="AA135" s="49"/>
      <c r="AB135" s="49"/>
    </row>
    <row r="136" spans="2:28" ht="21" customHeight="1" x14ac:dyDescent="0.2">
      <c r="B136" s="49"/>
      <c r="C136" s="49"/>
      <c r="D136" s="49"/>
      <c r="E136" s="49"/>
      <c r="F136" s="49"/>
      <c r="G136" s="49"/>
      <c r="H136" s="49"/>
      <c r="I136" s="49"/>
      <c r="J136" s="49"/>
      <c r="K136" s="49"/>
      <c r="L136" s="49"/>
      <c r="M136" s="49"/>
      <c r="N136" s="49"/>
      <c r="O136" s="49"/>
      <c r="P136" s="49"/>
      <c r="Q136" s="49"/>
      <c r="R136" s="49"/>
      <c r="S136" s="49"/>
      <c r="T136" s="49"/>
      <c r="U136" s="49"/>
      <c r="V136" s="49"/>
      <c r="W136" s="49"/>
      <c r="X136" s="49"/>
      <c r="Y136" s="49"/>
      <c r="Z136" s="49"/>
      <c r="AA136" s="49"/>
      <c r="AB136" s="49"/>
    </row>
    <row r="137" spans="2:28" ht="21" customHeight="1" x14ac:dyDescent="0.2">
      <c r="B137" s="49"/>
      <c r="C137" s="49"/>
      <c r="D137" s="49"/>
      <c r="E137" s="49"/>
      <c r="F137" s="49"/>
      <c r="G137" s="49"/>
      <c r="H137" s="49"/>
      <c r="I137" s="49"/>
      <c r="J137" s="49"/>
      <c r="K137" s="49"/>
      <c r="L137" s="49"/>
      <c r="M137" s="49"/>
      <c r="N137" s="49"/>
      <c r="O137" s="49"/>
      <c r="P137" s="49"/>
      <c r="Q137" s="49"/>
      <c r="R137" s="49"/>
      <c r="S137" s="49"/>
      <c r="T137" s="49"/>
      <c r="U137" s="49"/>
      <c r="V137" s="49"/>
      <c r="W137" s="49"/>
      <c r="X137" s="49"/>
      <c r="Y137" s="49"/>
      <c r="Z137" s="49"/>
      <c r="AA137" s="49"/>
      <c r="AB137" s="49"/>
    </row>
    <row r="138" spans="2:28" ht="21" customHeight="1" x14ac:dyDescent="0.2">
      <c r="B138" s="49"/>
      <c r="C138" s="49"/>
      <c r="D138" s="49"/>
      <c r="E138" s="49"/>
      <c r="F138" s="49"/>
      <c r="G138" s="49"/>
      <c r="H138" s="49"/>
      <c r="I138" s="49"/>
      <c r="J138" s="49"/>
      <c r="K138" s="49"/>
      <c r="L138" s="49"/>
      <c r="M138" s="49"/>
      <c r="N138" s="49"/>
      <c r="O138" s="49"/>
      <c r="P138" s="49"/>
      <c r="Q138" s="49"/>
      <c r="R138" s="49"/>
      <c r="S138" s="49"/>
      <c r="T138" s="49"/>
      <c r="U138" s="49"/>
      <c r="V138" s="49"/>
      <c r="W138" s="49"/>
      <c r="X138" s="49"/>
      <c r="Y138" s="49"/>
      <c r="Z138" s="49"/>
      <c r="AA138" s="49"/>
      <c r="AB138" s="49"/>
    </row>
    <row r="139" spans="2:28" ht="21" customHeight="1" x14ac:dyDescent="0.2">
      <c r="B139" s="49"/>
      <c r="C139" s="49"/>
      <c r="D139" s="49"/>
      <c r="E139" s="49"/>
      <c r="F139" s="49"/>
      <c r="G139" s="49"/>
      <c r="H139" s="49"/>
      <c r="I139" s="49"/>
      <c r="J139" s="49"/>
      <c r="K139" s="49"/>
      <c r="L139" s="49"/>
      <c r="M139" s="49"/>
      <c r="N139" s="49"/>
      <c r="O139" s="49"/>
      <c r="P139" s="49"/>
      <c r="Q139" s="49"/>
      <c r="R139" s="49"/>
      <c r="S139" s="49"/>
      <c r="T139" s="49"/>
      <c r="U139" s="49"/>
      <c r="V139" s="49"/>
      <c r="W139" s="49"/>
      <c r="X139" s="49"/>
      <c r="Y139" s="49"/>
      <c r="Z139" s="49"/>
      <c r="AA139" s="49"/>
      <c r="AB139" s="49"/>
    </row>
    <row r="140" spans="2:28" ht="21" customHeight="1" x14ac:dyDescent="0.2">
      <c r="B140" s="49"/>
      <c r="C140" s="49"/>
      <c r="D140" s="49"/>
      <c r="E140" s="49"/>
      <c r="F140" s="49"/>
      <c r="G140" s="49"/>
      <c r="H140" s="49"/>
      <c r="I140" s="49"/>
      <c r="J140" s="49"/>
      <c r="K140" s="49"/>
      <c r="L140" s="49"/>
      <c r="M140" s="49"/>
      <c r="N140" s="49"/>
      <c r="O140" s="49"/>
      <c r="P140" s="49"/>
      <c r="Q140" s="49"/>
      <c r="R140" s="49"/>
      <c r="S140" s="49"/>
      <c r="T140" s="49"/>
      <c r="U140" s="49"/>
      <c r="V140" s="49"/>
      <c r="W140" s="49"/>
      <c r="X140" s="49"/>
      <c r="Y140" s="49"/>
      <c r="Z140" s="49"/>
      <c r="AA140" s="49"/>
      <c r="AB140" s="49"/>
    </row>
    <row r="141" spans="2:28" ht="21" customHeight="1" x14ac:dyDescent="0.2">
      <c r="B141" s="49"/>
      <c r="C141" s="49"/>
      <c r="D141" s="49"/>
      <c r="E141" s="49"/>
      <c r="F141" s="49"/>
      <c r="G141" s="49"/>
      <c r="H141" s="49"/>
      <c r="I141" s="49"/>
      <c r="J141" s="49"/>
      <c r="K141" s="49"/>
      <c r="L141" s="49"/>
      <c r="M141" s="49"/>
      <c r="N141" s="49"/>
      <c r="O141" s="49"/>
      <c r="P141" s="49"/>
      <c r="Q141" s="49"/>
      <c r="R141" s="49"/>
      <c r="S141" s="49"/>
      <c r="T141" s="49"/>
      <c r="U141" s="49"/>
      <c r="V141" s="49"/>
      <c r="W141" s="49"/>
      <c r="X141" s="49"/>
      <c r="Y141" s="49"/>
      <c r="Z141" s="49"/>
      <c r="AA141" s="49"/>
      <c r="AB141" s="49"/>
    </row>
    <row r="142" spans="2:28" ht="21" customHeight="1" x14ac:dyDescent="0.2">
      <c r="B142" s="49"/>
      <c r="C142" s="49"/>
      <c r="D142" s="49"/>
      <c r="E142" s="49"/>
      <c r="F142" s="49"/>
      <c r="G142" s="49"/>
      <c r="H142" s="49"/>
      <c r="I142" s="49"/>
      <c r="J142" s="49"/>
      <c r="K142" s="49"/>
      <c r="L142" s="49"/>
      <c r="M142" s="49"/>
      <c r="N142" s="49"/>
      <c r="O142" s="49"/>
      <c r="P142" s="49"/>
      <c r="Q142" s="49"/>
      <c r="R142" s="49"/>
      <c r="S142" s="49"/>
      <c r="T142" s="49"/>
      <c r="U142" s="49"/>
      <c r="V142" s="49"/>
      <c r="W142" s="49"/>
      <c r="X142" s="49"/>
      <c r="Y142" s="49"/>
      <c r="Z142" s="49"/>
      <c r="AA142" s="49"/>
      <c r="AB142" s="49"/>
    </row>
    <row r="143" spans="2:28" ht="21" customHeight="1" x14ac:dyDescent="0.2">
      <c r="B143" s="49"/>
      <c r="C143" s="49"/>
      <c r="D143" s="49"/>
      <c r="E143" s="49"/>
      <c r="F143" s="49"/>
      <c r="G143" s="49"/>
      <c r="H143" s="49"/>
      <c r="I143" s="49"/>
      <c r="J143" s="49"/>
      <c r="K143" s="49"/>
      <c r="L143" s="49"/>
      <c r="M143" s="49"/>
      <c r="N143" s="49"/>
      <c r="O143" s="49"/>
      <c r="P143" s="49"/>
      <c r="Q143" s="49"/>
      <c r="R143" s="49"/>
      <c r="S143" s="49"/>
      <c r="T143" s="49"/>
      <c r="U143" s="49"/>
      <c r="V143" s="49"/>
      <c r="W143" s="49"/>
      <c r="X143" s="49"/>
      <c r="Y143" s="49"/>
      <c r="Z143" s="49"/>
      <c r="AA143" s="49"/>
      <c r="AB143" s="49"/>
    </row>
    <row r="144" spans="2:28" ht="21" customHeight="1" x14ac:dyDescent="0.2">
      <c r="B144" s="49"/>
      <c r="C144" s="49"/>
      <c r="D144" s="49"/>
      <c r="E144" s="49"/>
      <c r="F144" s="49"/>
      <c r="G144" s="49"/>
      <c r="H144" s="49"/>
      <c r="I144" s="49"/>
      <c r="J144" s="49"/>
      <c r="K144" s="49"/>
      <c r="L144" s="49"/>
      <c r="M144" s="49"/>
      <c r="N144" s="49"/>
      <c r="O144" s="49"/>
      <c r="P144" s="49"/>
      <c r="Q144" s="49"/>
      <c r="R144" s="49"/>
      <c r="S144" s="49"/>
      <c r="T144" s="49"/>
      <c r="U144" s="49"/>
      <c r="V144" s="49"/>
      <c r="W144" s="49"/>
      <c r="X144" s="49"/>
      <c r="Y144" s="49"/>
      <c r="Z144" s="49"/>
      <c r="AA144" s="49"/>
      <c r="AB144" s="49"/>
    </row>
    <row r="145" spans="2:28" ht="21" customHeight="1" x14ac:dyDescent="0.2">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c r="AA145" s="49"/>
      <c r="AB145" s="49"/>
    </row>
    <row r="146" spans="2:28" ht="21" customHeight="1" x14ac:dyDescent="0.2">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c r="AA146" s="49"/>
      <c r="AB146" s="49"/>
    </row>
    <row r="147" spans="2:28" ht="21" customHeight="1" x14ac:dyDescent="0.2">
      <c r="B147" s="49"/>
      <c r="C147" s="49"/>
      <c r="D147" s="49"/>
      <c r="E147" s="49"/>
      <c r="F147" s="49"/>
      <c r="G147" s="49"/>
      <c r="H147" s="49"/>
      <c r="I147" s="49"/>
      <c r="J147" s="49"/>
      <c r="K147" s="49"/>
      <c r="L147" s="49"/>
      <c r="M147" s="49"/>
      <c r="N147" s="49"/>
      <c r="O147" s="49"/>
      <c r="P147" s="49"/>
      <c r="Q147" s="49"/>
      <c r="R147" s="49"/>
      <c r="S147" s="49"/>
      <c r="T147" s="49"/>
      <c r="U147" s="49"/>
      <c r="V147" s="49"/>
      <c r="W147" s="49"/>
      <c r="X147" s="49"/>
      <c r="Y147" s="49"/>
      <c r="Z147" s="49"/>
      <c r="AA147" s="49"/>
      <c r="AB147" s="49"/>
    </row>
    <row r="148" spans="2:28" ht="21" customHeight="1" x14ac:dyDescent="0.2">
      <c r="B148" s="49"/>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c r="AA148" s="49"/>
      <c r="AB148" s="49"/>
    </row>
    <row r="149" spans="2:28" ht="21" customHeight="1" x14ac:dyDescent="0.2">
      <c r="B149" s="49"/>
      <c r="C149" s="49"/>
      <c r="D149" s="49"/>
      <c r="E149" s="49"/>
      <c r="F149" s="49"/>
      <c r="G149" s="49"/>
      <c r="H149" s="49"/>
      <c r="I149" s="49"/>
      <c r="J149" s="49"/>
      <c r="K149" s="49"/>
      <c r="L149" s="49"/>
      <c r="M149" s="49"/>
      <c r="N149" s="49"/>
      <c r="O149" s="49"/>
      <c r="P149" s="49"/>
      <c r="Q149" s="49"/>
      <c r="R149" s="49"/>
      <c r="S149" s="49"/>
      <c r="T149" s="49"/>
      <c r="U149" s="49"/>
      <c r="V149" s="49"/>
      <c r="W149" s="49"/>
      <c r="X149" s="49"/>
      <c r="Y149" s="49"/>
      <c r="Z149" s="49"/>
      <c r="AA149" s="49"/>
      <c r="AB149" s="49"/>
    </row>
    <row r="150" spans="2:28" ht="21" customHeight="1" x14ac:dyDescent="0.2">
      <c r="B150" s="49"/>
      <c r="C150" s="49"/>
      <c r="D150" s="49"/>
      <c r="E150" s="49"/>
      <c r="F150" s="49"/>
      <c r="G150" s="49"/>
      <c r="H150" s="49"/>
      <c r="I150" s="49"/>
      <c r="J150" s="49"/>
      <c r="K150" s="49"/>
      <c r="L150" s="49"/>
      <c r="M150" s="49"/>
      <c r="N150" s="49"/>
      <c r="O150" s="49"/>
      <c r="P150" s="49"/>
      <c r="Q150" s="49"/>
      <c r="R150" s="49"/>
      <c r="S150" s="49"/>
      <c r="T150" s="49"/>
      <c r="U150" s="49"/>
      <c r="V150" s="49"/>
      <c r="W150" s="49"/>
      <c r="X150" s="49"/>
      <c r="Y150" s="49"/>
      <c r="Z150" s="49"/>
      <c r="AA150" s="49"/>
      <c r="AB150" s="49"/>
    </row>
    <row r="151" spans="2:28" ht="21" customHeight="1" x14ac:dyDescent="0.2">
      <c r="B151" s="49"/>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c r="AA151" s="49"/>
      <c r="AB151" s="49"/>
    </row>
    <row r="152" spans="2:28" ht="21" customHeight="1" x14ac:dyDescent="0.2">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c r="AA152" s="49"/>
      <c r="AB152" s="49"/>
    </row>
    <row r="153" spans="2:28" ht="21" customHeight="1" x14ac:dyDescent="0.2">
      <c r="B153" s="49"/>
      <c r="C153" s="49"/>
      <c r="D153" s="49"/>
      <c r="E153" s="49"/>
      <c r="F153" s="49"/>
      <c r="G153" s="49"/>
      <c r="H153" s="49"/>
      <c r="I153" s="49"/>
      <c r="J153" s="49"/>
      <c r="K153" s="49"/>
      <c r="L153" s="49"/>
      <c r="M153" s="49"/>
      <c r="N153" s="49"/>
      <c r="O153" s="49"/>
      <c r="P153" s="49"/>
      <c r="Q153" s="49"/>
      <c r="R153" s="49"/>
      <c r="S153" s="49"/>
      <c r="T153" s="49"/>
      <c r="U153" s="49"/>
      <c r="V153" s="49"/>
      <c r="W153" s="49"/>
      <c r="X153" s="49"/>
      <c r="Y153" s="49"/>
      <c r="Z153" s="49"/>
      <c r="AA153" s="49"/>
      <c r="AB153" s="49"/>
    </row>
    <row r="154" spans="2:28" ht="21" customHeight="1" x14ac:dyDescent="0.2">
      <c r="B154" s="49"/>
      <c r="C154" s="49"/>
      <c r="D154" s="49"/>
      <c r="E154" s="49"/>
      <c r="F154" s="49"/>
      <c r="G154" s="49"/>
      <c r="H154" s="49"/>
      <c r="I154" s="49"/>
      <c r="J154" s="49"/>
      <c r="K154" s="49"/>
      <c r="L154" s="49"/>
      <c r="M154" s="49"/>
      <c r="N154" s="49"/>
      <c r="O154" s="49"/>
      <c r="P154" s="49"/>
      <c r="Q154" s="49"/>
      <c r="R154" s="49"/>
      <c r="S154" s="49"/>
      <c r="T154" s="49"/>
      <c r="U154" s="49"/>
      <c r="V154" s="49"/>
      <c r="W154" s="49"/>
      <c r="X154" s="49"/>
      <c r="Y154" s="49"/>
      <c r="Z154" s="49"/>
      <c r="AA154" s="49"/>
      <c r="AB154" s="49"/>
    </row>
    <row r="155" spans="2:28" ht="21" customHeight="1" x14ac:dyDescent="0.2">
      <c r="B155" s="49"/>
      <c r="C155" s="49"/>
      <c r="D155" s="49"/>
      <c r="E155" s="49"/>
      <c r="F155" s="49"/>
      <c r="G155" s="49"/>
      <c r="H155" s="49"/>
      <c r="I155" s="49"/>
      <c r="J155" s="49"/>
      <c r="K155" s="49"/>
      <c r="L155" s="49"/>
      <c r="M155" s="49"/>
      <c r="N155" s="49"/>
      <c r="O155" s="49"/>
      <c r="P155" s="49"/>
      <c r="Q155" s="49"/>
      <c r="R155" s="49"/>
      <c r="S155" s="49"/>
      <c r="T155" s="49"/>
      <c r="U155" s="49"/>
      <c r="V155" s="49"/>
      <c r="W155" s="49"/>
      <c r="X155" s="49"/>
      <c r="Y155" s="49"/>
      <c r="Z155" s="49"/>
      <c r="AA155" s="49"/>
      <c r="AB155" s="49"/>
    </row>
    <row r="156" spans="2:28" ht="21" customHeight="1" x14ac:dyDescent="0.2">
      <c r="B156" s="49"/>
      <c r="C156" s="49"/>
      <c r="D156" s="49"/>
      <c r="E156" s="49"/>
      <c r="F156" s="49"/>
      <c r="G156" s="49"/>
      <c r="H156" s="49"/>
      <c r="I156" s="49"/>
      <c r="J156" s="49"/>
      <c r="K156" s="49"/>
      <c r="L156" s="49"/>
      <c r="M156" s="49"/>
      <c r="N156" s="49"/>
      <c r="O156" s="49"/>
      <c r="P156" s="49"/>
      <c r="Q156" s="49"/>
      <c r="R156" s="49"/>
      <c r="S156" s="49"/>
      <c r="T156" s="49"/>
      <c r="U156" s="49"/>
      <c r="V156" s="49"/>
      <c r="W156" s="49"/>
      <c r="X156" s="49"/>
      <c r="Y156" s="49"/>
      <c r="Z156" s="49"/>
      <c r="AA156" s="49"/>
      <c r="AB156" s="49"/>
    </row>
    <row r="157" spans="2:28" ht="21" customHeight="1" x14ac:dyDescent="0.2">
      <c r="B157" s="49"/>
      <c r="C157" s="49"/>
      <c r="D157" s="49"/>
      <c r="E157" s="49"/>
      <c r="F157" s="49"/>
      <c r="G157" s="49"/>
      <c r="H157" s="49"/>
      <c r="I157" s="49"/>
      <c r="J157" s="49"/>
      <c r="K157" s="49"/>
      <c r="L157" s="49"/>
      <c r="M157" s="49"/>
      <c r="N157" s="49"/>
      <c r="O157" s="49"/>
      <c r="P157" s="49"/>
      <c r="Q157" s="49"/>
      <c r="R157" s="49"/>
      <c r="S157" s="49"/>
      <c r="T157" s="49"/>
      <c r="U157" s="49"/>
      <c r="V157" s="49"/>
      <c r="W157" s="49"/>
      <c r="X157" s="49"/>
      <c r="Y157" s="49"/>
      <c r="Z157" s="49"/>
      <c r="AA157" s="49"/>
      <c r="AB157" s="49"/>
    </row>
    <row r="158" spans="2:28" ht="21" customHeight="1" x14ac:dyDescent="0.2">
      <c r="B158" s="49"/>
      <c r="C158" s="49"/>
      <c r="D158" s="49"/>
      <c r="E158" s="49"/>
      <c r="F158" s="49"/>
      <c r="G158" s="49"/>
      <c r="H158" s="49"/>
      <c r="I158" s="49"/>
      <c r="J158" s="49"/>
      <c r="K158" s="49"/>
      <c r="L158" s="49"/>
      <c r="M158" s="49"/>
      <c r="N158" s="49"/>
      <c r="O158" s="49"/>
      <c r="P158" s="49"/>
      <c r="Q158" s="49"/>
      <c r="R158" s="49"/>
      <c r="S158" s="49"/>
      <c r="T158" s="49"/>
      <c r="U158" s="49"/>
      <c r="V158" s="49"/>
      <c r="W158" s="49"/>
      <c r="X158" s="49"/>
      <c r="Y158" s="49"/>
      <c r="Z158" s="49"/>
      <c r="AA158" s="49"/>
      <c r="AB158" s="49"/>
    </row>
    <row r="159" spans="2:28" ht="21" customHeight="1" x14ac:dyDescent="0.2">
      <c r="B159" s="49"/>
      <c r="C159" s="49"/>
      <c r="D159" s="49"/>
      <c r="E159" s="49"/>
      <c r="F159" s="49"/>
      <c r="G159" s="49"/>
      <c r="H159" s="49"/>
      <c r="I159" s="49"/>
      <c r="J159" s="49"/>
      <c r="K159" s="49"/>
      <c r="L159" s="49"/>
      <c r="M159" s="49"/>
      <c r="N159" s="49"/>
      <c r="O159" s="49"/>
      <c r="P159" s="49"/>
      <c r="Q159" s="49"/>
      <c r="R159" s="49"/>
      <c r="S159" s="49"/>
      <c r="T159" s="49"/>
      <c r="U159" s="49"/>
      <c r="V159" s="49"/>
      <c r="W159" s="49"/>
      <c r="X159" s="49"/>
      <c r="Y159" s="49"/>
      <c r="Z159" s="49"/>
      <c r="AA159" s="49"/>
      <c r="AB159" s="49"/>
    </row>
    <row r="160" spans="2:28" ht="21" customHeight="1" x14ac:dyDescent="0.2">
      <c r="B160" s="49"/>
      <c r="C160" s="49"/>
      <c r="D160" s="49"/>
      <c r="E160" s="49"/>
      <c r="F160" s="49"/>
      <c r="G160" s="49"/>
      <c r="H160" s="49"/>
      <c r="I160" s="49"/>
      <c r="J160" s="49"/>
      <c r="K160" s="49"/>
      <c r="L160" s="49"/>
      <c r="M160" s="49"/>
      <c r="N160" s="49"/>
      <c r="O160" s="49"/>
      <c r="P160" s="49"/>
      <c r="Q160" s="49"/>
      <c r="R160" s="49"/>
      <c r="S160" s="49"/>
      <c r="T160" s="49"/>
      <c r="U160" s="49"/>
      <c r="V160" s="49"/>
      <c r="W160" s="49"/>
      <c r="X160" s="49"/>
      <c r="Y160" s="49"/>
      <c r="Z160" s="49"/>
      <c r="AA160" s="49"/>
      <c r="AB160" s="49"/>
    </row>
    <row r="161" spans="2:28" ht="21" customHeight="1" x14ac:dyDescent="0.2">
      <c r="B161" s="49"/>
      <c r="C161" s="49"/>
      <c r="D161" s="49"/>
      <c r="E161" s="49"/>
      <c r="F161" s="49"/>
      <c r="G161" s="49"/>
      <c r="H161" s="49"/>
      <c r="I161" s="49"/>
      <c r="J161" s="49"/>
      <c r="K161" s="49"/>
      <c r="L161" s="49"/>
      <c r="M161" s="49"/>
      <c r="N161" s="49"/>
      <c r="O161" s="49"/>
      <c r="P161" s="49"/>
      <c r="Q161" s="49"/>
      <c r="R161" s="49"/>
      <c r="S161" s="49"/>
      <c r="T161" s="49"/>
      <c r="U161" s="49"/>
      <c r="V161" s="49"/>
      <c r="W161" s="49"/>
      <c r="X161" s="49"/>
      <c r="Y161" s="49"/>
      <c r="Z161" s="49"/>
      <c r="AA161" s="49"/>
      <c r="AB161" s="49"/>
    </row>
    <row r="162" spans="2:28" ht="21" customHeight="1" x14ac:dyDescent="0.2">
      <c r="B162" s="49"/>
      <c r="C162" s="49"/>
      <c r="D162" s="49"/>
      <c r="E162" s="49"/>
      <c r="F162" s="49"/>
      <c r="G162" s="49"/>
      <c r="H162" s="49"/>
      <c r="I162" s="49"/>
      <c r="J162" s="49"/>
      <c r="K162" s="49"/>
      <c r="L162" s="49"/>
      <c r="M162" s="49"/>
      <c r="N162" s="49"/>
      <c r="O162" s="49"/>
      <c r="P162" s="49"/>
      <c r="Q162" s="49"/>
      <c r="R162" s="49"/>
      <c r="S162" s="49"/>
      <c r="T162" s="49"/>
      <c r="U162" s="49"/>
      <c r="V162" s="49"/>
      <c r="W162" s="49"/>
      <c r="X162" s="49"/>
      <c r="Y162" s="49"/>
      <c r="Z162" s="49"/>
      <c r="AA162" s="49"/>
      <c r="AB162" s="49"/>
    </row>
    <row r="163" spans="2:28" ht="21" customHeight="1" x14ac:dyDescent="0.2">
      <c r="B163" s="49"/>
      <c r="C163" s="49"/>
      <c r="D163" s="49"/>
      <c r="E163" s="49"/>
      <c r="F163" s="49"/>
      <c r="G163" s="49"/>
      <c r="H163" s="49"/>
      <c r="I163" s="49"/>
      <c r="J163" s="49"/>
      <c r="K163" s="49"/>
      <c r="L163" s="49"/>
      <c r="M163" s="49"/>
      <c r="N163" s="49"/>
      <c r="O163" s="49"/>
      <c r="P163" s="49"/>
      <c r="Q163" s="49"/>
      <c r="R163" s="49"/>
      <c r="S163" s="49"/>
      <c r="T163" s="49"/>
      <c r="U163" s="49"/>
      <c r="V163" s="49"/>
      <c r="W163" s="49"/>
      <c r="X163" s="49"/>
      <c r="Y163" s="49"/>
      <c r="Z163" s="49"/>
      <c r="AA163" s="49"/>
      <c r="AB163" s="49"/>
    </row>
    <row r="164" spans="2:28" ht="21" customHeight="1" x14ac:dyDescent="0.2">
      <c r="B164" s="49"/>
      <c r="C164" s="49"/>
      <c r="D164" s="49"/>
      <c r="E164" s="49"/>
      <c r="F164" s="49"/>
      <c r="G164" s="49"/>
      <c r="H164" s="49"/>
      <c r="I164" s="49"/>
      <c r="J164" s="49"/>
      <c r="K164" s="49"/>
      <c r="L164" s="49"/>
      <c r="M164" s="49"/>
      <c r="N164" s="49"/>
      <c r="O164" s="49"/>
      <c r="P164" s="49"/>
      <c r="Q164" s="49"/>
      <c r="R164" s="49"/>
      <c r="S164" s="49"/>
      <c r="T164" s="49"/>
      <c r="U164" s="49"/>
      <c r="V164" s="49"/>
      <c r="W164" s="49"/>
      <c r="X164" s="49"/>
      <c r="Y164" s="49"/>
      <c r="Z164" s="49"/>
      <c r="AA164" s="49"/>
      <c r="AB164" s="49"/>
    </row>
    <row r="165" spans="2:28" ht="21" customHeight="1" x14ac:dyDescent="0.2">
      <c r="B165" s="49"/>
      <c r="C165" s="49"/>
      <c r="D165" s="49"/>
      <c r="E165" s="49"/>
      <c r="F165" s="49"/>
      <c r="G165" s="49"/>
      <c r="H165" s="49"/>
      <c r="I165" s="49"/>
      <c r="J165" s="49"/>
      <c r="K165" s="49"/>
      <c r="L165" s="49"/>
      <c r="M165" s="49"/>
      <c r="N165" s="49"/>
      <c r="O165" s="49"/>
      <c r="P165" s="49"/>
      <c r="Q165" s="49"/>
      <c r="R165" s="49"/>
      <c r="S165" s="49"/>
      <c r="T165" s="49"/>
      <c r="U165" s="49"/>
      <c r="V165" s="49"/>
      <c r="W165" s="49"/>
      <c r="X165" s="49"/>
      <c r="Y165" s="49"/>
      <c r="Z165" s="49"/>
      <c r="AA165" s="49"/>
      <c r="AB165" s="49"/>
    </row>
    <row r="166" spans="2:28" ht="21" customHeight="1" x14ac:dyDescent="0.2">
      <c r="B166" s="49"/>
      <c r="C166" s="49"/>
      <c r="D166" s="49"/>
      <c r="E166" s="49"/>
      <c r="F166" s="49"/>
      <c r="G166" s="49"/>
      <c r="H166" s="49"/>
      <c r="I166" s="49"/>
      <c r="J166" s="49"/>
      <c r="K166" s="49"/>
      <c r="L166" s="49"/>
      <c r="M166" s="49"/>
      <c r="N166" s="49"/>
      <c r="O166" s="49"/>
      <c r="P166" s="49"/>
      <c r="Q166" s="49"/>
      <c r="R166" s="49"/>
      <c r="S166" s="49"/>
      <c r="T166" s="49"/>
      <c r="U166" s="49"/>
      <c r="V166" s="49"/>
      <c r="W166" s="49"/>
      <c r="X166" s="49"/>
      <c r="Y166" s="49"/>
      <c r="Z166" s="49"/>
      <c r="AA166" s="49"/>
      <c r="AB166" s="49"/>
    </row>
    <row r="167" spans="2:28" ht="21" customHeight="1" x14ac:dyDescent="0.2">
      <c r="B167" s="49"/>
      <c r="C167" s="49"/>
      <c r="D167" s="49"/>
      <c r="E167" s="49"/>
      <c r="F167" s="49"/>
      <c r="G167" s="49"/>
      <c r="H167" s="49"/>
      <c r="I167" s="49"/>
      <c r="J167" s="49"/>
      <c r="K167" s="49"/>
      <c r="L167" s="49"/>
      <c r="M167" s="49"/>
      <c r="N167" s="49"/>
      <c r="O167" s="49"/>
      <c r="P167" s="49"/>
      <c r="Q167" s="49"/>
      <c r="R167" s="49"/>
      <c r="S167" s="49"/>
      <c r="T167" s="49"/>
      <c r="U167" s="49"/>
      <c r="V167" s="49"/>
      <c r="W167" s="49"/>
      <c r="X167" s="49"/>
      <c r="Y167" s="49"/>
      <c r="Z167" s="49"/>
      <c r="AA167" s="49"/>
      <c r="AB167" s="49"/>
    </row>
    <row r="168" spans="2:28" ht="21" customHeight="1" x14ac:dyDescent="0.2">
      <c r="B168" s="49"/>
      <c r="C168" s="49"/>
      <c r="D168" s="49"/>
      <c r="E168" s="49"/>
      <c r="F168" s="49"/>
      <c r="G168" s="49"/>
      <c r="H168" s="49"/>
      <c r="I168" s="49"/>
      <c r="J168" s="49"/>
      <c r="K168" s="49"/>
      <c r="L168" s="49"/>
      <c r="M168" s="49"/>
      <c r="N168" s="49"/>
      <c r="O168" s="49"/>
      <c r="P168" s="49"/>
      <c r="Q168" s="49"/>
      <c r="R168" s="49"/>
      <c r="S168" s="49"/>
      <c r="T168" s="49"/>
      <c r="U168" s="49"/>
      <c r="V168" s="49"/>
      <c r="W168" s="49"/>
      <c r="X168" s="49"/>
      <c r="Y168" s="49"/>
      <c r="Z168" s="49"/>
      <c r="AA168" s="49"/>
      <c r="AB168" s="49"/>
    </row>
    <row r="169" spans="2:28" ht="21" customHeight="1" x14ac:dyDescent="0.2">
      <c r="B169" s="49"/>
      <c r="C169" s="49"/>
      <c r="D169" s="49"/>
      <c r="E169" s="49"/>
      <c r="F169" s="49"/>
      <c r="G169" s="49"/>
      <c r="H169" s="49"/>
      <c r="I169" s="49"/>
      <c r="J169" s="49"/>
      <c r="K169" s="49"/>
      <c r="L169" s="49"/>
      <c r="M169" s="49"/>
      <c r="N169" s="49"/>
      <c r="O169" s="49"/>
      <c r="P169" s="49"/>
      <c r="Q169" s="49"/>
      <c r="R169" s="49"/>
      <c r="S169" s="49"/>
      <c r="T169" s="49"/>
      <c r="U169" s="49"/>
      <c r="V169" s="49"/>
      <c r="W169" s="49"/>
      <c r="X169" s="49"/>
      <c r="Y169" s="49"/>
      <c r="Z169" s="49"/>
      <c r="AA169" s="49"/>
      <c r="AB169" s="49"/>
    </row>
    <row r="170" spans="2:28" ht="21" customHeight="1" x14ac:dyDescent="0.2">
      <c r="B170" s="49"/>
      <c r="C170" s="49"/>
      <c r="D170" s="49"/>
      <c r="E170" s="49"/>
      <c r="F170" s="49"/>
      <c r="G170" s="49"/>
      <c r="H170" s="49"/>
      <c r="I170" s="49"/>
      <c r="J170" s="49"/>
      <c r="K170" s="49"/>
      <c r="L170" s="49"/>
      <c r="M170" s="49"/>
      <c r="N170" s="49"/>
      <c r="O170" s="49"/>
      <c r="P170" s="49"/>
      <c r="Q170" s="49"/>
      <c r="R170" s="49"/>
      <c r="S170" s="49"/>
      <c r="T170" s="49"/>
      <c r="U170" s="49"/>
      <c r="V170" s="49"/>
      <c r="W170" s="49"/>
      <c r="X170" s="49"/>
      <c r="Y170" s="49"/>
      <c r="Z170" s="49"/>
      <c r="AA170" s="49"/>
      <c r="AB170" s="49"/>
    </row>
    <row r="171" spans="2:28" ht="21" customHeight="1" x14ac:dyDescent="0.2">
      <c r="B171" s="49"/>
      <c r="C171" s="49"/>
      <c r="D171" s="49"/>
      <c r="E171" s="49"/>
      <c r="F171" s="49"/>
      <c r="G171" s="49"/>
      <c r="H171" s="49"/>
      <c r="I171" s="49"/>
      <c r="J171" s="49"/>
      <c r="K171" s="49"/>
      <c r="L171" s="49"/>
      <c r="M171" s="49"/>
      <c r="N171" s="49"/>
      <c r="O171" s="49"/>
      <c r="P171" s="49"/>
      <c r="Q171" s="49"/>
      <c r="R171" s="49"/>
      <c r="S171" s="49"/>
      <c r="T171" s="49"/>
      <c r="U171" s="49"/>
      <c r="V171" s="49"/>
      <c r="W171" s="49"/>
      <c r="X171" s="49"/>
      <c r="Y171" s="49"/>
      <c r="Z171" s="49"/>
      <c r="AA171" s="49"/>
      <c r="AB171" s="49"/>
    </row>
    <row r="172" spans="2:28" ht="21" customHeight="1" x14ac:dyDescent="0.2">
      <c r="B172" s="49"/>
      <c r="C172" s="49"/>
      <c r="D172" s="49"/>
      <c r="E172" s="49"/>
      <c r="F172" s="49"/>
      <c r="G172" s="49"/>
      <c r="H172" s="49"/>
      <c r="I172" s="49"/>
      <c r="J172" s="49"/>
      <c r="K172" s="49"/>
      <c r="L172" s="49"/>
      <c r="M172" s="49"/>
      <c r="N172" s="49"/>
      <c r="O172" s="49"/>
      <c r="P172" s="49"/>
      <c r="Q172" s="49"/>
      <c r="R172" s="49"/>
      <c r="S172" s="49"/>
      <c r="T172" s="49"/>
      <c r="U172" s="49"/>
      <c r="V172" s="49"/>
      <c r="W172" s="49"/>
      <c r="X172" s="49"/>
      <c r="Y172" s="49"/>
      <c r="Z172" s="49"/>
      <c r="AA172" s="49"/>
      <c r="AB172" s="49"/>
    </row>
    <row r="173" spans="2:28" ht="21" customHeight="1" x14ac:dyDescent="0.2">
      <c r="B173" s="49"/>
      <c r="C173" s="49"/>
      <c r="D173" s="49"/>
      <c r="E173" s="49"/>
      <c r="F173" s="49"/>
      <c r="G173" s="49"/>
      <c r="H173" s="49"/>
      <c r="I173" s="49"/>
      <c r="J173" s="49"/>
      <c r="K173" s="49"/>
      <c r="L173" s="49"/>
      <c r="M173" s="49"/>
      <c r="N173" s="49"/>
      <c r="O173" s="49"/>
      <c r="P173" s="49"/>
      <c r="Q173" s="49"/>
      <c r="R173" s="49"/>
      <c r="S173" s="49"/>
      <c r="T173" s="49"/>
      <c r="U173" s="49"/>
      <c r="V173" s="49"/>
      <c r="W173" s="49"/>
      <c r="X173" s="49"/>
      <c r="Y173" s="49"/>
      <c r="Z173" s="49"/>
      <c r="AA173" s="49"/>
      <c r="AB173" s="49"/>
    </row>
    <row r="174" spans="2:28" ht="21" customHeight="1" x14ac:dyDescent="0.2">
      <c r="B174" s="49"/>
      <c r="C174" s="49"/>
      <c r="D174" s="49"/>
      <c r="E174" s="49"/>
      <c r="F174" s="49"/>
      <c r="G174" s="49"/>
      <c r="H174" s="49"/>
      <c r="I174" s="49"/>
      <c r="J174" s="49"/>
      <c r="K174" s="49"/>
      <c r="L174" s="49"/>
      <c r="M174" s="49"/>
      <c r="N174" s="49"/>
      <c r="O174" s="49"/>
      <c r="P174" s="49"/>
      <c r="Q174" s="49"/>
      <c r="R174" s="49"/>
      <c r="S174" s="49"/>
      <c r="T174" s="49"/>
      <c r="U174" s="49"/>
      <c r="V174" s="49"/>
      <c r="W174" s="49"/>
      <c r="X174" s="49"/>
      <c r="Y174" s="49"/>
      <c r="Z174" s="49"/>
      <c r="AA174" s="49"/>
      <c r="AB174" s="49"/>
    </row>
    <row r="175" spans="2:28" ht="15.75" customHeight="1" x14ac:dyDescent="0.2"/>
    <row r="176" spans="2:28"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sheetData>
  <mergeCells count="6">
    <mergeCell ref="F2:I2"/>
    <mergeCell ref="B12:B13"/>
    <mergeCell ref="C12:C13"/>
    <mergeCell ref="I6:I7"/>
    <mergeCell ref="E10:J10"/>
    <mergeCell ref="E11:J13"/>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4">
        <x14:dataValidation type="list" allowBlank="1" showErrorMessage="1" xr:uid="{00000000-0002-0000-0000-000000000000}">
          <x14:formula1>
            <xm:f>Lists!$K$2:$K$4</xm:f>
          </x14:formula1>
          <xm:sqref>C5</xm:sqref>
        </x14:dataValidation>
        <x14:dataValidation type="list" allowBlank="1" showErrorMessage="1" xr:uid="{00000000-0002-0000-0000-000002000000}">
          <x14:formula1>
            <xm:f>Lists!$H$2:$H$7</xm:f>
          </x14:formula1>
          <xm:sqref>C6</xm:sqref>
        </x14:dataValidation>
        <x14:dataValidation type="list" allowBlank="1" showErrorMessage="1" xr:uid="{00000000-0002-0000-0000-000003000000}">
          <x14:formula1>
            <xm:f>Lists!$A$2:$A$5</xm:f>
          </x14:formula1>
          <xm:sqref>C4</xm:sqref>
        </x14:dataValidation>
        <x14:dataValidation type="list" allowBlank="1" showErrorMessage="1" xr:uid="{00000000-0002-0000-0000-00000B000000}">
          <x14:formula1>
            <xm:f>Lists!$I$2:$I$6</xm:f>
          </x14:formula1>
          <xm:sqref>C8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BA090-BB90-2E4A-8FAD-41DA052B53B4}">
  <sheetPr codeName="Sheet2"/>
  <dimension ref="B2:AB912"/>
  <sheetViews>
    <sheetView tabSelected="1" topLeftCell="A15" zoomScale="56" zoomScaleNormal="75" workbookViewId="0">
      <selection activeCell="C25" sqref="C25"/>
    </sheetView>
  </sheetViews>
  <sheetFormatPr baseColWidth="10" defaultColWidth="10.140625" defaultRowHeight="15" customHeight="1" x14ac:dyDescent="0.2"/>
  <cols>
    <col min="1" max="1" width="2.28515625" customWidth="1"/>
    <col min="2" max="2" width="5.42578125" customWidth="1"/>
    <col min="3" max="3" width="25" customWidth="1"/>
    <col min="4" max="7" width="25.7109375" customWidth="1"/>
    <col min="8" max="14" width="25.5703125" customWidth="1"/>
    <col min="15" max="25" width="26" customWidth="1"/>
    <col min="26" max="28" width="11.42578125" customWidth="1"/>
  </cols>
  <sheetData>
    <row r="2" spans="2:28" ht="83" customHeight="1" x14ac:dyDescent="0.2">
      <c r="C2" s="130" t="s">
        <v>272</v>
      </c>
      <c r="D2" s="131"/>
      <c r="E2" s="131"/>
      <c r="F2" s="131"/>
      <c r="G2" s="132"/>
      <c r="I2" s="130" t="s">
        <v>273</v>
      </c>
      <c r="J2" s="131"/>
      <c r="K2" s="131"/>
      <c r="L2" s="131"/>
      <c r="M2" s="131"/>
      <c r="N2" s="132"/>
    </row>
    <row r="3" spans="2:28" ht="15" customHeight="1" thickBot="1" x14ac:dyDescent="0.25"/>
    <row r="4" spans="2:28" ht="65" customHeight="1" x14ac:dyDescent="0.2">
      <c r="C4" s="21" t="s">
        <v>100</v>
      </c>
      <c r="D4" s="133" t="s">
        <v>67</v>
      </c>
      <c r="E4" s="133"/>
      <c r="F4" s="133"/>
      <c r="G4" s="134"/>
      <c r="H4" s="135"/>
      <c r="I4" s="115" t="s">
        <v>264</v>
      </c>
      <c r="J4" s="116" t="s">
        <v>262</v>
      </c>
      <c r="K4" s="60" t="s">
        <v>263</v>
      </c>
      <c r="L4" s="107"/>
      <c r="M4" s="107"/>
      <c r="N4" s="107"/>
      <c r="O4" s="108"/>
      <c r="P4" s="108"/>
      <c r="Q4" s="108"/>
      <c r="R4" s="1"/>
      <c r="S4" s="1"/>
      <c r="T4" s="1"/>
      <c r="U4" s="1"/>
      <c r="V4" s="1"/>
      <c r="W4" s="1"/>
      <c r="X4" s="1"/>
      <c r="Y4" s="1"/>
      <c r="Z4" s="1"/>
      <c r="AA4" s="1"/>
      <c r="AB4" s="1"/>
    </row>
    <row r="5" spans="2:28" ht="34" customHeight="1" x14ac:dyDescent="0.2">
      <c r="C5" s="22" t="s">
        <v>101</v>
      </c>
      <c r="D5" s="136" t="s">
        <v>10</v>
      </c>
      <c r="E5" s="136"/>
      <c r="F5" s="136"/>
      <c r="G5" s="137"/>
      <c r="H5" s="135"/>
      <c r="I5" s="68">
        <f>$D$7 - $D$6 - SUM(I6:I9)</f>
        <v>2</v>
      </c>
      <c r="J5" s="59" t="s">
        <v>219</v>
      </c>
      <c r="K5" s="47">
        <f>(I10*$D$30*$D$34)-SUM(K6:K9)</f>
        <v>18.399999999999991</v>
      </c>
      <c r="L5" s="138" t="s">
        <v>274</v>
      </c>
      <c r="M5" s="139"/>
      <c r="N5" s="140"/>
      <c r="O5" s="108"/>
      <c r="P5" s="108"/>
      <c r="Q5" s="108"/>
      <c r="R5" s="1"/>
      <c r="S5" s="1"/>
      <c r="T5" s="1"/>
      <c r="U5" s="1"/>
      <c r="V5" s="1"/>
      <c r="W5" s="1"/>
      <c r="X5" s="1"/>
      <c r="Y5" s="1"/>
      <c r="Z5" s="1"/>
      <c r="AA5" s="1"/>
      <c r="AB5" s="1"/>
    </row>
    <row r="6" spans="2:28" ht="34" customHeight="1" x14ac:dyDescent="0.2">
      <c r="C6" s="22" t="s">
        <v>247</v>
      </c>
      <c r="D6" s="144">
        <v>5</v>
      </c>
      <c r="E6" s="144"/>
      <c r="F6" s="144"/>
      <c r="G6" s="145"/>
      <c r="H6" s="135"/>
      <c r="I6" s="68">
        <f>IF(Metadata!C8="Digital PCR (dPCR)",$D$7/4,$D$7/2)</f>
        <v>10</v>
      </c>
      <c r="J6" s="59" t="s">
        <v>220</v>
      </c>
      <c r="K6" s="47">
        <f>ROUNDUP(I6*$D$30*$D$34,0)</f>
        <v>92</v>
      </c>
      <c r="L6" s="141"/>
      <c r="M6" s="142"/>
      <c r="N6" s="143"/>
      <c r="O6" s="109"/>
      <c r="P6" s="109"/>
      <c r="Q6" s="109"/>
      <c r="R6" s="109"/>
      <c r="S6" s="1"/>
      <c r="T6" s="1"/>
      <c r="U6" s="1"/>
      <c r="V6" s="1"/>
      <c r="W6" s="1"/>
      <c r="X6" s="1"/>
      <c r="Y6" s="1"/>
      <c r="Z6" s="1"/>
      <c r="AA6" s="1"/>
      <c r="AB6" s="1"/>
    </row>
    <row r="7" spans="2:28" ht="34" customHeight="1" x14ac:dyDescent="0.2">
      <c r="C7" s="22" t="s">
        <v>245</v>
      </c>
      <c r="D7" s="136">
        <v>20</v>
      </c>
      <c r="E7" s="136"/>
      <c r="F7" s="136"/>
      <c r="G7" s="137"/>
      <c r="H7" s="135"/>
      <c r="I7" s="68">
        <f>IF(Metadata!C8="Digital PCR (dPCR)",$D$7/100,$D$7/10)</f>
        <v>2</v>
      </c>
      <c r="J7" s="59" t="s">
        <v>231</v>
      </c>
      <c r="K7" s="47">
        <f>ROUNDUP(I7*$D$30*$D$34,1)</f>
        <v>18.399999999999999</v>
      </c>
      <c r="L7" s="141"/>
      <c r="M7" s="142"/>
      <c r="N7" s="143"/>
      <c r="O7" s="109"/>
      <c r="P7" s="109"/>
      <c r="Q7" s="109"/>
      <c r="R7" s="109"/>
      <c r="S7" s="1"/>
      <c r="T7" s="1"/>
      <c r="U7" s="1"/>
      <c r="V7" s="1"/>
      <c r="W7" s="1"/>
      <c r="X7" s="1"/>
      <c r="Y7" s="1"/>
      <c r="Z7" s="1"/>
      <c r="AA7" s="1"/>
      <c r="AB7" s="1"/>
    </row>
    <row r="8" spans="2:28" ht="39" customHeight="1" x14ac:dyDescent="0.2">
      <c r="C8" s="146" t="s">
        <v>246</v>
      </c>
      <c r="D8" s="148"/>
      <c r="E8" s="148"/>
      <c r="F8" s="148"/>
      <c r="G8" s="149"/>
      <c r="H8" s="135"/>
      <c r="I8" s="68">
        <f>IF(Metadata!C8="Digital PCR (dPCR)",$D$7/20,$D$7/20)</f>
        <v>1</v>
      </c>
      <c r="J8" s="59" t="s">
        <v>221</v>
      </c>
      <c r="K8" s="47">
        <f>ROUNDUP(I8*$D$30*$D$34,1)</f>
        <v>9.1999999999999993</v>
      </c>
      <c r="L8" s="141"/>
      <c r="M8" s="142"/>
      <c r="N8" s="143"/>
      <c r="O8" s="109"/>
      <c r="P8" s="109"/>
      <c r="Q8" s="109"/>
      <c r="R8" s="109"/>
      <c r="S8" s="1"/>
      <c r="T8" s="1"/>
      <c r="U8" s="1"/>
      <c r="V8" s="1"/>
      <c r="W8" s="1"/>
      <c r="X8" s="1"/>
      <c r="Y8" s="1"/>
      <c r="Z8" s="1"/>
      <c r="AA8" s="1"/>
      <c r="AB8" s="1"/>
    </row>
    <row r="9" spans="2:28" ht="39" customHeight="1" x14ac:dyDescent="0.2">
      <c r="C9" s="146"/>
      <c r="D9" s="148"/>
      <c r="E9" s="148"/>
      <c r="F9" s="148"/>
      <c r="G9" s="149"/>
      <c r="H9" s="135"/>
      <c r="I9" s="122">
        <v>0</v>
      </c>
      <c r="J9" s="123" t="s">
        <v>265</v>
      </c>
      <c r="K9" s="117">
        <f>ROUNDUP(I9*$D$30*$D$34,1)</f>
        <v>0</v>
      </c>
      <c r="L9" s="141"/>
      <c r="M9" s="142"/>
      <c r="N9" s="143"/>
      <c r="O9" s="109"/>
      <c r="P9" s="109"/>
      <c r="Q9" s="109"/>
      <c r="R9" s="109"/>
      <c r="S9" s="1"/>
      <c r="T9" s="1"/>
      <c r="U9" s="1"/>
      <c r="V9" s="1"/>
      <c r="W9" s="1"/>
      <c r="X9" s="1"/>
      <c r="Y9" s="1"/>
      <c r="Z9" s="1"/>
      <c r="AA9" s="1"/>
      <c r="AB9" s="1"/>
    </row>
    <row r="10" spans="2:28" ht="39" customHeight="1" thickBot="1" x14ac:dyDescent="0.25">
      <c r="C10" s="147"/>
      <c r="D10" s="150"/>
      <c r="E10" s="150"/>
      <c r="F10" s="150"/>
      <c r="G10" s="151"/>
      <c r="H10" s="103"/>
      <c r="I10" s="69">
        <f>SUM(I5:I8)</f>
        <v>15</v>
      </c>
      <c r="J10" s="118" t="s">
        <v>232</v>
      </c>
      <c r="K10" s="119">
        <f>ROUNDUP(I10*$D$30*$D$34,0)</f>
        <v>138</v>
      </c>
      <c r="L10" s="152" t="s">
        <v>257</v>
      </c>
      <c r="M10" s="153"/>
      <c r="N10" s="154"/>
      <c r="O10" s="109"/>
      <c r="P10" s="109"/>
      <c r="Q10" s="109"/>
      <c r="R10" s="109"/>
      <c r="S10" s="1"/>
      <c r="T10" s="1"/>
      <c r="U10" s="1"/>
      <c r="V10" s="1"/>
      <c r="W10" s="1"/>
      <c r="X10" s="1"/>
      <c r="Y10" s="1"/>
      <c r="Z10" s="1"/>
      <c r="AA10" s="1"/>
      <c r="AB10" s="1"/>
    </row>
    <row r="11" spans="2:28" ht="22" customHeight="1" thickBot="1" x14ac:dyDescent="0.25">
      <c r="B11" s="67"/>
      <c r="C11" s="135"/>
      <c r="D11" s="135"/>
      <c r="E11" s="135"/>
      <c r="F11" s="135"/>
      <c r="G11" s="135"/>
      <c r="H11" s="135"/>
      <c r="I11" s="135"/>
      <c r="J11" s="135"/>
      <c r="K11" s="135"/>
      <c r="L11" s="135"/>
      <c r="M11" s="135"/>
      <c r="N11" s="135"/>
      <c r="O11" s="109"/>
      <c r="P11" s="109"/>
      <c r="Q11" s="109"/>
      <c r="R11" s="109"/>
      <c r="S11" s="1"/>
      <c r="T11" s="1"/>
      <c r="U11" s="1"/>
      <c r="V11" s="1"/>
      <c r="W11" s="1"/>
      <c r="X11" s="1"/>
      <c r="Y11" s="1"/>
      <c r="Z11" s="1"/>
      <c r="AA11" s="1"/>
      <c r="AB11" s="1"/>
    </row>
    <row r="12" spans="2:28" s="19" customFormat="1" ht="40" customHeight="1" x14ac:dyDescent="0.2">
      <c r="C12" s="27" t="s">
        <v>121</v>
      </c>
      <c r="D12" s="28" t="s">
        <v>15</v>
      </c>
      <c r="E12" s="29" t="s">
        <v>118</v>
      </c>
      <c r="F12" s="30" t="s">
        <v>119</v>
      </c>
      <c r="G12" s="31" t="s">
        <v>120</v>
      </c>
      <c r="H12" s="155"/>
      <c r="I12" s="156" t="s">
        <v>261</v>
      </c>
      <c r="J12" s="157"/>
      <c r="K12" s="46" t="s">
        <v>258</v>
      </c>
      <c r="L12" s="158"/>
      <c r="M12" s="158"/>
      <c r="N12" s="158"/>
      <c r="O12" s="109"/>
      <c r="P12" s="109"/>
      <c r="Q12" s="109"/>
      <c r="R12" s="109"/>
    </row>
    <row r="13" spans="2:28" s="20" customFormat="1" ht="47" customHeight="1" x14ac:dyDescent="0.2">
      <c r="C13" s="23" t="s">
        <v>14</v>
      </c>
      <c r="D13" s="121" t="s">
        <v>88</v>
      </c>
      <c r="E13" s="48" t="s">
        <v>171</v>
      </c>
      <c r="F13" s="114" t="s">
        <v>97</v>
      </c>
      <c r="G13" s="48" t="s">
        <v>172</v>
      </c>
      <c r="H13" s="155"/>
      <c r="I13" s="159" t="s">
        <v>225</v>
      </c>
      <c r="J13" s="160"/>
      <c r="K13" s="70">
        <f>I10*$D$33</f>
        <v>16.5</v>
      </c>
      <c r="L13" s="161" t="s">
        <v>275</v>
      </c>
      <c r="M13" s="162"/>
      <c r="N13" s="163"/>
      <c r="O13" s="108"/>
      <c r="P13" s="108"/>
      <c r="Q13" s="108"/>
    </row>
    <row r="14" spans="2:28" s="20" customFormat="1" ht="46" customHeight="1" x14ac:dyDescent="0.2">
      <c r="C14" s="23" t="s">
        <v>23</v>
      </c>
      <c r="D14" s="121" t="s">
        <v>240</v>
      </c>
      <c r="E14" s="48" t="s">
        <v>171</v>
      </c>
      <c r="F14" s="114" t="s">
        <v>97</v>
      </c>
      <c r="G14" s="48" t="s">
        <v>172</v>
      </c>
      <c r="H14" s="155"/>
      <c r="I14" s="159" t="s">
        <v>32</v>
      </c>
      <c r="J14" s="160"/>
      <c r="K14" s="70">
        <f>D6*$D$33</f>
        <v>5.5</v>
      </c>
      <c r="L14" s="164" t="s">
        <v>276</v>
      </c>
      <c r="M14" s="165"/>
      <c r="N14" s="166"/>
      <c r="O14" s="108"/>
      <c r="P14" s="108"/>
      <c r="Q14" s="108"/>
    </row>
    <row r="15" spans="2:28" s="20" customFormat="1" ht="46" customHeight="1" x14ac:dyDescent="0.2">
      <c r="C15" s="23" t="s">
        <v>55</v>
      </c>
      <c r="D15" s="121" t="s">
        <v>241</v>
      </c>
      <c r="E15" s="48" t="s">
        <v>171</v>
      </c>
      <c r="F15" s="114" t="s">
        <v>97</v>
      </c>
      <c r="G15" s="48" t="s">
        <v>172</v>
      </c>
      <c r="H15" s="155"/>
      <c r="I15" s="167" t="s">
        <v>260</v>
      </c>
      <c r="J15" s="168"/>
      <c r="K15" s="120">
        <f>SUM(K13:K14)</f>
        <v>22</v>
      </c>
      <c r="L15" s="169" t="s">
        <v>251</v>
      </c>
      <c r="M15" s="170"/>
      <c r="N15" s="171"/>
      <c r="O15" s="44"/>
    </row>
    <row r="16" spans="2:28" s="20" customFormat="1" ht="46" customHeight="1" thickBot="1" x14ac:dyDescent="0.25">
      <c r="C16" s="23" t="s">
        <v>59</v>
      </c>
      <c r="D16" s="121" t="s">
        <v>89</v>
      </c>
      <c r="E16" s="48" t="s">
        <v>171</v>
      </c>
      <c r="F16" s="114" t="s">
        <v>97</v>
      </c>
      <c r="G16" s="48" t="s">
        <v>172</v>
      </c>
      <c r="H16" s="155"/>
      <c r="I16" s="172" t="s">
        <v>259</v>
      </c>
      <c r="J16" s="173"/>
      <c r="K16" s="72">
        <f>D7</f>
        <v>20</v>
      </c>
      <c r="L16" s="174" t="s">
        <v>277</v>
      </c>
      <c r="M16" s="175"/>
      <c r="N16" s="176"/>
      <c r="O16" s="177" t="s">
        <v>250</v>
      </c>
      <c r="P16" s="177"/>
      <c r="Q16" s="177"/>
      <c r="R16" s="177"/>
    </row>
    <row r="17" spans="2:28" s="20" customFormat="1" ht="47" customHeight="1" x14ac:dyDescent="0.2">
      <c r="C17" s="23" t="s">
        <v>61</v>
      </c>
      <c r="D17" s="121" t="s">
        <v>87</v>
      </c>
      <c r="E17" s="48" t="s">
        <v>171</v>
      </c>
      <c r="F17" s="114" t="s">
        <v>97</v>
      </c>
      <c r="G17" s="48" t="s">
        <v>172</v>
      </c>
      <c r="H17" s="155"/>
      <c r="I17" s="178"/>
      <c r="J17" s="178"/>
      <c r="K17" s="178"/>
      <c r="L17" s="71"/>
      <c r="O17" s="44"/>
    </row>
    <row r="18" spans="2:28" s="20" customFormat="1" ht="8" customHeight="1" thickBot="1" x14ac:dyDescent="0.25">
      <c r="C18" s="24"/>
      <c r="D18" s="32"/>
      <c r="E18" s="32"/>
      <c r="F18" s="25"/>
      <c r="G18" s="26"/>
      <c r="H18" s="155"/>
      <c r="I18" s="179"/>
      <c r="J18" s="179"/>
      <c r="K18" s="179"/>
    </row>
    <row r="19" spans="2:28" ht="50" customHeight="1" thickBot="1" x14ac:dyDescent="0.25">
      <c r="C19" s="192"/>
      <c r="D19" s="192"/>
      <c r="E19" s="192"/>
      <c r="F19" s="192"/>
      <c r="G19" s="192"/>
      <c r="H19" s="192"/>
      <c r="I19" s="192"/>
      <c r="J19" s="192"/>
      <c r="K19" s="192"/>
      <c r="L19" s="192"/>
      <c r="M19" s="192"/>
      <c r="N19" s="192"/>
      <c r="O19" s="1"/>
      <c r="P19" s="1"/>
      <c r="Q19" s="1"/>
      <c r="R19" s="1"/>
      <c r="S19" s="1"/>
      <c r="T19" s="1"/>
      <c r="U19" s="1"/>
      <c r="V19" s="1"/>
      <c r="W19" s="1"/>
      <c r="X19" s="1"/>
      <c r="Y19" s="1"/>
      <c r="Z19" s="1"/>
      <c r="AA19" s="1"/>
      <c r="AB19" s="1"/>
    </row>
    <row r="20" spans="2:28" ht="21" customHeight="1" x14ac:dyDescent="0.2">
      <c r="B20" s="33"/>
      <c r="C20" s="34">
        <v>1</v>
      </c>
      <c r="D20" s="34">
        <v>2</v>
      </c>
      <c r="E20" s="34">
        <v>3</v>
      </c>
      <c r="F20" s="34">
        <v>4</v>
      </c>
      <c r="G20" s="34">
        <v>5</v>
      </c>
      <c r="H20" s="34">
        <v>6</v>
      </c>
      <c r="I20" s="34">
        <v>7</v>
      </c>
      <c r="J20" s="34">
        <v>8</v>
      </c>
      <c r="K20" s="34">
        <v>9</v>
      </c>
      <c r="L20" s="34">
        <v>10</v>
      </c>
      <c r="M20" s="34">
        <v>11</v>
      </c>
      <c r="N20" s="35">
        <v>12</v>
      </c>
      <c r="O20" s="155"/>
      <c r="P20" s="1"/>
      <c r="Q20" s="1"/>
      <c r="R20" s="1"/>
      <c r="S20" s="1"/>
      <c r="T20" s="1"/>
      <c r="U20" s="1"/>
      <c r="V20" s="1"/>
      <c r="W20" s="1"/>
      <c r="X20" s="1"/>
      <c r="Y20" s="1"/>
      <c r="Z20" s="1"/>
      <c r="AA20" s="1"/>
      <c r="AB20" s="1"/>
    </row>
    <row r="21" spans="2:28" ht="66" customHeight="1" x14ac:dyDescent="0.2">
      <c r="B21" s="36" t="s">
        <v>24</v>
      </c>
      <c r="C21" s="104" t="s">
        <v>226</v>
      </c>
      <c r="D21" s="110" t="s">
        <v>229</v>
      </c>
      <c r="E21" s="4"/>
      <c r="F21" s="5"/>
      <c r="G21" s="4"/>
      <c r="H21" s="5"/>
      <c r="I21" s="4"/>
      <c r="J21" s="5"/>
      <c r="K21" s="4"/>
      <c r="L21" s="5"/>
      <c r="M21" s="4"/>
      <c r="N21" s="37"/>
      <c r="O21" s="155"/>
      <c r="P21" s="1"/>
      <c r="Q21" s="1"/>
      <c r="R21" s="1"/>
      <c r="S21" s="1"/>
      <c r="T21" s="1"/>
      <c r="U21" s="1"/>
      <c r="V21" s="1"/>
      <c r="W21" s="1"/>
      <c r="X21" s="1"/>
      <c r="Y21" s="1"/>
      <c r="Z21" s="1"/>
      <c r="AA21" s="1"/>
      <c r="AB21" s="1"/>
    </row>
    <row r="22" spans="2:28" ht="66" customHeight="1" x14ac:dyDescent="0.2">
      <c r="B22" s="36" t="s">
        <v>25</v>
      </c>
      <c r="C22" s="110" t="s">
        <v>227</v>
      </c>
      <c r="D22" s="104" t="s">
        <v>230</v>
      </c>
      <c r="E22" s="5"/>
      <c r="F22" s="4"/>
      <c r="G22" s="5"/>
      <c r="H22" s="4"/>
      <c r="I22" s="5"/>
      <c r="J22" s="4"/>
      <c r="K22" s="5"/>
      <c r="L22" s="4"/>
      <c r="M22" s="5"/>
      <c r="N22" s="38"/>
      <c r="O22" s="155"/>
      <c r="P22" s="1"/>
      <c r="Q22" s="1"/>
      <c r="R22" s="1"/>
      <c r="S22" s="1"/>
      <c r="T22" s="1"/>
      <c r="U22" s="1"/>
      <c r="V22" s="1"/>
      <c r="W22" s="1"/>
      <c r="X22" s="1"/>
      <c r="Y22" s="1"/>
      <c r="Z22" s="1"/>
      <c r="AA22" s="1"/>
      <c r="AB22" s="1"/>
    </row>
    <row r="23" spans="2:28" ht="66" customHeight="1" x14ac:dyDescent="0.2">
      <c r="B23" s="36" t="s">
        <v>26</v>
      </c>
      <c r="C23" s="104" t="s">
        <v>228</v>
      </c>
      <c r="D23" s="110"/>
      <c r="E23" s="4"/>
      <c r="F23" s="5"/>
      <c r="G23" s="4"/>
      <c r="H23" s="5"/>
      <c r="I23" s="4"/>
      <c r="J23" s="5"/>
      <c r="K23" s="4"/>
      <c r="L23" s="5"/>
      <c r="M23" s="4"/>
      <c r="N23" s="37"/>
      <c r="O23" s="155"/>
      <c r="P23" s="1"/>
      <c r="Q23" s="1"/>
      <c r="R23" s="1"/>
      <c r="S23" s="1"/>
      <c r="T23" s="1"/>
      <c r="U23" s="1"/>
      <c r="V23" s="1"/>
      <c r="W23" s="1"/>
      <c r="X23" s="1"/>
      <c r="Y23" s="1"/>
      <c r="Z23" s="1"/>
      <c r="AA23" s="1"/>
      <c r="AB23" s="1"/>
    </row>
    <row r="24" spans="2:28" ht="66" customHeight="1" x14ac:dyDescent="0.2">
      <c r="B24" s="36" t="s">
        <v>27</v>
      </c>
      <c r="C24" s="110" t="s">
        <v>280</v>
      </c>
      <c r="D24" s="104"/>
      <c r="E24" s="5"/>
      <c r="F24" s="4"/>
      <c r="G24" s="5"/>
      <c r="H24" s="4"/>
      <c r="I24" s="5"/>
      <c r="J24" s="4"/>
      <c r="K24" s="5"/>
      <c r="L24" s="4"/>
      <c r="M24" s="5"/>
      <c r="N24" s="38"/>
      <c r="O24" s="155"/>
      <c r="P24" s="1"/>
      <c r="Q24" s="1"/>
      <c r="R24" s="1"/>
      <c r="S24" s="1"/>
      <c r="T24" s="1"/>
      <c r="U24" s="1"/>
      <c r="V24" s="1"/>
      <c r="W24" s="1"/>
      <c r="X24" s="1"/>
      <c r="Y24" s="1"/>
      <c r="Z24" s="1"/>
      <c r="AA24" s="1"/>
      <c r="AB24" s="1"/>
    </row>
    <row r="25" spans="2:28" ht="66" customHeight="1" x14ac:dyDescent="0.2">
      <c r="B25" s="36" t="s">
        <v>28</v>
      </c>
      <c r="C25" s="104" t="s">
        <v>256</v>
      </c>
      <c r="D25" s="110" t="s">
        <v>255</v>
      </c>
      <c r="E25" s="4"/>
      <c r="F25" s="5"/>
      <c r="G25" s="4"/>
      <c r="H25" s="5"/>
      <c r="I25" s="4"/>
      <c r="J25" s="5"/>
      <c r="K25" s="4"/>
      <c r="L25" s="5"/>
      <c r="M25" s="4"/>
      <c r="N25" s="37"/>
      <c r="O25" s="155"/>
      <c r="P25" s="1"/>
      <c r="Q25" s="1"/>
      <c r="R25" s="1"/>
      <c r="S25" s="1"/>
      <c r="T25" s="1"/>
      <c r="U25" s="1"/>
      <c r="V25" s="1"/>
      <c r="W25" s="1"/>
      <c r="X25" s="1"/>
      <c r="Y25" s="1"/>
      <c r="Z25" s="1"/>
      <c r="AA25" s="1"/>
      <c r="AB25" s="1"/>
    </row>
    <row r="26" spans="2:28" ht="66" customHeight="1" x14ac:dyDescent="0.2">
      <c r="B26" s="36" t="s">
        <v>29</v>
      </c>
      <c r="C26" s="110"/>
      <c r="D26" s="104"/>
      <c r="E26" s="5"/>
      <c r="F26" s="4"/>
      <c r="G26" s="5"/>
      <c r="H26" s="4"/>
      <c r="I26" s="5"/>
      <c r="J26" s="4"/>
      <c r="K26" s="5"/>
      <c r="L26" s="4"/>
      <c r="M26" s="5"/>
      <c r="N26" s="38"/>
      <c r="O26" s="155"/>
      <c r="P26" s="1"/>
      <c r="Q26" s="1"/>
      <c r="R26" s="1"/>
      <c r="S26" s="1"/>
      <c r="T26" s="1"/>
      <c r="U26" s="1"/>
      <c r="V26" s="1"/>
      <c r="W26" s="1"/>
      <c r="X26" s="1"/>
      <c r="Y26" s="1"/>
      <c r="Z26" s="1"/>
      <c r="AA26" s="1"/>
      <c r="AB26" s="1"/>
    </row>
    <row r="27" spans="2:28" ht="66" customHeight="1" x14ac:dyDescent="0.2">
      <c r="B27" s="36" t="s">
        <v>30</v>
      </c>
      <c r="C27" s="104"/>
      <c r="D27" s="110"/>
      <c r="E27" s="4"/>
      <c r="F27" s="5"/>
      <c r="G27" s="4"/>
      <c r="H27" s="5"/>
      <c r="I27" s="4"/>
      <c r="J27" s="5"/>
      <c r="K27" s="4"/>
      <c r="L27" s="5"/>
      <c r="M27" s="4"/>
      <c r="N27" s="37"/>
      <c r="O27" s="155"/>
      <c r="P27" s="1"/>
      <c r="Q27" s="1"/>
      <c r="R27" s="1"/>
      <c r="S27" s="1"/>
      <c r="T27" s="1"/>
      <c r="U27" s="1"/>
      <c r="V27" s="1"/>
      <c r="W27" s="1"/>
      <c r="X27" s="1"/>
      <c r="Y27" s="1"/>
      <c r="Z27" s="1"/>
      <c r="AA27" s="1"/>
      <c r="AB27" s="1"/>
    </row>
    <row r="28" spans="2:28" ht="66" customHeight="1" thickBot="1" x14ac:dyDescent="0.25">
      <c r="B28" s="39" t="s">
        <v>31</v>
      </c>
      <c r="C28" s="111"/>
      <c r="D28" s="106"/>
      <c r="E28" s="40"/>
      <c r="F28" s="41"/>
      <c r="G28" s="40"/>
      <c r="H28" s="41"/>
      <c r="I28" s="40"/>
      <c r="J28" s="41"/>
      <c r="K28" s="40"/>
      <c r="L28" s="41"/>
      <c r="M28" s="40"/>
      <c r="N28" s="42"/>
      <c r="O28" s="155"/>
      <c r="P28" s="1"/>
      <c r="Q28" s="1"/>
      <c r="R28" s="1"/>
      <c r="S28" s="1"/>
      <c r="T28" s="1"/>
      <c r="U28" s="1"/>
      <c r="V28" s="1"/>
      <c r="W28" s="1"/>
      <c r="X28" s="1"/>
      <c r="Y28" s="1"/>
      <c r="Z28" s="1"/>
      <c r="AA28" s="1"/>
      <c r="AB28" s="1"/>
    </row>
    <row r="29" spans="2:28" ht="21" customHeight="1" thickBot="1" x14ac:dyDescent="0.25">
      <c r="C29" s="135"/>
      <c r="D29" s="135"/>
      <c r="E29" s="135"/>
      <c r="F29" s="135"/>
      <c r="G29" s="135"/>
      <c r="H29" s="135"/>
      <c r="I29" s="135"/>
      <c r="J29" s="135"/>
      <c r="K29" s="135"/>
      <c r="L29" s="135"/>
      <c r="M29" s="135"/>
      <c r="N29" s="135"/>
      <c r="O29" s="135"/>
      <c r="P29" s="1"/>
      <c r="Q29" s="1"/>
      <c r="R29" s="1"/>
      <c r="S29" s="1"/>
      <c r="T29" s="1"/>
      <c r="U29" s="1"/>
      <c r="V29" s="1"/>
      <c r="W29" s="1"/>
      <c r="X29" s="1"/>
      <c r="Y29" s="1"/>
      <c r="Z29" s="1"/>
      <c r="AA29" s="1"/>
      <c r="AB29" s="1"/>
    </row>
    <row r="30" spans="2:28" ht="25" customHeight="1" x14ac:dyDescent="0.2">
      <c r="C30" s="187" t="s">
        <v>278</v>
      </c>
      <c r="D30" s="189">
        <f>COUNTIF(C21:N28,"&lt;&gt;"&amp;"")</f>
        <v>8</v>
      </c>
      <c r="E30" s="181" t="s">
        <v>235</v>
      </c>
      <c r="F30" s="183" t="s">
        <v>249</v>
      </c>
      <c r="G30" s="183"/>
      <c r="H30" s="184"/>
      <c r="I30" s="1"/>
      <c r="J30" s="1"/>
      <c r="K30" s="1"/>
      <c r="L30" s="1"/>
      <c r="M30" s="1"/>
      <c r="N30" s="1"/>
      <c r="O30" s="1"/>
      <c r="P30" s="1"/>
      <c r="Q30" s="1"/>
      <c r="R30" s="1"/>
      <c r="S30" s="1"/>
      <c r="T30" s="1"/>
      <c r="U30" s="1"/>
      <c r="V30" s="1"/>
      <c r="W30" s="1"/>
      <c r="X30" s="1"/>
      <c r="Y30" s="1"/>
      <c r="Z30" s="1"/>
      <c r="AA30" s="1"/>
      <c r="AB30" s="1"/>
    </row>
    <row r="31" spans="2:28" ht="25" customHeight="1" thickBot="1" x14ac:dyDescent="0.25">
      <c r="C31" s="188"/>
      <c r="D31" s="190"/>
      <c r="E31" s="191"/>
      <c r="F31" s="185"/>
      <c r="G31" s="185"/>
      <c r="H31" s="186"/>
      <c r="I31" s="1"/>
      <c r="J31" s="1"/>
      <c r="K31" s="1"/>
      <c r="L31" s="1"/>
      <c r="M31" s="1"/>
      <c r="N31" s="1"/>
      <c r="O31" s="1"/>
      <c r="P31" s="1"/>
      <c r="Q31" s="1"/>
      <c r="R31" s="1"/>
      <c r="S31" s="1"/>
      <c r="T31" s="1"/>
      <c r="U31" s="1"/>
      <c r="V31" s="1"/>
      <c r="W31" s="1"/>
      <c r="X31" s="1"/>
      <c r="Y31" s="1"/>
      <c r="Z31" s="1"/>
      <c r="AA31" s="1"/>
      <c r="AB31" s="1"/>
    </row>
    <row r="32" spans="2:28" ht="21" customHeight="1" thickBot="1" x14ac:dyDescent="0.25">
      <c r="C32" s="180"/>
      <c r="D32" s="180"/>
      <c r="E32" s="180"/>
      <c r="F32" s="180"/>
      <c r="G32" s="180"/>
      <c r="H32" s="180"/>
      <c r="I32" s="1"/>
      <c r="J32" s="1"/>
      <c r="K32" s="1"/>
      <c r="L32" s="1"/>
      <c r="M32" s="1"/>
      <c r="N32" s="1"/>
      <c r="O32" s="1"/>
      <c r="P32" s="1"/>
      <c r="Q32" s="1"/>
      <c r="R32" s="1"/>
      <c r="S32" s="1"/>
      <c r="T32" s="1"/>
      <c r="U32" s="1"/>
      <c r="V32" s="1"/>
      <c r="W32" s="1"/>
      <c r="X32" s="1"/>
      <c r="Y32" s="1"/>
      <c r="Z32" s="1"/>
      <c r="AA32" s="1"/>
      <c r="AB32" s="1"/>
    </row>
    <row r="33" spans="3:28" ht="31" customHeight="1" x14ac:dyDescent="0.2">
      <c r="C33" s="63" t="s">
        <v>237</v>
      </c>
      <c r="D33" s="64">
        <v>1.1000000000000001</v>
      </c>
      <c r="E33" s="181" t="s">
        <v>235</v>
      </c>
      <c r="F33" s="183" t="s">
        <v>236</v>
      </c>
      <c r="G33" s="183"/>
      <c r="H33" s="184"/>
      <c r="I33" s="1"/>
      <c r="J33" s="1"/>
      <c r="K33" s="1"/>
      <c r="L33" s="1"/>
      <c r="M33" s="1"/>
      <c r="N33" s="1"/>
      <c r="O33" s="1"/>
      <c r="P33" s="1"/>
      <c r="Q33" s="1"/>
      <c r="R33" s="1"/>
      <c r="S33" s="1"/>
      <c r="T33" s="1"/>
      <c r="U33" s="1"/>
      <c r="V33" s="1"/>
      <c r="W33" s="1"/>
      <c r="X33" s="1"/>
      <c r="Y33" s="1"/>
      <c r="Z33" s="1"/>
      <c r="AA33" s="1"/>
      <c r="AB33" s="1"/>
    </row>
    <row r="34" spans="3:28" ht="31" customHeight="1" thickBot="1" x14ac:dyDescent="0.25">
      <c r="C34" s="65" t="s">
        <v>238</v>
      </c>
      <c r="D34" s="66">
        <v>1.1499999999999999</v>
      </c>
      <c r="E34" s="182"/>
      <c r="F34" s="185"/>
      <c r="G34" s="185"/>
      <c r="H34" s="186"/>
      <c r="I34" s="1"/>
      <c r="J34" s="1"/>
      <c r="K34" s="1"/>
      <c r="L34" s="1"/>
      <c r="M34" s="1"/>
      <c r="N34" s="1"/>
      <c r="O34" s="1"/>
      <c r="P34" s="1"/>
      <c r="Q34" s="1"/>
      <c r="R34" s="1"/>
      <c r="S34" s="1"/>
      <c r="T34" s="1"/>
      <c r="U34" s="1"/>
      <c r="V34" s="1"/>
      <c r="W34" s="1"/>
      <c r="X34" s="1"/>
      <c r="Y34" s="1"/>
      <c r="Z34" s="1"/>
      <c r="AA34" s="1"/>
      <c r="AB34" s="1"/>
    </row>
    <row r="35" spans="3:28" ht="21" customHeight="1" x14ac:dyDescent="0.2">
      <c r="D35" s="1"/>
      <c r="E35" s="1"/>
      <c r="F35" s="1"/>
      <c r="G35" s="1"/>
      <c r="H35" s="1"/>
      <c r="I35" s="1"/>
      <c r="J35" s="1"/>
      <c r="K35" s="1"/>
      <c r="L35" s="1"/>
      <c r="M35" s="1"/>
      <c r="N35" s="1"/>
      <c r="O35" s="1"/>
      <c r="P35" s="1"/>
      <c r="Q35" s="1"/>
      <c r="R35" s="1"/>
      <c r="S35" s="1"/>
      <c r="T35" s="1"/>
      <c r="U35" s="1"/>
      <c r="V35" s="1"/>
      <c r="W35" s="1"/>
      <c r="X35" s="1"/>
      <c r="Y35" s="1"/>
      <c r="Z35" s="1"/>
      <c r="AA35" s="1"/>
      <c r="AB35" s="1"/>
    </row>
    <row r="36" spans="3:28" ht="21" customHeight="1" x14ac:dyDescent="0.2">
      <c r="D36" s="1"/>
      <c r="E36" s="1"/>
      <c r="F36" s="1"/>
      <c r="G36" s="1"/>
      <c r="H36" s="1"/>
      <c r="I36" s="1"/>
      <c r="J36" s="1"/>
      <c r="K36" s="1"/>
      <c r="L36" s="1"/>
      <c r="M36" s="1"/>
      <c r="N36" s="1"/>
      <c r="O36" s="1"/>
      <c r="P36" s="1"/>
      <c r="Q36" s="1"/>
      <c r="R36" s="1"/>
      <c r="S36" s="1"/>
      <c r="T36" s="1"/>
      <c r="U36" s="1"/>
      <c r="V36" s="1"/>
      <c r="W36" s="1"/>
      <c r="X36" s="1"/>
      <c r="Y36" s="1"/>
      <c r="Z36" s="1"/>
      <c r="AA36" s="1"/>
      <c r="AB36" s="1"/>
    </row>
    <row r="37" spans="3:28" ht="21" customHeight="1" x14ac:dyDescent="0.2">
      <c r="D37" s="1"/>
      <c r="E37" s="1"/>
      <c r="F37" s="1"/>
      <c r="G37" s="1"/>
      <c r="H37" s="1"/>
      <c r="I37" s="1"/>
      <c r="J37" s="1"/>
      <c r="K37" s="1"/>
      <c r="L37" s="1"/>
      <c r="M37" s="1"/>
      <c r="N37" s="1"/>
      <c r="O37" s="1"/>
      <c r="P37" s="1"/>
      <c r="Q37" s="1"/>
      <c r="R37" s="1"/>
      <c r="S37" s="1"/>
      <c r="T37" s="1"/>
      <c r="U37" s="1"/>
      <c r="V37" s="1"/>
      <c r="W37" s="1"/>
      <c r="X37" s="1"/>
      <c r="Y37" s="1"/>
      <c r="Z37" s="1"/>
      <c r="AA37" s="1"/>
      <c r="AB37" s="1"/>
    </row>
    <row r="38" spans="3:28" ht="21" customHeight="1" x14ac:dyDescent="0.2">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3:28" ht="21" customHeight="1" x14ac:dyDescent="0.2">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3:28" ht="21" customHeight="1" x14ac:dyDescent="0.2">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3:28" ht="21" customHeight="1" x14ac:dyDescent="0.2">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3:28" ht="21" customHeight="1" x14ac:dyDescent="0.2">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3:28" ht="21" customHeight="1" x14ac:dyDescent="0.2">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3:28" ht="21" customHeight="1" x14ac:dyDescent="0.2">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3:28" ht="21" customHeight="1" x14ac:dyDescent="0.2">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3:28" ht="21" customHeight="1" x14ac:dyDescent="0.2">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3:28" ht="21" customHeight="1" x14ac:dyDescent="0.2">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3:28" ht="21" customHeight="1" x14ac:dyDescent="0.2">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3:28" ht="21" customHeight="1" x14ac:dyDescent="0.2">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3:28" ht="21" customHeight="1" x14ac:dyDescent="0.2">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3:28" ht="21" customHeight="1" x14ac:dyDescent="0.2">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3:28" ht="21" customHeight="1" x14ac:dyDescent="0.2">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3:28" ht="21" customHeight="1" x14ac:dyDescent="0.2">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3:28" ht="21" customHeight="1" x14ac:dyDescent="0.2">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3:28" ht="21" customHeight="1" x14ac:dyDescent="0.2">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3:28" ht="21" customHeight="1" x14ac:dyDescent="0.2">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3:28" ht="21" customHeight="1" x14ac:dyDescent="0.2">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3:28" ht="21" customHeight="1" x14ac:dyDescent="0.2">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3:28" ht="21" customHeight="1" x14ac:dyDescent="0.2">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3:28" ht="21" customHeight="1" x14ac:dyDescent="0.2">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3:28" ht="21" customHeight="1" x14ac:dyDescent="0.2">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3:28" ht="21" customHeight="1" x14ac:dyDescent="0.2">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3:28" ht="21" customHeight="1" x14ac:dyDescent="0.2">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3:28" ht="21" customHeight="1" x14ac:dyDescent="0.2">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3:28" ht="21" customHeight="1" x14ac:dyDescent="0.2">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3:28" ht="21" customHeight="1" x14ac:dyDescent="0.2">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3:28" ht="21" customHeight="1" x14ac:dyDescent="0.2">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3:28" ht="21" customHeight="1" x14ac:dyDescent="0.2">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3:28" ht="21" customHeight="1" x14ac:dyDescent="0.2">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3:28" ht="21" customHeight="1" x14ac:dyDescent="0.2">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3:28" ht="21" customHeight="1" x14ac:dyDescent="0.2">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3:28" ht="21" customHeight="1" x14ac:dyDescent="0.2">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3:28" ht="21" customHeight="1" x14ac:dyDescent="0.2">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3:28" ht="21" customHeight="1" x14ac:dyDescent="0.2">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3:28" ht="21" customHeight="1" x14ac:dyDescent="0.2">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3:28" ht="21" customHeight="1" x14ac:dyDescent="0.2">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3:28" ht="21" customHeight="1" x14ac:dyDescent="0.2">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3:28" ht="21" customHeight="1" x14ac:dyDescent="0.2">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3:28" ht="21" customHeight="1" x14ac:dyDescent="0.2">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3:28" ht="21" customHeight="1" x14ac:dyDescent="0.2">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3:28" ht="21" customHeight="1" x14ac:dyDescent="0.2">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3:28" ht="21" customHeight="1" x14ac:dyDescent="0.2">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3:28" ht="21" customHeight="1" x14ac:dyDescent="0.2">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3:28" ht="21" customHeight="1" x14ac:dyDescent="0.2">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3:28" ht="21" customHeight="1" x14ac:dyDescent="0.2">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3:28" ht="21" customHeight="1" x14ac:dyDescent="0.2">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3:28" ht="21" customHeight="1" x14ac:dyDescent="0.2">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3:28" ht="21" customHeight="1" x14ac:dyDescent="0.2">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3:28" ht="21" customHeight="1" x14ac:dyDescent="0.2">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3:28" ht="21" customHeight="1" x14ac:dyDescent="0.2">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3:28" ht="21" customHeight="1" x14ac:dyDescent="0.2">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3:28" ht="21" customHeight="1" x14ac:dyDescent="0.2">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3:28" ht="21" customHeight="1" x14ac:dyDescent="0.2">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3:28" ht="21" customHeight="1" x14ac:dyDescent="0.2">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3:28" ht="21" customHeight="1" x14ac:dyDescent="0.2">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3:28" ht="21" customHeight="1" x14ac:dyDescent="0.2">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3:28" ht="21" customHeight="1" x14ac:dyDescent="0.2">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3:28" ht="21" customHeight="1" x14ac:dyDescent="0.2">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3:28" ht="21" customHeight="1" x14ac:dyDescent="0.2">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3:28" ht="21" customHeight="1" x14ac:dyDescent="0.2">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3:28" ht="21" customHeight="1" x14ac:dyDescent="0.2">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3:28" ht="21" customHeight="1" x14ac:dyDescent="0.2">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3:28" ht="21" customHeight="1" x14ac:dyDescent="0.2">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3:28" ht="21" customHeight="1" x14ac:dyDescent="0.2">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3:28" ht="21" customHeight="1" x14ac:dyDescent="0.2">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3:28" ht="21" customHeight="1" x14ac:dyDescent="0.2">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3:28" ht="21" customHeight="1" x14ac:dyDescent="0.2">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3:28" ht="21" customHeight="1" x14ac:dyDescent="0.2">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3:28" ht="21" customHeight="1" x14ac:dyDescent="0.2">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3:28" ht="21" customHeight="1" x14ac:dyDescent="0.2">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3:28" ht="21" customHeight="1" x14ac:dyDescent="0.2">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3:28" ht="21" customHeight="1" x14ac:dyDescent="0.2">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3:28" ht="21" customHeight="1" x14ac:dyDescent="0.2">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3:28" ht="21" customHeight="1" x14ac:dyDescent="0.2">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3:28" ht="21" customHeight="1" x14ac:dyDescent="0.2">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3:28" ht="21" customHeight="1" x14ac:dyDescent="0.2">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3:28" ht="21" customHeight="1" x14ac:dyDescent="0.2">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3:28" ht="21" customHeight="1" x14ac:dyDescent="0.2">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3:28" ht="21" customHeight="1" x14ac:dyDescent="0.2">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3:28" ht="21" customHeight="1" x14ac:dyDescent="0.2">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3:28" ht="21" customHeight="1" x14ac:dyDescent="0.2">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3:28" ht="21" customHeight="1" x14ac:dyDescent="0.2">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3:28" ht="21" customHeight="1" x14ac:dyDescent="0.2">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3:28" ht="21" customHeight="1" x14ac:dyDescent="0.2">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3:28" ht="21" customHeight="1" x14ac:dyDescent="0.2">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3:28" ht="21" customHeight="1" x14ac:dyDescent="0.2">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3:28" ht="21" customHeight="1" x14ac:dyDescent="0.2">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3:28" ht="21" customHeight="1" x14ac:dyDescent="0.2">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3:28" ht="21" customHeight="1" x14ac:dyDescent="0.2">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3:28" ht="21" customHeight="1" x14ac:dyDescent="0.2">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3:28" ht="21" customHeight="1" x14ac:dyDescent="0.2">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3:28" ht="21" customHeight="1" x14ac:dyDescent="0.2">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3:28" ht="21" customHeight="1" x14ac:dyDescent="0.2">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3:28" ht="21" customHeight="1" x14ac:dyDescent="0.2">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3:28" ht="21" customHeight="1" x14ac:dyDescent="0.2">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3:28" ht="21" customHeight="1" x14ac:dyDescent="0.2">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3:28" ht="21" customHeight="1" x14ac:dyDescent="0.2">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3:28" ht="21" customHeight="1" x14ac:dyDescent="0.2">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3:28" ht="21" customHeight="1" x14ac:dyDescent="0.2">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3:28" ht="21" customHeight="1" x14ac:dyDescent="0.2">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3:28" ht="21" customHeight="1" x14ac:dyDescent="0.2">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3:28" ht="21" customHeight="1" x14ac:dyDescent="0.2">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3:28" ht="21" customHeight="1" x14ac:dyDescent="0.2">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3:28" ht="21" customHeight="1" x14ac:dyDescent="0.2">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3:28" ht="21" customHeight="1" x14ac:dyDescent="0.2">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3:28" ht="21" customHeight="1" x14ac:dyDescent="0.2">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3:28" ht="21" customHeight="1" x14ac:dyDescent="0.2">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3:28" ht="21" customHeight="1" x14ac:dyDescent="0.2">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3:28" ht="21" customHeight="1" x14ac:dyDescent="0.2">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3:28" ht="21" customHeight="1" x14ac:dyDescent="0.2">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3:28" ht="21" customHeight="1" x14ac:dyDescent="0.2">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3:28" ht="21" customHeight="1" x14ac:dyDescent="0.2">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3:28" ht="21" customHeight="1" x14ac:dyDescent="0.2">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3:28" ht="21" customHeight="1" x14ac:dyDescent="0.2">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3:28" ht="21" customHeight="1" x14ac:dyDescent="0.2">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3:28" ht="21" customHeight="1" x14ac:dyDescent="0.2">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3:28" ht="21" customHeight="1" x14ac:dyDescent="0.2">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3:28" ht="21" customHeight="1" x14ac:dyDescent="0.2">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3:28" ht="21" customHeight="1" x14ac:dyDescent="0.2">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3:28" ht="21" customHeight="1" x14ac:dyDescent="0.2">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3:28" ht="21" customHeight="1" x14ac:dyDescent="0.2">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3:28" ht="21" customHeight="1" x14ac:dyDescent="0.2">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3:28" ht="21" customHeight="1" x14ac:dyDescent="0.2">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3:28" ht="21" customHeight="1" x14ac:dyDescent="0.2">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3:28" ht="21" customHeight="1" x14ac:dyDescent="0.2">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3:28" ht="21" customHeight="1" x14ac:dyDescent="0.2">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3:28" ht="21" customHeight="1" x14ac:dyDescent="0.2">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3:28" ht="21" customHeight="1" x14ac:dyDescent="0.2">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3:28" ht="21" customHeight="1" x14ac:dyDescent="0.2">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3:28" ht="21" customHeight="1" x14ac:dyDescent="0.2">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3:28" ht="21" customHeight="1" x14ac:dyDescent="0.2">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3:28" ht="21" customHeight="1" x14ac:dyDescent="0.2">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3:28" ht="21" customHeight="1" x14ac:dyDescent="0.2">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3:28" ht="15.75" customHeight="1" x14ac:dyDescent="0.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spans="3:28" ht="15.75" customHeight="1" x14ac:dyDescent="0.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spans="3:28" ht="15.75" customHeight="1" x14ac:dyDescent="0.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spans="3:28" ht="15.75" customHeight="1" x14ac:dyDescent="0.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spans="3:28" ht="15.75" customHeight="1" x14ac:dyDescent="0.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spans="3:28" ht="15.75" customHeight="1" x14ac:dyDescent="0.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spans="3:28" ht="15.75" customHeight="1" x14ac:dyDescent="0.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spans="3:28" ht="15.75" customHeight="1" x14ac:dyDescent="0.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spans="3:28" ht="15.75" customHeight="1" x14ac:dyDescent="0.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spans="3:28" ht="15.75" customHeight="1" x14ac:dyDescent="0.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spans="3:28" ht="15.75" customHeight="1" x14ac:dyDescent="0.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spans="3:28" ht="15.75" customHeight="1" x14ac:dyDescent="0.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spans="3:28" ht="15.75" customHeight="1" x14ac:dyDescent="0.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spans="3:28" ht="15.75" customHeight="1" x14ac:dyDescent="0.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spans="3:28" ht="15.75" customHeight="1" x14ac:dyDescent="0.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spans="3:28" ht="15.75" customHeight="1" x14ac:dyDescent="0.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spans="3:28" ht="15.75" customHeight="1" x14ac:dyDescent="0.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spans="3:28" ht="15.75" customHeight="1" x14ac:dyDescent="0.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spans="3:28" ht="15.75" customHeight="1" x14ac:dyDescent="0.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spans="3:28" ht="15.75" customHeight="1" x14ac:dyDescent="0.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spans="3:28" ht="15.75" customHeight="1" x14ac:dyDescent="0.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spans="3:28" ht="15.75" customHeight="1" x14ac:dyDescent="0.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spans="3:28" ht="15.75" customHeight="1" x14ac:dyDescent="0.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spans="3:28" ht="15.75" customHeight="1" x14ac:dyDescent="0.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spans="3:28" ht="15.75" customHeight="1" x14ac:dyDescent="0.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spans="3:28" ht="15.75" customHeight="1" x14ac:dyDescent="0.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spans="3:28" ht="15.75" customHeight="1" x14ac:dyDescent="0.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spans="3:28" ht="15.75" customHeight="1" x14ac:dyDescent="0.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spans="3:28" ht="15.75" customHeight="1" x14ac:dyDescent="0.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spans="3:28" ht="15.75" customHeight="1" x14ac:dyDescent="0.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spans="3:28" ht="15.75" customHeight="1" x14ac:dyDescent="0.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spans="3:28" ht="15.75" customHeight="1" x14ac:dyDescent="0.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spans="3:28" ht="15.75" customHeight="1" x14ac:dyDescent="0.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spans="3:28" ht="15.75" customHeight="1" x14ac:dyDescent="0.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spans="3:28" ht="15.75" customHeight="1" x14ac:dyDescent="0.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spans="3:28" ht="15.75" customHeight="1" x14ac:dyDescent="0.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spans="3:28" ht="15.75" customHeight="1" x14ac:dyDescent="0.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spans="3:28" ht="15.75" customHeight="1" x14ac:dyDescent="0.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spans="3:28" ht="15.75" customHeight="1" x14ac:dyDescent="0.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spans="3:28" ht="15.75" customHeight="1" x14ac:dyDescent="0.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spans="3:28" ht="15.75" customHeight="1" x14ac:dyDescent="0.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spans="3:28" ht="15.75" customHeight="1" x14ac:dyDescent="0.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spans="3:28" ht="15.75" customHeight="1" x14ac:dyDescent="0.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spans="3:28" ht="15.75" customHeight="1" x14ac:dyDescent="0.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spans="3:28" ht="15.75" customHeight="1" x14ac:dyDescent="0.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spans="3:28" ht="15.75" customHeight="1" x14ac:dyDescent="0.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spans="3:28" ht="15.75" customHeight="1" x14ac:dyDescent="0.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spans="3:28" ht="15.75" customHeight="1" x14ac:dyDescent="0.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spans="3:28" ht="15.75" customHeight="1" x14ac:dyDescent="0.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spans="3:28" ht="15.75" customHeight="1" x14ac:dyDescent="0.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spans="3:28" ht="15.75" customHeight="1" x14ac:dyDescent="0.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spans="3:28" ht="15.75" customHeight="1" x14ac:dyDescent="0.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spans="3:28" ht="15.75" customHeight="1" x14ac:dyDescent="0.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spans="3:28" ht="15.75" customHeight="1" x14ac:dyDescent="0.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spans="3:28" ht="15.75" customHeight="1" x14ac:dyDescent="0.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spans="3:28" ht="15.75" customHeight="1" x14ac:dyDescent="0.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spans="3:28" ht="15.75" customHeight="1" x14ac:dyDescent="0.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spans="3:28" ht="15.75" customHeight="1" x14ac:dyDescent="0.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spans="3:28" ht="15.75" customHeight="1" x14ac:dyDescent="0.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spans="3:28" ht="15.75" customHeight="1" x14ac:dyDescent="0.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spans="3:28" ht="15.75" customHeight="1" x14ac:dyDescent="0.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spans="3:28" ht="15.75" customHeight="1" x14ac:dyDescent="0.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spans="3:28" ht="15.75" customHeight="1" x14ac:dyDescent="0.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spans="3:28" ht="15.75" customHeight="1" x14ac:dyDescent="0.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spans="3:28" ht="15.75" customHeight="1" x14ac:dyDescent="0.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spans="3:28" ht="15.75" customHeight="1" x14ac:dyDescent="0.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spans="3:28" ht="15.75" customHeight="1" x14ac:dyDescent="0.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spans="3:28" ht="15.75" customHeight="1" x14ac:dyDescent="0.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spans="3:28" ht="15.75" customHeight="1" x14ac:dyDescent="0.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spans="3:28" ht="15.75" customHeight="1" x14ac:dyDescent="0.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spans="3:28" ht="15.75" customHeight="1" x14ac:dyDescent="0.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spans="3:28" ht="15.75" customHeight="1" x14ac:dyDescent="0.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spans="3:28" ht="15.75" customHeight="1" x14ac:dyDescent="0.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spans="3:28" ht="15.75" customHeight="1" x14ac:dyDescent="0.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spans="3:28" ht="15.75" customHeight="1" x14ac:dyDescent="0.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spans="3:28" ht="15.75" customHeight="1" x14ac:dyDescent="0.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spans="3:28" ht="15.75" customHeight="1" x14ac:dyDescent="0.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spans="3:28" ht="15.75" customHeight="1" x14ac:dyDescent="0.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spans="3:28" ht="15.75" customHeight="1" x14ac:dyDescent="0.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spans="3:28" ht="15.75" customHeight="1" x14ac:dyDescent="0.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spans="3:28" ht="15.75" customHeight="1" x14ac:dyDescent="0.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spans="3:28" ht="15.75" customHeight="1" x14ac:dyDescent="0.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spans="3:28" ht="15.75" customHeight="1" x14ac:dyDescent="0.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spans="3:28" ht="15.75" customHeight="1" x14ac:dyDescent="0.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spans="3:28" ht="15.75" customHeight="1" x14ac:dyDescent="0.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spans="3:28" ht="15.75" customHeight="1" x14ac:dyDescent="0.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spans="3:28" ht="15.75" customHeight="1" x14ac:dyDescent="0.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spans="3:28" ht="15.75" customHeight="1" x14ac:dyDescent="0.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spans="3:28" ht="15.75" customHeight="1" x14ac:dyDescent="0.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spans="3:28" ht="15.75" customHeight="1" x14ac:dyDescent="0.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spans="3:28" ht="15.75" customHeight="1" x14ac:dyDescent="0.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spans="3:28" ht="15.75" customHeight="1" x14ac:dyDescent="0.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spans="3:28" ht="15.75" customHeight="1" x14ac:dyDescent="0.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spans="3:28" ht="15.75" customHeight="1" x14ac:dyDescent="0.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spans="3:28" ht="15.75" customHeight="1" x14ac:dyDescent="0.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spans="3:28" ht="15.75" customHeight="1" x14ac:dyDescent="0.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spans="3:28" ht="15.75" customHeight="1" x14ac:dyDescent="0.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spans="3:28" ht="15.75" customHeight="1" x14ac:dyDescent="0.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spans="3:28" ht="15.75" customHeight="1" x14ac:dyDescent="0.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spans="3:28" ht="15.75" customHeight="1" x14ac:dyDescent="0.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spans="3:28" ht="15.75" customHeight="1" x14ac:dyDescent="0.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spans="3:28" ht="15.75" customHeight="1" x14ac:dyDescent="0.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spans="3:28" ht="15.75" customHeight="1" x14ac:dyDescent="0.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spans="3:28" ht="15.75" customHeight="1" x14ac:dyDescent="0.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spans="3:28" ht="15.75" customHeight="1" x14ac:dyDescent="0.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spans="3:28" ht="15.75" customHeight="1" x14ac:dyDescent="0.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spans="3:28" ht="15.75" customHeight="1" x14ac:dyDescent="0.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spans="3:28" ht="15.75" customHeight="1" x14ac:dyDescent="0.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spans="3:28" ht="15.75" customHeight="1" x14ac:dyDescent="0.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spans="3:28" ht="15.75" customHeight="1" x14ac:dyDescent="0.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spans="3:28" ht="15.75" customHeight="1" x14ac:dyDescent="0.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spans="3:28" ht="15.75" customHeight="1" x14ac:dyDescent="0.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spans="3:28" ht="15.75" customHeight="1" x14ac:dyDescent="0.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spans="3:28" ht="15.75" customHeight="1" x14ac:dyDescent="0.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spans="3:28" ht="15.75" customHeight="1" x14ac:dyDescent="0.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spans="3:28" ht="15.75" customHeight="1" x14ac:dyDescent="0.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spans="3:28" ht="15.75" customHeight="1" x14ac:dyDescent="0.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spans="3:28" ht="15.75" customHeight="1" x14ac:dyDescent="0.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spans="3:28" ht="15.75" customHeight="1" x14ac:dyDescent="0.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spans="3:28" ht="15.75" customHeight="1" x14ac:dyDescent="0.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spans="3:28" ht="15.75" customHeight="1" x14ac:dyDescent="0.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spans="3:28" ht="15.75" customHeight="1" x14ac:dyDescent="0.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spans="3:28" ht="15.75" customHeight="1" x14ac:dyDescent="0.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spans="3:28" ht="15.75" customHeight="1" x14ac:dyDescent="0.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spans="3:28" ht="15.75" customHeight="1" x14ac:dyDescent="0.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spans="3:28" ht="15.75" customHeight="1" x14ac:dyDescent="0.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spans="3:28" ht="15.75" customHeight="1" x14ac:dyDescent="0.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spans="3:28" ht="15.75" customHeight="1" x14ac:dyDescent="0.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spans="3:28" ht="15.75" customHeight="1" x14ac:dyDescent="0.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spans="3:28" ht="15.75" customHeight="1" x14ac:dyDescent="0.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spans="3:28" ht="15.75" customHeight="1" x14ac:dyDescent="0.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spans="3:28" ht="15.75" customHeight="1" x14ac:dyDescent="0.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spans="3:28" ht="15.75" customHeight="1" x14ac:dyDescent="0.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spans="3:28" ht="15.75" customHeight="1" x14ac:dyDescent="0.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spans="3:28" ht="15.75" customHeight="1" x14ac:dyDescent="0.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spans="3:28" ht="15.75" customHeight="1" x14ac:dyDescent="0.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spans="3:28" ht="15.75" customHeight="1" x14ac:dyDescent="0.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spans="3:28" ht="15.75" customHeight="1" x14ac:dyDescent="0.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spans="3:28" ht="15.75" customHeight="1" x14ac:dyDescent="0.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spans="3:28" ht="15.75" customHeight="1" x14ac:dyDescent="0.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spans="3:28" ht="15.75" customHeight="1" x14ac:dyDescent="0.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spans="3:28" ht="15.75" customHeight="1" x14ac:dyDescent="0.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spans="3:28" ht="15.75" customHeight="1" x14ac:dyDescent="0.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spans="3:28" ht="15.75" customHeight="1" x14ac:dyDescent="0.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spans="3:28" ht="15.75" customHeight="1" x14ac:dyDescent="0.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spans="3:28" ht="15.75" customHeight="1" x14ac:dyDescent="0.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spans="3:28" ht="15.75" customHeight="1" x14ac:dyDescent="0.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spans="3:28" ht="15.75" customHeight="1" x14ac:dyDescent="0.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spans="3:28" ht="15.75" customHeight="1" x14ac:dyDescent="0.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spans="3:28" ht="15.75" customHeight="1" x14ac:dyDescent="0.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spans="3:28" ht="15.75" customHeight="1" x14ac:dyDescent="0.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spans="3:28" ht="15.75" customHeight="1" x14ac:dyDescent="0.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spans="3:28" ht="15.75" customHeight="1" x14ac:dyDescent="0.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spans="3:28" ht="15.75" customHeight="1" x14ac:dyDescent="0.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spans="3:28" ht="15.75" customHeight="1" x14ac:dyDescent="0.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spans="3:28" ht="15.75" customHeight="1" x14ac:dyDescent="0.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spans="3:28" ht="15.75" customHeight="1" x14ac:dyDescent="0.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spans="3:28" ht="15.75" customHeight="1" x14ac:dyDescent="0.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spans="3:28" ht="15.75" customHeight="1" x14ac:dyDescent="0.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spans="3:28" ht="15.75" customHeight="1" x14ac:dyDescent="0.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spans="3:28" ht="15.75" customHeight="1" x14ac:dyDescent="0.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spans="3:28" ht="15.75" customHeight="1" x14ac:dyDescent="0.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spans="3:28" ht="15.75" customHeight="1" x14ac:dyDescent="0.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spans="3:28" ht="15.75" customHeight="1" x14ac:dyDescent="0.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spans="3:28" ht="15.75" customHeight="1" x14ac:dyDescent="0.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spans="3:28" ht="15.75" customHeight="1" x14ac:dyDescent="0.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spans="3:28" ht="15.75" customHeight="1" x14ac:dyDescent="0.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spans="3:28" ht="15.75" customHeight="1" x14ac:dyDescent="0.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spans="3:28" ht="15.75" customHeight="1" x14ac:dyDescent="0.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spans="3:28" ht="15.75" customHeight="1" x14ac:dyDescent="0.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spans="3:28" ht="15.75" customHeight="1" x14ac:dyDescent="0.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spans="3:28" ht="15.75" customHeight="1" x14ac:dyDescent="0.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spans="3:28" ht="15.75" customHeight="1" x14ac:dyDescent="0.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spans="3:28" ht="15.75" customHeight="1" x14ac:dyDescent="0.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spans="3:28" ht="15.75" customHeight="1" x14ac:dyDescent="0.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spans="3:28" ht="15.75" customHeight="1" x14ac:dyDescent="0.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spans="3:28" ht="15.75" customHeight="1" x14ac:dyDescent="0.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spans="3:28" ht="15.75" customHeight="1" x14ac:dyDescent="0.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spans="3:28" ht="15.75" customHeight="1" x14ac:dyDescent="0.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spans="3:28" ht="15.75" customHeight="1" x14ac:dyDescent="0.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spans="3:28" ht="15.75" customHeight="1" x14ac:dyDescent="0.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spans="3:28" ht="15.75" customHeight="1" x14ac:dyDescent="0.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spans="3:28" ht="15.75" customHeight="1" x14ac:dyDescent="0.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spans="3:28" ht="15.75" customHeight="1" x14ac:dyDescent="0.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spans="3:28" ht="15.75" customHeight="1" x14ac:dyDescent="0.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spans="3:28" ht="15.75" customHeight="1" x14ac:dyDescent="0.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spans="3:28" ht="15.75" customHeight="1" x14ac:dyDescent="0.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spans="3:28" ht="15.75" customHeight="1" x14ac:dyDescent="0.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spans="3:28" ht="15.75" customHeight="1" x14ac:dyDescent="0.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spans="3:28" ht="15.75" customHeight="1" x14ac:dyDescent="0.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spans="3:28" ht="15.75" customHeight="1" x14ac:dyDescent="0.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spans="3:28" ht="15.75" customHeight="1" x14ac:dyDescent="0.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spans="3:28" ht="15.75" customHeight="1" x14ac:dyDescent="0.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spans="3:28" ht="15.75" customHeight="1" x14ac:dyDescent="0.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spans="3:28" ht="15.75" customHeight="1" x14ac:dyDescent="0.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spans="3:28" ht="15.75" customHeight="1" x14ac:dyDescent="0.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spans="3:28" ht="15.75" customHeight="1" x14ac:dyDescent="0.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spans="3:28" ht="15.75" customHeight="1" x14ac:dyDescent="0.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spans="3:28" ht="15.75" customHeight="1" x14ac:dyDescent="0.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spans="3:28" ht="15.75" customHeight="1" x14ac:dyDescent="0.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spans="3:28" ht="15.75" customHeight="1" x14ac:dyDescent="0.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spans="3:28" ht="15.75" customHeight="1" x14ac:dyDescent="0.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spans="3:28" ht="15.75" customHeight="1" x14ac:dyDescent="0.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spans="3:28" ht="15.75" customHeight="1" x14ac:dyDescent="0.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spans="3:28" ht="15.75" customHeight="1" x14ac:dyDescent="0.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spans="3:28" ht="15.75" customHeight="1" x14ac:dyDescent="0.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spans="3:28" ht="15.75" customHeight="1" x14ac:dyDescent="0.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spans="3:28" ht="15.75" customHeight="1" x14ac:dyDescent="0.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spans="3:28" ht="15.75" customHeight="1" x14ac:dyDescent="0.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spans="3:28" ht="15.75" customHeight="1" x14ac:dyDescent="0.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spans="3:28" ht="15.75" customHeight="1" x14ac:dyDescent="0.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spans="3:28" ht="15.75" customHeight="1" x14ac:dyDescent="0.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spans="3:28" ht="15.75" customHeight="1" x14ac:dyDescent="0.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spans="3:28" ht="15.75" customHeight="1" x14ac:dyDescent="0.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spans="3:28" ht="15.75" customHeight="1" x14ac:dyDescent="0.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spans="3:28" ht="15.75" customHeight="1" x14ac:dyDescent="0.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spans="3:28" ht="15.75" customHeight="1" x14ac:dyDescent="0.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spans="3:28" ht="15.75" customHeight="1" x14ac:dyDescent="0.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spans="3:28" ht="15.75" customHeight="1" x14ac:dyDescent="0.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spans="3:28" ht="15.75" customHeight="1" x14ac:dyDescent="0.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spans="3:28" ht="15.75" customHeight="1" x14ac:dyDescent="0.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spans="3:28" ht="15.75" customHeight="1" x14ac:dyDescent="0.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spans="3:28" ht="15.75" customHeight="1" x14ac:dyDescent="0.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spans="3:28" ht="15.75" customHeight="1" x14ac:dyDescent="0.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spans="3:28" ht="15.75" customHeight="1" x14ac:dyDescent="0.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spans="3:28" ht="15.75" customHeight="1" x14ac:dyDescent="0.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spans="3:28" ht="15.75" customHeight="1" x14ac:dyDescent="0.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spans="3:28" ht="15.75" customHeight="1" x14ac:dyDescent="0.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spans="3:28" ht="15.75" customHeight="1" x14ac:dyDescent="0.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spans="3:28" ht="15.75" customHeight="1" x14ac:dyDescent="0.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spans="3:28" ht="15.75" customHeight="1" x14ac:dyDescent="0.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spans="3:28" ht="15.75" customHeight="1" x14ac:dyDescent="0.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spans="3:28" ht="15.75" customHeight="1" x14ac:dyDescent="0.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spans="3:28" ht="15.75" customHeight="1" x14ac:dyDescent="0.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spans="3:28" ht="15.75" customHeight="1" x14ac:dyDescent="0.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spans="3:28" ht="15.75" customHeight="1" x14ac:dyDescent="0.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spans="3:28" ht="15.75" customHeight="1" x14ac:dyDescent="0.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spans="3:28" ht="15.75" customHeight="1" x14ac:dyDescent="0.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spans="3:28" ht="15.75" customHeight="1" x14ac:dyDescent="0.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spans="3:28" ht="15.75" customHeight="1" x14ac:dyDescent="0.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spans="3:28" ht="15.75" customHeight="1" x14ac:dyDescent="0.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spans="3:28" ht="15.75" customHeight="1" x14ac:dyDescent="0.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spans="3:28" ht="15.75" customHeight="1" x14ac:dyDescent="0.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spans="3:28" ht="15.75" customHeight="1" x14ac:dyDescent="0.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spans="3:28" ht="15.75" customHeight="1" x14ac:dyDescent="0.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spans="3:28" ht="15.75" customHeight="1" x14ac:dyDescent="0.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spans="3:28" ht="15.75" customHeight="1" x14ac:dyDescent="0.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spans="3:28" ht="15.75" customHeight="1" x14ac:dyDescent="0.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spans="3:28" ht="15.75" customHeight="1" x14ac:dyDescent="0.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spans="3:28" ht="15.75" customHeight="1" x14ac:dyDescent="0.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spans="3:28" ht="15.75" customHeight="1" x14ac:dyDescent="0.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spans="3:28" ht="15.75" customHeight="1" x14ac:dyDescent="0.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spans="3:28" ht="15.75" customHeight="1" x14ac:dyDescent="0.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spans="3:28" ht="15.75" customHeight="1" x14ac:dyDescent="0.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spans="3:28" ht="15.75" customHeight="1" x14ac:dyDescent="0.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spans="3:28" ht="15.75" customHeight="1" x14ac:dyDescent="0.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spans="3:28" ht="15.75" customHeight="1" x14ac:dyDescent="0.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spans="3:28" ht="15.75" customHeight="1" x14ac:dyDescent="0.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spans="3:28" ht="15.75" customHeight="1" x14ac:dyDescent="0.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spans="3:28" ht="15.75" customHeight="1" x14ac:dyDescent="0.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spans="3:28" ht="15.75" customHeight="1" x14ac:dyDescent="0.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spans="3:28" ht="15.75" customHeight="1" x14ac:dyDescent="0.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spans="3:28" ht="15.75" customHeight="1" x14ac:dyDescent="0.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spans="3:28" ht="15.75" customHeight="1" x14ac:dyDescent="0.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spans="3:28" ht="15.75" customHeight="1" x14ac:dyDescent="0.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spans="3:28" ht="15.75" customHeight="1" x14ac:dyDescent="0.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spans="3:28" ht="15.75" customHeight="1" x14ac:dyDescent="0.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spans="3:28" ht="15.75" customHeight="1" x14ac:dyDescent="0.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spans="3:28" ht="15.75" customHeight="1" x14ac:dyDescent="0.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spans="3:28" ht="15.75" customHeight="1" x14ac:dyDescent="0.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spans="3:28" ht="15.75" customHeight="1" x14ac:dyDescent="0.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spans="3:28" ht="15.75" customHeight="1" x14ac:dyDescent="0.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spans="3:28" ht="15.75" customHeight="1" x14ac:dyDescent="0.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spans="3:28" ht="15.75" customHeight="1" x14ac:dyDescent="0.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spans="3:28" ht="15.75" customHeight="1" x14ac:dyDescent="0.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spans="3:28" ht="15.75" customHeight="1" x14ac:dyDescent="0.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spans="3:28" ht="15.75" customHeight="1" x14ac:dyDescent="0.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spans="3:28" ht="15.75" customHeight="1" x14ac:dyDescent="0.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spans="3:28" ht="15.75" customHeight="1" x14ac:dyDescent="0.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spans="3:28" ht="15.75" customHeight="1" x14ac:dyDescent="0.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spans="3:28" ht="15.75" customHeight="1" x14ac:dyDescent="0.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spans="3:28" ht="15.75" customHeight="1" x14ac:dyDescent="0.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spans="3:28" ht="15.75" customHeight="1" x14ac:dyDescent="0.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spans="3:28" ht="15.75" customHeight="1" x14ac:dyDescent="0.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spans="3:28" ht="15.75" customHeight="1" x14ac:dyDescent="0.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spans="3:28" ht="15.75" customHeight="1" x14ac:dyDescent="0.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spans="3:28" ht="15.75" customHeight="1" x14ac:dyDescent="0.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spans="3:28" ht="15.75" customHeight="1" x14ac:dyDescent="0.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spans="3:28" ht="15.75" customHeight="1" x14ac:dyDescent="0.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spans="3:28" ht="15.75" customHeight="1" x14ac:dyDescent="0.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spans="3:28" ht="15.75" customHeight="1" x14ac:dyDescent="0.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spans="3:28" ht="15.75" customHeight="1" x14ac:dyDescent="0.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spans="3:28" ht="15.75" customHeight="1" x14ac:dyDescent="0.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spans="3:28" ht="15.75" customHeight="1" x14ac:dyDescent="0.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spans="3:28" ht="15.75" customHeight="1" x14ac:dyDescent="0.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spans="3:28" ht="15.75" customHeight="1" x14ac:dyDescent="0.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spans="3:28" ht="15.75" customHeight="1" x14ac:dyDescent="0.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spans="3:28" ht="15.75" customHeight="1" x14ac:dyDescent="0.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spans="3:28" ht="15.75" customHeight="1" x14ac:dyDescent="0.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spans="3:28" ht="15.75" customHeight="1" x14ac:dyDescent="0.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spans="3:28" ht="15.75" customHeight="1" x14ac:dyDescent="0.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spans="3:28" ht="15.75" customHeight="1" x14ac:dyDescent="0.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spans="3:28" ht="15.75" customHeight="1" x14ac:dyDescent="0.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spans="3:28" ht="15.75" customHeight="1" x14ac:dyDescent="0.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spans="3:28" ht="15.75" customHeight="1" x14ac:dyDescent="0.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spans="3:28" ht="15.75" customHeight="1" x14ac:dyDescent="0.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spans="3:28" ht="15.75" customHeight="1" x14ac:dyDescent="0.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spans="3:28" ht="15.75" customHeight="1" x14ac:dyDescent="0.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spans="3:28" ht="15.75" customHeight="1" x14ac:dyDescent="0.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spans="3:28" ht="15.75" customHeight="1" x14ac:dyDescent="0.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spans="3:28" ht="15.75" customHeight="1" x14ac:dyDescent="0.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spans="3:28" ht="15.75" customHeight="1" x14ac:dyDescent="0.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spans="3:28" ht="15.75" customHeight="1" x14ac:dyDescent="0.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spans="3:28" ht="15.75" customHeight="1" x14ac:dyDescent="0.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spans="3:28" ht="15.75" customHeight="1" x14ac:dyDescent="0.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spans="3:28" ht="15.75" customHeight="1" x14ac:dyDescent="0.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spans="3:28" ht="15.75" customHeight="1" x14ac:dyDescent="0.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spans="3:28" ht="15.75" customHeight="1" x14ac:dyDescent="0.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spans="3:28" ht="15.75" customHeight="1" x14ac:dyDescent="0.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spans="3:28" ht="15.75" customHeight="1" x14ac:dyDescent="0.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spans="3:28" ht="15.75" customHeight="1" x14ac:dyDescent="0.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spans="3:28" ht="15.75" customHeight="1" x14ac:dyDescent="0.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spans="3:28" ht="15.75" customHeight="1" x14ac:dyDescent="0.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spans="3:28" ht="15.75" customHeight="1" x14ac:dyDescent="0.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spans="3:28" ht="15.75" customHeight="1" x14ac:dyDescent="0.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spans="3:28" ht="15.75" customHeight="1" x14ac:dyDescent="0.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spans="3:28" ht="15.75" customHeight="1" x14ac:dyDescent="0.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spans="3:28" ht="15.75" customHeight="1" x14ac:dyDescent="0.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spans="3:28" ht="15.75" customHeight="1" x14ac:dyDescent="0.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spans="3:28" ht="15.75" customHeight="1" x14ac:dyDescent="0.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spans="3:28" ht="15.75" customHeight="1" x14ac:dyDescent="0.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spans="3:28" ht="15.75" customHeight="1" x14ac:dyDescent="0.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spans="3:28" ht="15.75" customHeight="1" x14ac:dyDescent="0.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spans="3:28" ht="15.75" customHeight="1" x14ac:dyDescent="0.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spans="3:28" ht="15.75" customHeight="1" x14ac:dyDescent="0.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spans="3:28" ht="15.75" customHeight="1" x14ac:dyDescent="0.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spans="3:28" ht="15.75" customHeight="1" x14ac:dyDescent="0.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spans="3:28" ht="15.75" customHeight="1" x14ac:dyDescent="0.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spans="3:28" ht="15.75" customHeight="1" x14ac:dyDescent="0.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spans="3:28" ht="15.75" customHeight="1" x14ac:dyDescent="0.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spans="3:28" ht="15.75" customHeight="1" x14ac:dyDescent="0.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spans="3:28" ht="15.75" customHeight="1" x14ac:dyDescent="0.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spans="3:28" ht="15.75" customHeight="1" x14ac:dyDescent="0.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spans="3:28" ht="15.75" customHeight="1" x14ac:dyDescent="0.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spans="3:28" ht="15.75" customHeight="1" x14ac:dyDescent="0.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spans="3:28" ht="15.75" customHeight="1" x14ac:dyDescent="0.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spans="3:28" ht="15.75" customHeight="1" x14ac:dyDescent="0.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spans="3:28" ht="15.75" customHeight="1" x14ac:dyDescent="0.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spans="3:28" ht="15.75" customHeight="1" x14ac:dyDescent="0.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spans="3:28" ht="15.75" customHeight="1" x14ac:dyDescent="0.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spans="3:28" ht="15.75" customHeight="1" x14ac:dyDescent="0.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spans="3:28" ht="15.75" customHeight="1" x14ac:dyDescent="0.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spans="3:28" ht="15.75" customHeight="1" x14ac:dyDescent="0.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spans="3:28" ht="15.75" customHeight="1" x14ac:dyDescent="0.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spans="3:28" ht="15.75" customHeight="1" x14ac:dyDescent="0.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spans="3:28" ht="15.75" customHeight="1" x14ac:dyDescent="0.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spans="3:28" ht="15.75" customHeight="1" x14ac:dyDescent="0.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spans="3:28" ht="15.75" customHeight="1" x14ac:dyDescent="0.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spans="3:28" ht="15.75" customHeight="1" x14ac:dyDescent="0.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spans="3:28" ht="15.75" customHeight="1" x14ac:dyDescent="0.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spans="3:28" ht="15.75" customHeight="1" x14ac:dyDescent="0.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spans="3:28" ht="15.75" customHeight="1" x14ac:dyDescent="0.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spans="3:28" ht="15.75" customHeight="1" x14ac:dyDescent="0.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spans="3:28" ht="15.75" customHeight="1" x14ac:dyDescent="0.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spans="3:28" ht="15.75" customHeight="1" x14ac:dyDescent="0.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spans="3:28" ht="15.75" customHeight="1" x14ac:dyDescent="0.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spans="3:28" ht="15.75" customHeight="1" x14ac:dyDescent="0.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spans="3:28" ht="15.75" customHeight="1" x14ac:dyDescent="0.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spans="3:28" ht="15.75" customHeight="1" x14ac:dyDescent="0.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spans="3:28" ht="15.75" customHeight="1" x14ac:dyDescent="0.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spans="3:28" ht="15.75" customHeight="1" x14ac:dyDescent="0.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spans="3:28" ht="15.75" customHeight="1" x14ac:dyDescent="0.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spans="3:28" ht="15.75" customHeight="1" x14ac:dyDescent="0.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spans="3:28" ht="15.75" customHeight="1" x14ac:dyDescent="0.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spans="3:28" ht="15.75" customHeight="1" x14ac:dyDescent="0.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spans="3:28" ht="15.75" customHeight="1" x14ac:dyDescent="0.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spans="3:28" ht="15.75" customHeight="1" x14ac:dyDescent="0.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spans="3:28" ht="15.75" customHeight="1" x14ac:dyDescent="0.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spans="3:28" ht="15.75" customHeight="1" x14ac:dyDescent="0.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spans="3:28" ht="15.75" customHeight="1" x14ac:dyDescent="0.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spans="3:28" ht="15.75" customHeight="1" x14ac:dyDescent="0.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spans="3:28" ht="15.75" customHeight="1" x14ac:dyDescent="0.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spans="3:28" ht="15.75" customHeight="1" x14ac:dyDescent="0.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spans="3:28" ht="15.75" customHeight="1" x14ac:dyDescent="0.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spans="3:28" ht="15.75" customHeight="1" x14ac:dyDescent="0.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spans="3:28" ht="15.75" customHeight="1" x14ac:dyDescent="0.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spans="3:28" ht="15.75" customHeight="1" x14ac:dyDescent="0.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spans="3:28" ht="15.75" customHeight="1" x14ac:dyDescent="0.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spans="3:28" ht="15.75" customHeight="1" x14ac:dyDescent="0.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spans="3:28" ht="15.75" customHeight="1" x14ac:dyDescent="0.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spans="3:28" ht="15.75" customHeight="1" x14ac:dyDescent="0.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spans="3:28" ht="15.75" customHeight="1" x14ac:dyDescent="0.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spans="3:28" ht="15.75" customHeight="1" x14ac:dyDescent="0.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spans="3:28" ht="15.75" customHeight="1" x14ac:dyDescent="0.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spans="3:28" ht="15.75" customHeight="1" x14ac:dyDescent="0.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spans="3:28" ht="15.75" customHeight="1" x14ac:dyDescent="0.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spans="3:28" ht="15.75" customHeight="1" x14ac:dyDescent="0.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spans="3:28" ht="15.75" customHeight="1" x14ac:dyDescent="0.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spans="3:28" ht="15.75" customHeight="1" x14ac:dyDescent="0.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spans="3:28" ht="15.75" customHeight="1" x14ac:dyDescent="0.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spans="3:28" ht="15.75" customHeight="1" x14ac:dyDescent="0.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spans="3:28" ht="15.75" customHeight="1" x14ac:dyDescent="0.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spans="3:28" ht="15.75" customHeight="1" x14ac:dyDescent="0.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spans="3:28" ht="15.75" customHeight="1" x14ac:dyDescent="0.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spans="3:28" ht="15.75" customHeight="1" x14ac:dyDescent="0.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spans="3:28" ht="15.75" customHeight="1" x14ac:dyDescent="0.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spans="3:28" ht="15.75" customHeight="1" x14ac:dyDescent="0.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spans="3:28" ht="15.75" customHeight="1" x14ac:dyDescent="0.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spans="3:28" ht="15.75" customHeight="1" x14ac:dyDescent="0.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spans="3:28" ht="15.75" customHeight="1" x14ac:dyDescent="0.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spans="3:28" ht="15.75" customHeight="1" x14ac:dyDescent="0.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spans="3:28" ht="15.75" customHeight="1" x14ac:dyDescent="0.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spans="3:28" ht="15.75" customHeight="1" x14ac:dyDescent="0.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spans="3:28" ht="15.75" customHeight="1" x14ac:dyDescent="0.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spans="3:28" ht="15.75" customHeight="1" x14ac:dyDescent="0.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spans="3:28" ht="15.75" customHeight="1" x14ac:dyDescent="0.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spans="3:28" ht="15.75" customHeight="1" x14ac:dyDescent="0.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spans="3:28" ht="15.75" customHeight="1" x14ac:dyDescent="0.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spans="3:28" ht="15.75" customHeight="1" x14ac:dyDescent="0.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spans="3:28" ht="15.75" customHeight="1" x14ac:dyDescent="0.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spans="3:28" ht="15.75" customHeight="1" x14ac:dyDescent="0.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spans="3:28" ht="15.75" customHeight="1" x14ac:dyDescent="0.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spans="3:28" ht="15.75" customHeight="1" x14ac:dyDescent="0.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spans="3:28" ht="15.75" customHeight="1" x14ac:dyDescent="0.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spans="3:28" ht="15.75" customHeight="1" x14ac:dyDescent="0.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spans="3:28" ht="15.75" customHeight="1" x14ac:dyDescent="0.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spans="3:28" ht="15.75" customHeight="1" x14ac:dyDescent="0.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spans="3:28" ht="15.75" customHeight="1" x14ac:dyDescent="0.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spans="3:28" ht="15.75" customHeight="1" x14ac:dyDescent="0.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spans="3:28" ht="15.75" customHeight="1" x14ac:dyDescent="0.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spans="3:28" ht="15.75" customHeight="1" x14ac:dyDescent="0.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spans="3:28" ht="15.75" customHeight="1" x14ac:dyDescent="0.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spans="3:28" ht="15.75" customHeight="1" x14ac:dyDescent="0.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spans="3:28" ht="15.75" customHeight="1" x14ac:dyDescent="0.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spans="3:28" ht="15.75" customHeight="1" x14ac:dyDescent="0.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spans="3:28" ht="15.75" customHeight="1" x14ac:dyDescent="0.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spans="3:28" ht="15.75" customHeight="1" x14ac:dyDescent="0.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spans="3:28" ht="15.75" customHeight="1" x14ac:dyDescent="0.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spans="3:28" ht="15.75" customHeight="1" x14ac:dyDescent="0.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spans="3:28" ht="15.75" customHeight="1" x14ac:dyDescent="0.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spans="3:28" ht="15.75" customHeight="1" x14ac:dyDescent="0.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spans="3:28" ht="15.75" customHeight="1" x14ac:dyDescent="0.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spans="3:28" ht="15.75" customHeight="1" x14ac:dyDescent="0.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spans="3:28" ht="15.75" customHeight="1" x14ac:dyDescent="0.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spans="3:28" ht="15.75" customHeight="1" x14ac:dyDescent="0.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spans="3:28" ht="15.75" customHeight="1" x14ac:dyDescent="0.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spans="3:28" ht="15.75" customHeight="1" x14ac:dyDescent="0.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spans="3:28" ht="15.75" customHeight="1" x14ac:dyDescent="0.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spans="3:28" ht="15.75" customHeight="1" x14ac:dyDescent="0.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spans="3:28" ht="15.75" customHeight="1" x14ac:dyDescent="0.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spans="3:28" ht="15.75" customHeight="1" x14ac:dyDescent="0.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spans="3:28" ht="15.75" customHeight="1" x14ac:dyDescent="0.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spans="3:28" ht="15.75" customHeight="1" x14ac:dyDescent="0.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spans="3:28" ht="15.75" customHeight="1" x14ac:dyDescent="0.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spans="3:28" ht="15.75" customHeight="1" x14ac:dyDescent="0.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spans="3:28" ht="15.75" customHeight="1" x14ac:dyDescent="0.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spans="3:28" ht="15.75" customHeight="1" x14ac:dyDescent="0.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spans="3:28" ht="15.75" customHeight="1" x14ac:dyDescent="0.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spans="3:28" ht="15.75" customHeight="1" x14ac:dyDescent="0.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spans="3:28" ht="15.75" customHeight="1" x14ac:dyDescent="0.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spans="3:28" ht="15.75" customHeight="1" x14ac:dyDescent="0.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spans="3:28" ht="15.75" customHeight="1" x14ac:dyDescent="0.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spans="3:28" ht="15.75" customHeight="1" x14ac:dyDescent="0.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spans="3:28" ht="15.75" customHeight="1" x14ac:dyDescent="0.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spans="3:28" ht="15.75" customHeight="1" x14ac:dyDescent="0.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spans="3:28" ht="15.75" customHeight="1" x14ac:dyDescent="0.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spans="3:28" ht="15.75" customHeight="1" x14ac:dyDescent="0.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spans="3:28" ht="15.75" customHeight="1" x14ac:dyDescent="0.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spans="3:28" ht="15.75" customHeight="1" x14ac:dyDescent="0.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spans="3:28" ht="15.75" customHeight="1" x14ac:dyDescent="0.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spans="3:28" ht="15.75" customHeight="1" x14ac:dyDescent="0.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spans="3:28" ht="15.75" customHeight="1" x14ac:dyDescent="0.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spans="3:28" ht="15.75" customHeight="1" x14ac:dyDescent="0.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spans="3:28" ht="15.75" customHeight="1" x14ac:dyDescent="0.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spans="3:28" ht="15.75" customHeight="1" x14ac:dyDescent="0.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spans="3:28" ht="15.75" customHeight="1" x14ac:dyDescent="0.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spans="3:28" ht="15.75" customHeight="1" x14ac:dyDescent="0.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spans="3:28" ht="15.75" customHeight="1" x14ac:dyDescent="0.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spans="3:28" ht="15.75" customHeight="1" x14ac:dyDescent="0.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spans="3:28" ht="15.75" customHeight="1" x14ac:dyDescent="0.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spans="3:28" ht="15.75" customHeight="1" x14ac:dyDescent="0.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spans="3:28" ht="15.75" customHeight="1" x14ac:dyDescent="0.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spans="3:28" ht="15.75" customHeight="1" x14ac:dyDescent="0.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spans="3:28" ht="15.75" customHeight="1" x14ac:dyDescent="0.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spans="3:28" ht="15.75" customHeight="1" x14ac:dyDescent="0.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spans="3:28" ht="15.75" customHeight="1" x14ac:dyDescent="0.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spans="3:28" ht="15.75" customHeight="1" x14ac:dyDescent="0.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spans="3:28" ht="15.75" customHeight="1" x14ac:dyDescent="0.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spans="3:28" ht="15.75" customHeight="1" x14ac:dyDescent="0.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spans="3:28" ht="15.75" customHeight="1" x14ac:dyDescent="0.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spans="3:28" ht="15.75" customHeight="1" x14ac:dyDescent="0.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spans="3:28" ht="15.75" customHeight="1" x14ac:dyDescent="0.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spans="3:28" ht="15.75" customHeight="1" x14ac:dyDescent="0.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spans="3:28" ht="15.75" customHeight="1" x14ac:dyDescent="0.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spans="3:28" ht="15.75" customHeight="1" x14ac:dyDescent="0.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spans="3:28" ht="15.75" customHeight="1" x14ac:dyDescent="0.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spans="3:28" ht="15.75" customHeight="1" x14ac:dyDescent="0.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spans="3:28" ht="15.75" customHeight="1" x14ac:dyDescent="0.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spans="3:28" ht="15.75" customHeight="1" x14ac:dyDescent="0.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spans="3:28" ht="15.75" customHeight="1" x14ac:dyDescent="0.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spans="3:28" ht="15.75" customHeight="1" x14ac:dyDescent="0.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spans="3:28" ht="15.75" customHeight="1" x14ac:dyDescent="0.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spans="3:28" ht="15.75" customHeight="1" x14ac:dyDescent="0.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spans="3:28" ht="15.75" customHeight="1" x14ac:dyDescent="0.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spans="3:28" ht="15.75" customHeight="1" x14ac:dyDescent="0.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spans="3:28" ht="15.75" customHeight="1" x14ac:dyDescent="0.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spans="3:28" ht="15.75" customHeight="1" x14ac:dyDescent="0.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spans="3:28" ht="15.75" customHeight="1" x14ac:dyDescent="0.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spans="3:28" ht="15.75" customHeight="1" x14ac:dyDescent="0.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spans="3:28" ht="15.75" customHeight="1" x14ac:dyDescent="0.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spans="3:28" ht="15.75" customHeight="1" x14ac:dyDescent="0.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spans="3:28" ht="15.75" customHeight="1" x14ac:dyDescent="0.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spans="3:28" ht="15.75" customHeight="1" x14ac:dyDescent="0.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spans="3:28" ht="15.75" customHeight="1" x14ac:dyDescent="0.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spans="3:28" ht="15.75" customHeight="1" x14ac:dyDescent="0.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spans="3:28" ht="15.75" customHeight="1" x14ac:dyDescent="0.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spans="3:28" ht="15.75" customHeight="1" x14ac:dyDescent="0.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spans="3:28" ht="15.75" customHeight="1" x14ac:dyDescent="0.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spans="3:28" ht="15.75" customHeight="1" x14ac:dyDescent="0.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spans="3:28" ht="15.75" customHeight="1" x14ac:dyDescent="0.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spans="3:28" ht="15.75" customHeight="1" x14ac:dyDescent="0.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spans="3:28" ht="15.75" customHeight="1" x14ac:dyDescent="0.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spans="3:28" ht="15.75" customHeight="1" x14ac:dyDescent="0.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spans="3:28" ht="15.75" customHeight="1" x14ac:dyDescent="0.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spans="3:28" ht="15.75" customHeight="1" x14ac:dyDescent="0.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spans="3:28" ht="15.75" customHeight="1" x14ac:dyDescent="0.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spans="3:28" ht="15.75" customHeight="1" x14ac:dyDescent="0.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spans="3:28" ht="15.75" customHeight="1" x14ac:dyDescent="0.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spans="3:28" ht="15.75" customHeight="1" x14ac:dyDescent="0.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spans="3:28" ht="15.75" customHeight="1" x14ac:dyDescent="0.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spans="3:28" ht="15.75" customHeight="1" x14ac:dyDescent="0.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spans="3:28" ht="15.75" customHeight="1" x14ac:dyDescent="0.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spans="3:28" ht="15.75" customHeight="1" x14ac:dyDescent="0.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spans="3:28" ht="15.75" customHeight="1" x14ac:dyDescent="0.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spans="3:28" ht="15.75" customHeight="1" x14ac:dyDescent="0.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spans="3:28" ht="15.75" customHeight="1" x14ac:dyDescent="0.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spans="3:28" ht="15.75" customHeight="1" x14ac:dyDescent="0.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spans="3:28" ht="15.75" customHeight="1" x14ac:dyDescent="0.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spans="3:28" ht="15.75" customHeight="1" x14ac:dyDescent="0.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spans="3:28" ht="15.75" customHeight="1" x14ac:dyDescent="0.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spans="3:28" ht="15.75" customHeight="1" x14ac:dyDescent="0.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spans="3:28" ht="15.75" customHeight="1" x14ac:dyDescent="0.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spans="3:28" ht="15.75" customHeight="1" x14ac:dyDescent="0.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spans="3:28" ht="15.75" customHeight="1" x14ac:dyDescent="0.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spans="3:28" ht="15.75" customHeight="1" x14ac:dyDescent="0.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spans="3:28" ht="15.75" customHeight="1" x14ac:dyDescent="0.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spans="3:28" ht="15.75" customHeight="1" x14ac:dyDescent="0.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spans="3:28" ht="15.75" customHeight="1" x14ac:dyDescent="0.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spans="3:28" ht="15.75" customHeight="1" x14ac:dyDescent="0.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spans="3:28" ht="15.75" customHeight="1" x14ac:dyDescent="0.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spans="3:28" ht="15.75" customHeight="1" x14ac:dyDescent="0.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spans="3:28" ht="15.75" customHeight="1" x14ac:dyDescent="0.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spans="3:28" ht="15.75" customHeight="1" x14ac:dyDescent="0.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spans="3:28" ht="15.75" customHeight="1" x14ac:dyDescent="0.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spans="3:28" ht="15.75" customHeight="1" x14ac:dyDescent="0.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spans="3:28" ht="15.75" customHeight="1" x14ac:dyDescent="0.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spans="3:28" ht="15.75" customHeight="1" x14ac:dyDescent="0.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spans="3:28" ht="15.75" customHeight="1" x14ac:dyDescent="0.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spans="3:28" ht="15.75" customHeight="1" x14ac:dyDescent="0.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spans="3:28" ht="15.75" customHeight="1" x14ac:dyDescent="0.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spans="3:28" ht="15.75" customHeight="1" x14ac:dyDescent="0.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spans="3:28" ht="15.75" customHeight="1" x14ac:dyDescent="0.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spans="3:28" ht="15.75" customHeight="1" x14ac:dyDescent="0.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spans="3:28" ht="15.75" customHeight="1" x14ac:dyDescent="0.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spans="3:28" ht="15.75" customHeight="1" x14ac:dyDescent="0.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spans="3:28" ht="15.75" customHeight="1" x14ac:dyDescent="0.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spans="3:28" ht="15.75" customHeight="1" x14ac:dyDescent="0.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spans="3:28" ht="15.75" customHeight="1" x14ac:dyDescent="0.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spans="3:28" ht="15.75" customHeight="1" x14ac:dyDescent="0.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spans="3:28" ht="15.75" customHeight="1" x14ac:dyDescent="0.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spans="3:28" ht="15.75" customHeight="1" x14ac:dyDescent="0.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spans="3:28" ht="15.75" customHeight="1" x14ac:dyDescent="0.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spans="3:28" ht="15.75" customHeight="1" x14ac:dyDescent="0.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spans="3:28" ht="15.75" customHeight="1" x14ac:dyDescent="0.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spans="3:28" ht="15.75" customHeight="1" x14ac:dyDescent="0.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spans="3:28" ht="15.75" customHeight="1" x14ac:dyDescent="0.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spans="3:28" ht="15.75" customHeight="1" x14ac:dyDescent="0.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spans="3:28" ht="15.75" customHeight="1" x14ac:dyDescent="0.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spans="3:28" ht="15.75" customHeight="1" x14ac:dyDescent="0.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spans="3:28" ht="15.75" customHeight="1" x14ac:dyDescent="0.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spans="3:28" ht="15.75" customHeight="1" x14ac:dyDescent="0.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spans="3:28" ht="15.75" customHeight="1" x14ac:dyDescent="0.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spans="3:28" ht="15.75" customHeight="1" x14ac:dyDescent="0.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spans="3:28" ht="15.75" customHeight="1" x14ac:dyDescent="0.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spans="3:28" ht="15.75" customHeight="1" x14ac:dyDescent="0.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spans="3:28" ht="15.75" customHeight="1" x14ac:dyDescent="0.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spans="3:28" ht="15.75" customHeight="1" x14ac:dyDescent="0.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spans="3:28" ht="15.75" customHeight="1" x14ac:dyDescent="0.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spans="3:28" ht="15.75" customHeight="1" x14ac:dyDescent="0.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spans="3:28" ht="15.75" customHeight="1" x14ac:dyDescent="0.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spans="3:28" ht="15.75" customHeight="1" x14ac:dyDescent="0.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spans="3:28" ht="15.75" customHeight="1" x14ac:dyDescent="0.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spans="3:28" ht="15.75" customHeight="1" x14ac:dyDescent="0.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spans="3:28" ht="15.75" customHeight="1" x14ac:dyDescent="0.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spans="3:28" ht="15.75" customHeight="1" x14ac:dyDescent="0.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spans="3:28" ht="15.75" customHeight="1" x14ac:dyDescent="0.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spans="3:28" ht="15.75" customHeight="1" x14ac:dyDescent="0.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spans="3:28" ht="15.75" customHeight="1" x14ac:dyDescent="0.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spans="3:28" ht="15.75" customHeight="1" x14ac:dyDescent="0.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spans="3:28" ht="15.75" customHeight="1" x14ac:dyDescent="0.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spans="3:28" ht="15.75" customHeight="1" x14ac:dyDescent="0.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spans="3:28" ht="15.75" customHeight="1" x14ac:dyDescent="0.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spans="3:28" ht="15.75" customHeight="1" x14ac:dyDescent="0.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spans="3:28" ht="15.75" customHeight="1" x14ac:dyDescent="0.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spans="3:28" ht="15.75" customHeight="1" x14ac:dyDescent="0.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spans="3:28" ht="15.75" customHeight="1" x14ac:dyDescent="0.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spans="3:28" ht="15.75" customHeight="1" x14ac:dyDescent="0.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spans="3:28" ht="15.75" customHeight="1" x14ac:dyDescent="0.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spans="3:28" ht="15.75" customHeight="1" x14ac:dyDescent="0.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spans="3:28" ht="15.75" customHeight="1" x14ac:dyDescent="0.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spans="3:28" ht="15.75" customHeight="1" x14ac:dyDescent="0.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spans="3:28" ht="15.75" customHeight="1" x14ac:dyDescent="0.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spans="3:28" ht="15.75" customHeight="1" x14ac:dyDescent="0.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spans="3:28" ht="15.75" customHeight="1" x14ac:dyDescent="0.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spans="3:28" ht="15.75" customHeight="1" x14ac:dyDescent="0.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spans="3:28" ht="15.75" customHeight="1" x14ac:dyDescent="0.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spans="3:28" ht="15.75" customHeight="1" x14ac:dyDescent="0.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spans="3:28" ht="15.75" customHeight="1" x14ac:dyDescent="0.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spans="3:28" ht="15.75" customHeight="1" x14ac:dyDescent="0.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spans="3:28" ht="15.75" customHeight="1" x14ac:dyDescent="0.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spans="3:28" ht="15.75" customHeight="1" x14ac:dyDescent="0.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spans="3:28" ht="15.75" customHeight="1" x14ac:dyDescent="0.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spans="3:28" ht="15.75" customHeight="1" x14ac:dyDescent="0.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spans="3:28" ht="15.75" customHeight="1" x14ac:dyDescent="0.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spans="3:28" ht="15.75" customHeight="1" x14ac:dyDescent="0.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spans="3:28" ht="15.75" customHeight="1" x14ac:dyDescent="0.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spans="3:28" ht="15.75" customHeight="1" x14ac:dyDescent="0.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spans="3:28" ht="15.75" customHeight="1" x14ac:dyDescent="0.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spans="3:28" ht="15.75" customHeight="1" x14ac:dyDescent="0.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spans="3:28" ht="15.75" customHeight="1" x14ac:dyDescent="0.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spans="3:28" ht="15.75" customHeight="1" x14ac:dyDescent="0.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spans="3:28" ht="15.75" customHeight="1" x14ac:dyDescent="0.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spans="3:28" ht="15.75" customHeight="1" x14ac:dyDescent="0.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spans="3:28" ht="15.75" customHeight="1" x14ac:dyDescent="0.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spans="3:28" ht="15.75" customHeight="1" x14ac:dyDescent="0.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spans="3:28" ht="15.75" customHeight="1" x14ac:dyDescent="0.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spans="3:28" ht="15.75" customHeight="1" x14ac:dyDescent="0.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spans="3:28" ht="15.75" customHeight="1" x14ac:dyDescent="0.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spans="3:28" ht="15.75" customHeight="1" x14ac:dyDescent="0.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spans="3:28" ht="15.75" customHeight="1" x14ac:dyDescent="0.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spans="3:28" ht="15.75" customHeight="1" x14ac:dyDescent="0.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spans="3:28" ht="15.75" customHeight="1" x14ac:dyDescent="0.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spans="3:28" ht="15.75" customHeight="1" x14ac:dyDescent="0.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spans="3:28" ht="15.75" customHeight="1" x14ac:dyDescent="0.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spans="3:28" ht="15.75" customHeight="1" x14ac:dyDescent="0.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spans="3:28" ht="15.75" customHeight="1" x14ac:dyDescent="0.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spans="3:28" ht="15.75" customHeight="1" x14ac:dyDescent="0.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spans="3:28" ht="15.75" customHeight="1" x14ac:dyDescent="0.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spans="3:28" ht="15.75" customHeight="1" x14ac:dyDescent="0.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spans="3:28" ht="15.75" customHeight="1" x14ac:dyDescent="0.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spans="3:28" ht="15.75" customHeight="1" x14ac:dyDescent="0.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spans="3:28" ht="15.75" customHeight="1" x14ac:dyDescent="0.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spans="3:28" ht="15.75" customHeight="1" x14ac:dyDescent="0.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spans="3:28" ht="15.75" customHeight="1" x14ac:dyDescent="0.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spans="3:28" ht="15.75" customHeight="1" x14ac:dyDescent="0.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spans="3:28" ht="15.75" customHeight="1" x14ac:dyDescent="0.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spans="3:28" ht="15.75" customHeight="1" x14ac:dyDescent="0.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spans="3:28" ht="15.75" customHeight="1" x14ac:dyDescent="0.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spans="3:28" ht="15.75" customHeight="1" x14ac:dyDescent="0.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spans="3:28" ht="15.75" customHeight="1" x14ac:dyDescent="0.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spans="3:28" ht="15.75" customHeight="1" x14ac:dyDescent="0.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spans="3:28" ht="15.75" customHeight="1" x14ac:dyDescent="0.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spans="3:28" ht="15.75" customHeight="1" x14ac:dyDescent="0.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spans="3:28" ht="15.75" customHeight="1" x14ac:dyDescent="0.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spans="3:28" ht="15.75" customHeight="1" x14ac:dyDescent="0.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spans="3:28" ht="15.75" customHeight="1" x14ac:dyDescent="0.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spans="3:28" ht="15.75" customHeight="1" x14ac:dyDescent="0.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spans="3:28" ht="15.75" customHeight="1" x14ac:dyDescent="0.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spans="3:28" ht="15.75" customHeight="1" x14ac:dyDescent="0.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spans="3:28" ht="15.75" customHeight="1" x14ac:dyDescent="0.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spans="3:28" ht="15.75" customHeight="1" x14ac:dyDescent="0.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spans="3:28" ht="15.75" customHeight="1" x14ac:dyDescent="0.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spans="3:28" ht="15.75" customHeight="1" x14ac:dyDescent="0.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spans="3:28" ht="15.75" customHeight="1" x14ac:dyDescent="0.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spans="3:28" ht="15.75" customHeight="1" x14ac:dyDescent="0.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spans="3:28" ht="15.75" customHeight="1" x14ac:dyDescent="0.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spans="3:28" ht="15.75" customHeight="1" x14ac:dyDescent="0.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spans="3:28" ht="15.75" customHeight="1" x14ac:dyDescent="0.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spans="3:28" ht="15.75" customHeight="1" x14ac:dyDescent="0.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spans="3:28" ht="15.75" customHeight="1" x14ac:dyDescent="0.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spans="3:28" ht="15.75" customHeight="1" x14ac:dyDescent="0.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spans="3:28" ht="15.75" customHeight="1" x14ac:dyDescent="0.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spans="3:28" ht="15.75" customHeight="1" x14ac:dyDescent="0.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spans="3:28" ht="15.75" customHeight="1" x14ac:dyDescent="0.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spans="3:28" ht="15.75" customHeight="1" x14ac:dyDescent="0.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spans="3:28" ht="15.75" customHeight="1" x14ac:dyDescent="0.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spans="3:28" ht="15.75" customHeight="1" x14ac:dyDescent="0.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spans="3:28" ht="15.75" customHeight="1" x14ac:dyDescent="0.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spans="3:28" ht="15.75" customHeight="1" x14ac:dyDescent="0.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spans="3:28" ht="15.75" customHeight="1" x14ac:dyDescent="0.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spans="3:28" ht="15.75" customHeight="1" x14ac:dyDescent="0.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spans="3:28" ht="15.75" customHeight="1" x14ac:dyDescent="0.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spans="3:28" ht="15.75" customHeight="1" x14ac:dyDescent="0.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spans="3:28" ht="15.75" customHeight="1" x14ac:dyDescent="0.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spans="3:28" ht="15.75" customHeight="1" x14ac:dyDescent="0.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spans="3:28" ht="15.75" customHeight="1" x14ac:dyDescent="0.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spans="3:28" ht="15.75" customHeight="1" x14ac:dyDescent="0.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spans="3:28" ht="15.75" customHeight="1" x14ac:dyDescent="0.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spans="3:28" ht="15.75" customHeight="1" x14ac:dyDescent="0.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spans="3:28" ht="15.75" customHeight="1" x14ac:dyDescent="0.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spans="3:28" ht="15.75" customHeight="1" x14ac:dyDescent="0.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spans="3:28" ht="15.75" customHeight="1" x14ac:dyDescent="0.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spans="3:28" ht="15.75" customHeight="1" x14ac:dyDescent="0.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spans="3:28" ht="15.75" customHeight="1" x14ac:dyDescent="0.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spans="3:28" ht="15.75" customHeight="1" x14ac:dyDescent="0.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spans="3:28" ht="15.75" customHeight="1" x14ac:dyDescent="0.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spans="3:28" ht="15.75" customHeight="1" x14ac:dyDescent="0.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spans="3:28" ht="15.75" customHeight="1" x14ac:dyDescent="0.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spans="3:28" ht="15.75" customHeight="1" x14ac:dyDescent="0.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spans="3:28" ht="15.75" customHeight="1" x14ac:dyDescent="0.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spans="3:28" ht="15.75" customHeight="1" x14ac:dyDescent="0.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spans="3:28" ht="15.75" customHeight="1" x14ac:dyDescent="0.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spans="3:28" ht="15.75" customHeight="1" x14ac:dyDescent="0.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spans="3:28" ht="15.75" customHeight="1" x14ac:dyDescent="0.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spans="3:28" ht="15.75" customHeight="1" x14ac:dyDescent="0.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spans="3:28" ht="15.75" customHeight="1" x14ac:dyDescent="0.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spans="3:28" ht="15.75" customHeight="1" x14ac:dyDescent="0.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spans="3:28" ht="15.75" customHeight="1" x14ac:dyDescent="0.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spans="3:28" ht="15.75" customHeight="1" x14ac:dyDescent="0.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spans="3:28" ht="15.75" customHeight="1" x14ac:dyDescent="0.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spans="3:28" ht="15.75" customHeight="1" x14ac:dyDescent="0.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spans="3:28" ht="15.75" customHeight="1" x14ac:dyDescent="0.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spans="3:28" ht="15.75" customHeight="1" x14ac:dyDescent="0.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spans="3:28" ht="15.75" customHeight="1" x14ac:dyDescent="0.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spans="3:28" ht="15.75" customHeight="1" x14ac:dyDescent="0.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spans="3:28" ht="15.75" customHeight="1" x14ac:dyDescent="0.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spans="3:28" ht="15.75" customHeight="1" x14ac:dyDescent="0.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spans="3:28" ht="15.75" customHeight="1" x14ac:dyDescent="0.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spans="3:28" ht="15.75" customHeight="1" x14ac:dyDescent="0.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spans="3:28" ht="15.75" customHeight="1" x14ac:dyDescent="0.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spans="3:28" ht="15.75" customHeight="1" x14ac:dyDescent="0.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spans="3:28" ht="15.75" customHeight="1" x14ac:dyDescent="0.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spans="3:28" ht="15.75" customHeight="1" x14ac:dyDescent="0.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spans="3:28" ht="15.75" customHeight="1" x14ac:dyDescent="0.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spans="3:28" ht="15.75" customHeight="1" x14ac:dyDescent="0.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spans="3:28" ht="15.75" customHeight="1" x14ac:dyDescent="0.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spans="3:28" ht="15.75" customHeight="1" x14ac:dyDescent="0.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spans="3:28" ht="15.75" customHeight="1" x14ac:dyDescent="0.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spans="3:28" ht="15.75" customHeight="1" x14ac:dyDescent="0.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sheetData>
  <mergeCells count="35">
    <mergeCell ref="O16:R16"/>
    <mergeCell ref="D6:G6"/>
    <mergeCell ref="D8:G10"/>
    <mergeCell ref="L10:N10"/>
    <mergeCell ref="L5:N9"/>
    <mergeCell ref="I15:J15"/>
    <mergeCell ref="I16:J16"/>
    <mergeCell ref="L13:N13"/>
    <mergeCell ref="L14:N14"/>
    <mergeCell ref="I2:N2"/>
    <mergeCell ref="C2:G2"/>
    <mergeCell ref="C8:C10"/>
    <mergeCell ref="L12:N12"/>
    <mergeCell ref="I12:J12"/>
    <mergeCell ref="C11:N11"/>
    <mergeCell ref="H4:H9"/>
    <mergeCell ref="H12:H18"/>
    <mergeCell ref="I17:K18"/>
    <mergeCell ref="D4:G4"/>
    <mergeCell ref="D5:G5"/>
    <mergeCell ref="D7:G7"/>
    <mergeCell ref="L15:N15"/>
    <mergeCell ref="L16:N16"/>
    <mergeCell ref="I13:J13"/>
    <mergeCell ref="I14:J14"/>
    <mergeCell ref="E33:E34"/>
    <mergeCell ref="F33:H34"/>
    <mergeCell ref="C19:N19"/>
    <mergeCell ref="O20:O28"/>
    <mergeCell ref="C29:O29"/>
    <mergeCell ref="C32:H32"/>
    <mergeCell ref="C30:C31"/>
    <mergeCell ref="D30:D31"/>
    <mergeCell ref="E30:E31"/>
    <mergeCell ref="F30:H3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5">
        <x14:dataValidation type="list" allowBlank="1" showErrorMessage="1" xr:uid="{DFD11E4E-36A5-5245-A8D5-732D17DDF405}">
          <x14:formula1>
            <xm:f>Lists!$J$2:$J$25</xm:f>
          </x14:formula1>
          <xm:sqref>D4</xm:sqref>
        </x14:dataValidation>
        <x14:dataValidation type="list" allowBlank="1" showInputMessage="1" showErrorMessage="1" xr:uid="{F59905F9-285B-8D48-BAC7-DD35F50F390E}">
          <x14:formula1>
            <xm:f>Lists!$E$2:$E$10</xm:f>
          </x14:formula1>
          <xm:sqref>F13:F18</xm:sqref>
        </x14:dataValidation>
        <x14:dataValidation type="list" allowBlank="1" showInputMessage="1" showErrorMessage="1" xr:uid="{74884DEA-6D6B-934F-BEB5-78B5B20436D5}">
          <x14:formula1>
            <xm:f>Lists!$G$2:$G$9</xm:f>
          </x14:formula1>
          <xm:sqref>C13:C18</xm:sqref>
        </x14:dataValidation>
        <x14:dataValidation type="list" allowBlank="1" showInputMessage="1" showErrorMessage="1" xr:uid="{D9611285-BFF1-0643-BDC0-F2FABEEEF4E1}">
          <x14:formula1>
            <xm:f>Lists!$B$2:$B$21</xm:f>
          </x14:formula1>
          <xm:sqref>D13:D17</xm:sqref>
        </x14:dataValidation>
        <x14:dataValidation type="list" allowBlank="1" showInputMessage="1" showErrorMessage="1" xr:uid="{DE2DB381-5D88-2C42-B4B0-50CD8AFC9CFB}">
          <x14:formula1>
            <xm:f>Lists!$M$2:$M$97</xm:f>
          </x14:formula1>
          <xm:sqref>E18 G18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EC108-F8C5-7040-8D19-F43583ED9033}">
  <sheetPr codeName="Sheet3"/>
  <dimension ref="B2:AB912"/>
  <sheetViews>
    <sheetView topLeftCell="C22" zoomScale="75" zoomScaleNormal="75" workbookViewId="0">
      <selection activeCell="G25" sqref="G25"/>
    </sheetView>
  </sheetViews>
  <sheetFormatPr baseColWidth="10" defaultColWidth="10.140625" defaultRowHeight="15" customHeight="1" x14ac:dyDescent="0.2"/>
  <cols>
    <col min="1" max="1" width="2.28515625" customWidth="1"/>
    <col min="2" max="2" width="5.42578125" customWidth="1"/>
    <col min="3" max="3" width="25" customWidth="1"/>
    <col min="4" max="7" width="25.7109375" customWidth="1"/>
    <col min="8" max="14" width="25.5703125" customWidth="1"/>
    <col min="15" max="25" width="26" customWidth="1"/>
    <col min="26" max="28" width="11.42578125" customWidth="1"/>
  </cols>
  <sheetData>
    <row r="2" spans="2:28" ht="83" customHeight="1" x14ac:dyDescent="0.2">
      <c r="C2" s="130" t="s">
        <v>272</v>
      </c>
      <c r="D2" s="131"/>
      <c r="E2" s="131"/>
      <c r="F2" s="131"/>
      <c r="G2" s="132"/>
      <c r="I2" s="130" t="s">
        <v>273</v>
      </c>
      <c r="J2" s="131"/>
      <c r="K2" s="131"/>
      <c r="L2" s="131"/>
      <c r="M2" s="131"/>
      <c r="N2" s="132"/>
    </row>
    <row r="3" spans="2:28" ht="15" customHeight="1" thickBot="1" x14ac:dyDescent="0.25"/>
    <row r="4" spans="2:28" ht="65" customHeight="1" x14ac:dyDescent="0.2">
      <c r="C4" s="21" t="s">
        <v>100</v>
      </c>
      <c r="D4" s="133" t="s">
        <v>74</v>
      </c>
      <c r="E4" s="133"/>
      <c r="F4" s="133"/>
      <c r="G4" s="134"/>
      <c r="H4" s="135"/>
      <c r="I4" s="115" t="s">
        <v>264</v>
      </c>
      <c r="J4" s="116" t="s">
        <v>262</v>
      </c>
      <c r="K4" s="60" t="s">
        <v>263</v>
      </c>
      <c r="L4" s="107"/>
      <c r="M4" s="107"/>
      <c r="N4" s="107"/>
      <c r="O4" s="108"/>
      <c r="P4" s="108"/>
      <c r="Q4" s="108"/>
      <c r="R4" s="1"/>
      <c r="S4" s="1"/>
      <c r="T4" s="1"/>
      <c r="U4" s="1"/>
      <c r="V4" s="1"/>
      <c r="W4" s="1"/>
      <c r="X4" s="1"/>
      <c r="Y4" s="1"/>
      <c r="Z4" s="1"/>
      <c r="AA4" s="1"/>
      <c r="AB4" s="1"/>
    </row>
    <row r="5" spans="2:28" ht="34" customHeight="1" x14ac:dyDescent="0.2">
      <c r="C5" s="22" t="s">
        <v>101</v>
      </c>
      <c r="D5" s="136" t="s">
        <v>10</v>
      </c>
      <c r="E5" s="136"/>
      <c r="F5" s="136"/>
      <c r="G5" s="137"/>
      <c r="H5" s="135"/>
      <c r="I5" s="68">
        <f>$D$7 - $D$6 - SUM(I6:I9)</f>
        <v>2</v>
      </c>
      <c r="J5" s="59" t="s">
        <v>219</v>
      </c>
      <c r="K5" s="47">
        <f>(I10*$D$30*$D$34)-SUM(K6:K9)</f>
        <v>18.399999999999991</v>
      </c>
      <c r="L5" s="138" t="s">
        <v>274</v>
      </c>
      <c r="M5" s="139"/>
      <c r="N5" s="140"/>
      <c r="O5" s="108"/>
      <c r="P5" s="108"/>
      <c r="Q5" s="108"/>
      <c r="R5" s="1"/>
      <c r="S5" s="1"/>
      <c r="T5" s="1"/>
      <c r="U5" s="1"/>
      <c r="V5" s="1"/>
      <c r="W5" s="1"/>
      <c r="X5" s="1"/>
      <c r="Y5" s="1"/>
      <c r="Z5" s="1"/>
      <c r="AA5" s="1"/>
      <c r="AB5" s="1"/>
    </row>
    <row r="6" spans="2:28" ht="34" customHeight="1" x14ac:dyDescent="0.2">
      <c r="C6" s="22" t="s">
        <v>247</v>
      </c>
      <c r="D6" s="144">
        <v>5</v>
      </c>
      <c r="E6" s="144"/>
      <c r="F6" s="144"/>
      <c r="G6" s="145"/>
      <c r="H6" s="135"/>
      <c r="I6" s="68">
        <f>IF(Metadata!C8="Digital PCR (dPCR)",$D$7/4,$D$7/2)</f>
        <v>10</v>
      </c>
      <c r="J6" s="59" t="s">
        <v>220</v>
      </c>
      <c r="K6" s="47">
        <f>ROUNDUP(I6*$D$30*$D$34,0)</f>
        <v>92</v>
      </c>
      <c r="L6" s="141"/>
      <c r="M6" s="142"/>
      <c r="N6" s="143"/>
      <c r="O6" s="109"/>
      <c r="P6" s="109"/>
      <c r="Q6" s="109"/>
      <c r="R6" s="109"/>
      <c r="S6" s="1"/>
      <c r="T6" s="1"/>
      <c r="U6" s="1"/>
      <c r="V6" s="1"/>
      <c r="W6" s="1"/>
      <c r="X6" s="1"/>
      <c r="Y6" s="1"/>
      <c r="Z6" s="1"/>
      <c r="AA6" s="1"/>
      <c r="AB6" s="1"/>
    </row>
    <row r="7" spans="2:28" ht="34" customHeight="1" x14ac:dyDescent="0.2">
      <c r="C7" s="22" t="s">
        <v>245</v>
      </c>
      <c r="D7" s="136">
        <v>20</v>
      </c>
      <c r="E7" s="136"/>
      <c r="F7" s="136"/>
      <c r="G7" s="137"/>
      <c r="H7" s="135"/>
      <c r="I7" s="68">
        <f>IF(Metadata!C8="Digital PCR (dPCR)",$D$7/100,$D$7/10)</f>
        <v>2</v>
      </c>
      <c r="J7" s="59" t="s">
        <v>231</v>
      </c>
      <c r="K7" s="47">
        <f>ROUNDUP(I7*$D$30*$D$34,1)</f>
        <v>18.399999999999999</v>
      </c>
      <c r="L7" s="141"/>
      <c r="M7" s="142"/>
      <c r="N7" s="143"/>
      <c r="O7" s="109"/>
      <c r="P7" s="109"/>
      <c r="Q7" s="109"/>
      <c r="R7" s="109"/>
      <c r="S7" s="1"/>
      <c r="T7" s="1"/>
      <c r="U7" s="1"/>
      <c r="V7" s="1"/>
      <c r="W7" s="1"/>
      <c r="X7" s="1"/>
      <c r="Y7" s="1"/>
      <c r="Z7" s="1"/>
      <c r="AA7" s="1"/>
      <c r="AB7" s="1"/>
    </row>
    <row r="8" spans="2:28" ht="39" customHeight="1" x14ac:dyDescent="0.2">
      <c r="C8" s="146" t="s">
        <v>246</v>
      </c>
      <c r="D8" s="148"/>
      <c r="E8" s="148"/>
      <c r="F8" s="148"/>
      <c r="G8" s="149"/>
      <c r="H8" s="135"/>
      <c r="I8" s="68">
        <f>IF(Metadata!C8="Digital PCR (dPCR)",$D$7/20,$D$7/20)</f>
        <v>1</v>
      </c>
      <c r="J8" s="59" t="s">
        <v>221</v>
      </c>
      <c r="K8" s="47">
        <f>ROUNDUP(I8*$D$30*$D$34,1)</f>
        <v>9.1999999999999993</v>
      </c>
      <c r="L8" s="141"/>
      <c r="M8" s="142"/>
      <c r="N8" s="143"/>
      <c r="O8" s="109"/>
      <c r="P8" s="109"/>
      <c r="Q8" s="109"/>
      <c r="R8" s="109"/>
      <c r="S8" s="1"/>
      <c r="T8" s="1"/>
      <c r="U8" s="1"/>
      <c r="V8" s="1"/>
      <c r="W8" s="1"/>
      <c r="X8" s="1"/>
      <c r="Y8" s="1"/>
      <c r="Z8" s="1"/>
      <c r="AA8" s="1"/>
      <c r="AB8" s="1"/>
    </row>
    <row r="9" spans="2:28" ht="39" customHeight="1" x14ac:dyDescent="0.2">
      <c r="C9" s="146"/>
      <c r="D9" s="148"/>
      <c r="E9" s="148"/>
      <c r="F9" s="148"/>
      <c r="G9" s="149"/>
      <c r="H9" s="135"/>
      <c r="I9" s="122">
        <v>0</v>
      </c>
      <c r="J9" s="123" t="s">
        <v>265</v>
      </c>
      <c r="K9" s="117">
        <f>ROUNDUP(I9*$D$30*$D$34,1)</f>
        <v>0</v>
      </c>
      <c r="L9" s="141"/>
      <c r="M9" s="142"/>
      <c r="N9" s="143"/>
      <c r="O9" s="109"/>
      <c r="P9" s="109"/>
      <c r="Q9" s="109"/>
      <c r="R9" s="109"/>
      <c r="S9" s="1"/>
      <c r="T9" s="1"/>
      <c r="U9" s="1"/>
      <c r="V9" s="1"/>
      <c r="W9" s="1"/>
      <c r="X9" s="1"/>
      <c r="Y9" s="1"/>
      <c r="Z9" s="1"/>
      <c r="AA9" s="1"/>
      <c r="AB9" s="1"/>
    </row>
    <row r="10" spans="2:28" ht="39" customHeight="1" thickBot="1" x14ac:dyDescent="0.25">
      <c r="C10" s="147"/>
      <c r="D10" s="150"/>
      <c r="E10" s="150"/>
      <c r="F10" s="150"/>
      <c r="G10" s="151"/>
      <c r="H10" s="103"/>
      <c r="I10" s="69">
        <f>SUM(I5:I8)</f>
        <v>15</v>
      </c>
      <c r="J10" s="118" t="s">
        <v>232</v>
      </c>
      <c r="K10" s="119">
        <f>ROUNDUP(I10*$D$30*$D$34,0)</f>
        <v>138</v>
      </c>
      <c r="L10" s="152" t="s">
        <v>257</v>
      </c>
      <c r="M10" s="153"/>
      <c r="N10" s="154"/>
      <c r="O10" s="109"/>
      <c r="P10" s="109"/>
      <c r="Q10" s="109"/>
      <c r="R10" s="109"/>
      <c r="S10" s="1"/>
      <c r="T10" s="1"/>
      <c r="U10" s="1"/>
      <c r="V10" s="1"/>
      <c r="W10" s="1"/>
      <c r="X10" s="1"/>
      <c r="Y10" s="1"/>
      <c r="Z10" s="1"/>
      <c r="AA10" s="1"/>
      <c r="AB10" s="1"/>
    </row>
    <row r="11" spans="2:28" ht="22" customHeight="1" thickBot="1" x14ac:dyDescent="0.25">
      <c r="B11" s="67"/>
      <c r="C11" s="135"/>
      <c r="D11" s="135"/>
      <c r="E11" s="135"/>
      <c r="F11" s="135"/>
      <c r="G11" s="135"/>
      <c r="H11" s="135"/>
      <c r="I11" s="135"/>
      <c r="J11" s="135"/>
      <c r="K11" s="135"/>
      <c r="L11" s="135"/>
      <c r="M11" s="135"/>
      <c r="N11" s="135"/>
      <c r="O11" s="109"/>
      <c r="P11" s="109"/>
      <c r="Q11" s="109"/>
      <c r="R11" s="109"/>
      <c r="S11" s="1"/>
      <c r="T11" s="1"/>
      <c r="U11" s="1"/>
      <c r="V11" s="1"/>
      <c r="W11" s="1"/>
      <c r="X11" s="1"/>
      <c r="Y11" s="1"/>
      <c r="Z11" s="1"/>
      <c r="AA11" s="1"/>
      <c r="AB11" s="1"/>
    </row>
    <row r="12" spans="2:28" s="19" customFormat="1" ht="40" customHeight="1" x14ac:dyDescent="0.2">
      <c r="C12" s="27" t="s">
        <v>121</v>
      </c>
      <c r="D12" s="28" t="s">
        <v>15</v>
      </c>
      <c r="E12" s="29" t="s">
        <v>118</v>
      </c>
      <c r="F12" s="30" t="s">
        <v>119</v>
      </c>
      <c r="G12" s="31" t="s">
        <v>120</v>
      </c>
      <c r="H12" s="155"/>
      <c r="I12" s="156" t="s">
        <v>261</v>
      </c>
      <c r="J12" s="157"/>
      <c r="K12" s="46" t="s">
        <v>258</v>
      </c>
      <c r="L12" s="158"/>
      <c r="M12" s="158"/>
      <c r="N12" s="158"/>
      <c r="O12" s="109"/>
      <c r="P12" s="109"/>
      <c r="Q12" s="109"/>
      <c r="R12" s="109"/>
    </row>
    <row r="13" spans="2:28" s="20" customFormat="1" ht="47" customHeight="1" x14ac:dyDescent="0.2">
      <c r="C13" s="23" t="s">
        <v>14</v>
      </c>
      <c r="D13" s="121" t="s">
        <v>95</v>
      </c>
      <c r="E13" s="48" t="s">
        <v>174</v>
      </c>
      <c r="F13" s="114" t="s">
        <v>97</v>
      </c>
      <c r="G13" s="48" t="s">
        <v>175</v>
      </c>
      <c r="H13" s="155"/>
      <c r="I13" s="159" t="s">
        <v>225</v>
      </c>
      <c r="J13" s="160"/>
      <c r="K13" s="70">
        <f>I10*$D$33</f>
        <v>16.5</v>
      </c>
      <c r="L13" s="161" t="s">
        <v>275</v>
      </c>
      <c r="M13" s="162"/>
      <c r="N13" s="163"/>
      <c r="O13" s="108"/>
      <c r="P13" s="108"/>
      <c r="Q13" s="108"/>
    </row>
    <row r="14" spans="2:28" s="20" customFormat="1" ht="46" customHeight="1" x14ac:dyDescent="0.2">
      <c r="C14" s="23" t="s">
        <v>23</v>
      </c>
      <c r="D14" s="121" t="s">
        <v>96</v>
      </c>
      <c r="E14" s="48" t="s">
        <v>174</v>
      </c>
      <c r="F14" s="114" t="s">
        <v>97</v>
      </c>
      <c r="G14" s="48" t="s">
        <v>175</v>
      </c>
      <c r="H14" s="155"/>
      <c r="I14" s="159" t="s">
        <v>32</v>
      </c>
      <c r="J14" s="160"/>
      <c r="K14" s="70">
        <f>D6*$D$33</f>
        <v>5.5</v>
      </c>
      <c r="L14" s="164" t="s">
        <v>276</v>
      </c>
      <c r="M14" s="165"/>
      <c r="N14" s="166"/>
      <c r="O14" s="108"/>
      <c r="P14" s="108"/>
      <c r="Q14" s="108"/>
    </row>
    <row r="15" spans="2:28" s="20" customFormat="1" ht="46" customHeight="1" x14ac:dyDescent="0.2">
      <c r="C15" s="23" t="s">
        <v>55</v>
      </c>
      <c r="D15" s="121"/>
      <c r="E15" s="48"/>
      <c r="F15" s="114"/>
      <c r="G15" s="48"/>
      <c r="H15" s="155"/>
      <c r="I15" s="167" t="s">
        <v>260</v>
      </c>
      <c r="J15" s="168"/>
      <c r="K15" s="120">
        <f>SUM(K13:K14)</f>
        <v>22</v>
      </c>
      <c r="L15" s="169" t="s">
        <v>251</v>
      </c>
      <c r="M15" s="170"/>
      <c r="N15" s="171"/>
      <c r="O15" s="44"/>
    </row>
    <row r="16" spans="2:28" s="20" customFormat="1" ht="46" customHeight="1" thickBot="1" x14ac:dyDescent="0.25">
      <c r="C16" s="23" t="s">
        <v>59</v>
      </c>
      <c r="D16" s="121"/>
      <c r="E16" s="48"/>
      <c r="F16" s="114"/>
      <c r="G16" s="48"/>
      <c r="H16" s="155"/>
      <c r="I16" s="172" t="s">
        <v>259</v>
      </c>
      <c r="J16" s="173"/>
      <c r="K16" s="72">
        <f>D7</f>
        <v>20</v>
      </c>
      <c r="L16" s="174" t="s">
        <v>277</v>
      </c>
      <c r="M16" s="175"/>
      <c r="N16" s="176"/>
      <c r="O16" s="177" t="s">
        <v>250</v>
      </c>
      <c r="P16" s="177"/>
      <c r="Q16" s="177"/>
      <c r="R16" s="177"/>
    </row>
    <row r="17" spans="2:28" s="20" customFormat="1" ht="47" customHeight="1" x14ac:dyDescent="0.2">
      <c r="C17" s="23" t="s">
        <v>61</v>
      </c>
      <c r="D17" s="121"/>
      <c r="E17" s="48"/>
      <c r="F17" s="114"/>
      <c r="G17" s="48"/>
      <c r="H17" s="155"/>
      <c r="I17" s="178"/>
      <c r="J17" s="178"/>
      <c r="K17" s="178"/>
      <c r="L17" s="71"/>
      <c r="O17" s="44"/>
    </row>
    <row r="18" spans="2:28" s="20" customFormat="1" ht="8" customHeight="1" thickBot="1" x14ac:dyDescent="0.25">
      <c r="C18" s="24"/>
      <c r="D18" s="32"/>
      <c r="E18" s="32"/>
      <c r="F18" s="25"/>
      <c r="G18" s="26"/>
      <c r="H18" s="155"/>
      <c r="I18" s="179"/>
      <c r="J18" s="179"/>
      <c r="K18" s="179"/>
    </row>
    <row r="19" spans="2:28" ht="50" customHeight="1" thickBot="1" x14ac:dyDescent="0.25">
      <c r="C19" s="192"/>
      <c r="D19" s="192"/>
      <c r="E19" s="192"/>
      <c r="F19" s="192"/>
      <c r="G19" s="192"/>
      <c r="H19" s="192"/>
      <c r="I19" s="192"/>
      <c r="J19" s="192"/>
      <c r="K19" s="192"/>
      <c r="L19" s="192"/>
      <c r="M19" s="192"/>
      <c r="N19" s="192"/>
      <c r="O19" s="1"/>
      <c r="P19" s="1"/>
      <c r="Q19" s="1"/>
      <c r="R19" s="1"/>
      <c r="S19" s="1"/>
      <c r="T19" s="1"/>
      <c r="U19" s="1"/>
      <c r="V19" s="1"/>
      <c r="W19" s="1"/>
      <c r="X19" s="1"/>
      <c r="Y19" s="1"/>
      <c r="Z19" s="1"/>
      <c r="AA19" s="1"/>
      <c r="AB19" s="1"/>
    </row>
    <row r="20" spans="2:28" ht="21" customHeight="1" x14ac:dyDescent="0.2">
      <c r="B20" s="33"/>
      <c r="C20" s="34">
        <v>1</v>
      </c>
      <c r="D20" s="34">
        <v>2</v>
      </c>
      <c r="E20" s="34">
        <v>3</v>
      </c>
      <c r="F20" s="34">
        <v>4</v>
      </c>
      <c r="G20" s="34">
        <v>5</v>
      </c>
      <c r="H20" s="34">
        <v>6</v>
      </c>
      <c r="I20" s="34">
        <v>7</v>
      </c>
      <c r="J20" s="34">
        <v>8</v>
      </c>
      <c r="K20" s="34">
        <v>9</v>
      </c>
      <c r="L20" s="34">
        <v>10</v>
      </c>
      <c r="M20" s="34">
        <v>11</v>
      </c>
      <c r="N20" s="35">
        <v>12</v>
      </c>
      <c r="O20" s="155"/>
      <c r="P20" s="1"/>
      <c r="Q20" s="1"/>
      <c r="R20" s="1"/>
      <c r="S20" s="1"/>
      <c r="T20" s="1"/>
      <c r="U20" s="1"/>
      <c r="V20" s="1"/>
      <c r="W20" s="1"/>
      <c r="X20" s="1"/>
      <c r="Y20" s="1"/>
      <c r="Z20" s="1"/>
      <c r="AA20" s="1"/>
      <c r="AB20" s="1"/>
    </row>
    <row r="21" spans="2:28" ht="66" customHeight="1" x14ac:dyDescent="0.2">
      <c r="B21" s="36" t="s">
        <v>24</v>
      </c>
      <c r="C21" s="104"/>
      <c r="D21" s="110"/>
      <c r="E21" s="4"/>
      <c r="F21" s="5" t="s">
        <v>226</v>
      </c>
      <c r="G21" s="4" t="s">
        <v>229</v>
      </c>
      <c r="H21" s="5"/>
      <c r="I21" s="4"/>
      <c r="J21" s="5"/>
      <c r="K21" s="4"/>
      <c r="L21" s="5"/>
      <c r="M21" s="4"/>
      <c r="N21" s="37"/>
      <c r="O21" s="155"/>
      <c r="P21" s="1"/>
      <c r="Q21" s="1"/>
      <c r="R21" s="1"/>
      <c r="S21" s="1"/>
      <c r="T21" s="1"/>
      <c r="U21" s="1"/>
      <c r="V21" s="1"/>
      <c r="W21" s="1"/>
      <c r="X21" s="1"/>
      <c r="Y21" s="1"/>
      <c r="Z21" s="1"/>
      <c r="AA21" s="1"/>
      <c r="AB21" s="1"/>
    </row>
    <row r="22" spans="2:28" ht="66" customHeight="1" x14ac:dyDescent="0.2">
      <c r="B22" s="36" t="s">
        <v>25</v>
      </c>
      <c r="C22" s="110"/>
      <c r="D22" s="104"/>
      <c r="E22" s="5"/>
      <c r="F22" s="4" t="s">
        <v>227</v>
      </c>
      <c r="G22" s="5" t="s">
        <v>230</v>
      </c>
      <c r="H22" s="4"/>
      <c r="I22" s="5"/>
      <c r="J22" s="4"/>
      <c r="K22" s="5"/>
      <c r="L22" s="4"/>
      <c r="M22" s="5"/>
      <c r="N22" s="38"/>
      <c r="O22" s="155"/>
      <c r="P22" s="1"/>
      <c r="Q22" s="1"/>
      <c r="R22" s="1"/>
      <c r="S22" s="1"/>
      <c r="T22" s="1"/>
      <c r="U22" s="1"/>
      <c r="V22" s="1"/>
      <c r="W22" s="1"/>
      <c r="X22" s="1"/>
      <c r="Y22" s="1"/>
      <c r="Z22" s="1"/>
      <c r="AA22" s="1"/>
      <c r="AB22" s="1"/>
    </row>
    <row r="23" spans="2:28" ht="66" customHeight="1" x14ac:dyDescent="0.2">
      <c r="B23" s="36" t="s">
        <v>26</v>
      </c>
      <c r="C23" s="104"/>
      <c r="D23" s="110"/>
      <c r="E23" s="4"/>
      <c r="F23" s="5" t="s">
        <v>228</v>
      </c>
      <c r="G23" s="4"/>
      <c r="H23" s="5"/>
      <c r="I23" s="4"/>
      <c r="J23" s="5"/>
      <c r="K23" s="4"/>
      <c r="L23" s="5"/>
      <c r="M23" s="4"/>
      <c r="N23" s="37"/>
      <c r="O23" s="155"/>
      <c r="P23" s="1"/>
      <c r="Q23" s="1"/>
      <c r="R23" s="1"/>
      <c r="S23" s="1"/>
      <c r="T23" s="1"/>
      <c r="U23" s="1"/>
      <c r="V23" s="1"/>
      <c r="W23" s="1"/>
      <c r="X23" s="1"/>
      <c r="Y23" s="1"/>
      <c r="Z23" s="1"/>
      <c r="AA23" s="1"/>
      <c r="AB23" s="1"/>
    </row>
    <row r="24" spans="2:28" ht="66" customHeight="1" x14ac:dyDescent="0.2">
      <c r="B24" s="36" t="s">
        <v>27</v>
      </c>
      <c r="C24" s="110"/>
      <c r="D24" s="104"/>
      <c r="E24" s="5"/>
      <c r="F24" s="4"/>
      <c r="G24" s="5" t="s">
        <v>280</v>
      </c>
      <c r="H24" s="4"/>
      <c r="I24" s="5"/>
      <c r="J24" s="4"/>
      <c r="K24" s="5"/>
      <c r="L24" s="4"/>
      <c r="M24" s="5"/>
      <c r="N24" s="38"/>
      <c r="O24" s="155"/>
      <c r="P24" s="1"/>
      <c r="Q24" s="1"/>
      <c r="R24" s="1"/>
      <c r="S24" s="1"/>
      <c r="T24" s="1"/>
      <c r="U24" s="1"/>
      <c r="V24" s="1"/>
      <c r="W24" s="1"/>
      <c r="X24" s="1"/>
      <c r="Y24" s="1"/>
      <c r="Z24" s="1"/>
      <c r="AA24" s="1"/>
      <c r="AB24" s="1"/>
    </row>
    <row r="25" spans="2:28" ht="66" customHeight="1" x14ac:dyDescent="0.2">
      <c r="B25" s="36" t="s">
        <v>28</v>
      </c>
      <c r="C25" s="104"/>
      <c r="D25" s="110"/>
      <c r="E25" s="4"/>
      <c r="F25" s="5" t="s">
        <v>256</v>
      </c>
      <c r="G25" s="4" t="s">
        <v>255</v>
      </c>
      <c r="H25" s="5"/>
      <c r="I25" s="4"/>
      <c r="J25" s="5"/>
      <c r="K25" s="4"/>
      <c r="L25" s="5"/>
      <c r="M25" s="4"/>
      <c r="N25" s="37"/>
      <c r="O25" s="155"/>
      <c r="P25" s="1"/>
      <c r="Q25" s="1"/>
      <c r="R25" s="1"/>
      <c r="S25" s="1"/>
      <c r="T25" s="1"/>
      <c r="U25" s="1"/>
      <c r="V25" s="1"/>
      <c r="W25" s="1"/>
      <c r="X25" s="1"/>
      <c r="Y25" s="1"/>
      <c r="Z25" s="1"/>
      <c r="AA25" s="1"/>
      <c r="AB25" s="1"/>
    </row>
    <row r="26" spans="2:28" ht="66" customHeight="1" x14ac:dyDescent="0.2">
      <c r="B26" s="36" t="s">
        <v>29</v>
      </c>
      <c r="C26" s="110"/>
      <c r="D26" s="104"/>
      <c r="E26" s="5"/>
      <c r="F26" s="4"/>
      <c r="G26" s="5"/>
      <c r="H26" s="4"/>
      <c r="I26" s="5"/>
      <c r="J26" s="4"/>
      <c r="K26" s="5"/>
      <c r="L26" s="4"/>
      <c r="M26" s="5"/>
      <c r="N26" s="38"/>
      <c r="O26" s="155"/>
      <c r="P26" s="1"/>
      <c r="Q26" s="1"/>
      <c r="R26" s="1"/>
      <c r="S26" s="1"/>
      <c r="T26" s="1"/>
      <c r="U26" s="1"/>
      <c r="V26" s="1"/>
      <c r="W26" s="1"/>
      <c r="X26" s="1"/>
      <c r="Y26" s="1"/>
      <c r="Z26" s="1"/>
      <c r="AA26" s="1"/>
      <c r="AB26" s="1"/>
    </row>
    <row r="27" spans="2:28" ht="66" customHeight="1" x14ac:dyDescent="0.2">
      <c r="B27" s="36" t="s">
        <v>30</v>
      </c>
      <c r="C27" s="104"/>
      <c r="D27" s="110"/>
      <c r="E27" s="4"/>
      <c r="F27" s="5"/>
      <c r="G27" s="4"/>
      <c r="H27" s="5"/>
      <c r="I27" s="4"/>
      <c r="J27" s="5"/>
      <c r="K27" s="4"/>
      <c r="L27" s="5"/>
      <c r="M27" s="4"/>
      <c r="N27" s="37"/>
      <c r="O27" s="155"/>
      <c r="P27" s="1"/>
      <c r="Q27" s="1"/>
      <c r="R27" s="1"/>
      <c r="S27" s="1"/>
      <c r="T27" s="1"/>
      <c r="U27" s="1"/>
      <c r="V27" s="1"/>
      <c r="W27" s="1"/>
      <c r="X27" s="1"/>
      <c r="Y27" s="1"/>
      <c r="Z27" s="1"/>
      <c r="AA27" s="1"/>
      <c r="AB27" s="1"/>
    </row>
    <row r="28" spans="2:28" ht="66" customHeight="1" thickBot="1" x14ac:dyDescent="0.25">
      <c r="B28" s="39" t="s">
        <v>31</v>
      </c>
      <c r="C28" s="111"/>
      <c r="D28" s="106"/>
      <c r="E28" s="40"/>
      <c r="F28" s="41"/>
      <c r="G28" s="40"/>
      <c r="H28" s="41"/>
      <c r="I28" s="40"/>
      <c r="J28" s="41"/>
      <c r="K28" s="40"/>
      <c r="L28" s="41"/>
      <c r="M28" s="40"/>
      <c r="N28" s="42"/>
      <c r="O28" s="155"/>
      <c r="P28" s="1"/>
      <c r="Q28" s="1"/>
      <c r="R28" s="1"/>
      <c r="S28" s="1"/>
      <c r="T28" s="1"/>
      <c r="U28" s="1"/>
      <c r="V28" s="1"/>
      <c r="W28" s="1"/>
      <c r="X28" s="1"/>
      <c r="Y28" s="1"/>
      <c r="Z28" s="1"/>
      <c r="AA28" s="1"/>
      <c r="AB28" s="1"/>
    </row>
    <row r="29" spans="2:28" ht="21" customHeight="1" thickBot="1" x14ac:dyDescent="0.25">
      <c r="C29" s="135"/>
      <c r="D29" s="135"/>
      <c r="E29" s="135"/>
      <c r="F29" s="135"/>
      <c r="G29" s="135"/>
      <c r="H29" s="135"/>
      <c r="I29" s="135"/>
      <c r="J29" s="135"/>
      <c r="K29" s="135"/>
      <c r="L29" s="135"/>
      <c r="M29" s="135"/>
      <c r="N29" s="135"/>
      <c r="O29" s="135"/>
      <c r="P29" s="1"/>
      <c r="Q29" s="1"/>
      <c r="R29" s="1"/>
      <c r="S29" s="1"/>
      <c r="T29" s="1"/>
      <c r="U29" s="1"/>
      <c r="V29" s="1"/>
      <c r="W29" s="1"/>
      <c r="X29" s="1"/>
      <c r="Y29" s="1"/>
      <c r="Z29" s="1"/>
      <c r="AA29" s="1"/>
      <c r="AB29" s="1"/>
    </row>
    <row r="30" spans="2:28" ht="25" customHeight="1" x14ac:dyDescent="0.2">
      <c r="C30" s="187" t="s">
        <v>278</v>
      </c>
      <c r="D30" s="189">
        <f>COUNTIF(C21:N28,"&lt;&gt;"&amp;"")</f>
        <v>8</v>
      </c>
      <c r="E30" s="181" t="s">
        <v>235</v>
      </c>
      <c r="F30" s="183" t="s">
        <v>249</v>
      </c>
      <c r="G30" s="183"/>
      <c r="H30" s="184"/>
      <c r="I30" s="1"/>
      <c r="J30" s="1"/>
      <c r="K30" s="1"/>
      <c r="L30" s="1"/>
      <c r="M30" s="1"/>
      <c r="N30" s="1"/>
      <c r="O30" s="1"/>
      <c r="P30" s="1"/>
      <c r="Q30" s="1"/>
      <c r="R30" s="1"/>
      <c r="S30" s="1"/>
      <c r="T30" s="1"/>
      <c r="U30" s="1"/>
      <c r="V30" s="1"/>
      <c r="W30" s="1"/>
      <c r="X30" s="1"/>
      <c r="Y30" s="1"/>
      <c r="Z30" s="1"/>
      <c r="AA30" s="1"/>
      <c r="AB30" s="1"/>
    </row>
    <row r="31" spans="2:28" ht="25" customHeight="1" thickBot="1" x14ac:dyDescent="0.25">
      <c r="C31" s="188"/>
      <c r="D31" s="190"/>
      <c r="E31" s="191"/>
      <c r="F31" s="185"/>
      <c r="G31" s="185"/>
      <c r="H31" s="186"/>
      <c r="I31" s="1"/>
      <c r="J31" s="1"/>
      <c r="K31" s="1"/>
      <c r="L31" s="1"/>
      <c r="M31" s="1"/>
      <c r="N31" s="1"/>
      <c r="O31" s="1"/>
      <c r="P31" s="1"/>
      <c r="Q31" s="1"/>
      <c r="R31" s="1"/>
      <c r="S31" s="1"/>
      <c r="T31" s="1"/>
      <c r="U31" s="1"/>
      <c r="V31" s="1"/>
      <c r="W31" s="1"/>
      <c r="X31" s="1"/>
      <c r="Y31" s="1"/>
      <c r="Z31" s="1"/>
      <c r="AA31" s="1"/>
      <c r="AB31" s="1"/>
    </row>
    <row r="32" spans="2:28" ht="21" customHeight="1" thickBot="1" x14ac:dyDescent="0.25">
      <c r="C32" s="180"/>
      <c r="D32" s="180"/>
      <c r="E32" s="180"/>
      <c r="F32" s="180"/>
      <c r="G32" s="180"/>
      <c r="H32" s="180"/>
      <c r="I32" s="1"/>
      <c r="J32" s="1"/>
      <c r="K32" s="1"/>
      <c r="L32" s="1"/>
      <c r="M32" s="1"/>
      <c r="N32" s="1"/>
      <c r="O32" s="1"/>
      <c r="P32" s="1"/>
      <c r="Q32" s="1"/>
      <c r="R32" s="1"/>
      <c r="S32" s="1"/>
      <c r="T32" s="1"/>
      <c r="U32" s="1"/>
      <c r="V32" s="1"/>
      <c r="W32" s="1"/>
      <c r="X32" s="1"/>
      <c r="Y32" s="1"/>
      <c r="Z32" s="1"/>
      <c r="AA32" s="1"/>
      <c r="AB32" s="1"/>
    </row>
    <row r="33" spans="3:28" ht="31" customHeight="1" x14ac:dyDescent="0.2">
      <c r="C33" s="63" t="s">
        <v>237</v>
      </c>
      <c r="D33" s="64">
        <v>1.1000000000000001</v>
      </c>
      <c r="E33" s="181" t="s">
        <v>235</v>
      </c>
      <c r="F33" s="183" t="s">
        <v>236</v>
      </c>
      <c r="G33" s="183"/>
      <c r="H33" s="184"/>
      <c r="I33" s="1"/>
      <c r="J33" s="1"/>
      <c r="K33" s="1"/>
      <c r="L33" s="1"/>
      <c r="M33" s="1"/>
      <c r="N33" s="1"/>
      <c r="O33" s="1"/>
      <c r="P33" s="1"/>
      <c r="Q33" s="1"/>
      <c r="R33" s="1"/>
      <c r="S33" s="1"/>
      <c r="T33" s="1"/>
      <c r="U33" s="1"/>
      <c r="V33" s="1"/>
      <c r="W33" s="1"/>
      <c r="X33" s="1"/>
      <c r="Y33" s="1"/>
      <c r="Z33" s="1"/>
      <c r="AA33" s="1"/>
      <c r="AB33" s="1"/>
    </row>
    <row r="34" spans="3:28" ht="31" customHeight="1" thickBot="1" x14ac:dyDescent="0.25">
      <c r="C34" s="65" t="s">
        <v>238</v>
      </c>
      <c r="D34" s="66">
        <v>1.1499999999999999</v>
      </c>
      <c r="E34" s="182"/>
      <c r="F34" s="185"/>
      <c r="G34" s="185"/>
      <c r="H34" s="186"/>
      <c r="I34" s="1"/>
      <c r="J34" s="1"/>
      <c r="K34" s="1"/>
      <c r="L34" s="1"/>
      <c r="M34" s="1"/>
      <c r="N34" s="1"/>
      <c r="O34" s="1"/>
      <c r="P34" s="1"/>
      <c r="Q34" s="1"/>
      <c r="R34" s="1"/>
      <c r="S34" s="1"/>
      <c r="T34" s="1"/>
      <c r="U34" s="1"/>
      <c r="V34" s="1"/>
      <c r="W34" s="1"/>
      <c r="X34" s="1"/>
      <c r="Y34" s="1"/>
      <c r="Z34" s="1"/>
      <c r="AA34" s="1"/>
      <c r="AB34" s="1"/>
    </row>
    <row r="35" spans="3:28" ht="21" customHeight="1" x14ac:dyDescent="0.2">
      <c r="D35" s="1"/>
      <c r="E35" s="1"/>
      <c r="F35" s="1"/>
      <c r="G35" s="1"/>
      <c r="H35" s="1"/>
      <c r="I35" s="1"/>
      <c r="J35" s="1"/>
      <c r="K35" s="1"/>
      <c r="L35" s="1"/>
      <c r="M35" s="1"/>
      <c r="N35" s="1"/>
      <c r="O35" s="1"/>
      <c r="P35" s="1"/>
      <c r="Q35" s="1"/>
      <c r="R35" s="1"/>
      <c r="S35" s="1"/>
      <c r="T35" s="1"/>
      <c r="U35" s="1"/>
      <c r="V35" s="1"/>
      <c r="W35" s="1"/>
      <c r="X35" s="1"/>
      <c r="Y35" s="1"/>
      <c r="Z35" s="1"/>
      <c r="AA35" s="1"/>
      <c r="AB35" s="1"/>
    </row>
    <row r="36" spans="3:28" ht="21" customHeight="1" x14ac:dyDescent="0.2">
      <c r="D36" s="1"/>
      <c r="E36" s="1"/>
      <c r="F36" s="1"/>
      <c r="G36" s="1"/>
      <c r="H36" s="1"/>
      <c r="I36" s="1"/>
      <c r="J36" s="1"/>
      <c r="K36" s="1"/>
      <c r="L36" s="1"/>
      <c r="M36" s="1"/>
      <c r="N36" s="1"/>
      <c r="O36" s="1"/>
      <c r="P36" s="1"/>
      <c r="Q36" s="1"/>
      <c r="R36" s="1"/>
      <c r="S36" s="1"/>
      <c r="T36" s="1"/>
      <c r="U36" s="1"/>
      <c r="V36" s="1"/>
      <c r="W36" s="1"/>
      <c r="X36" s="1"/>
      <c r="Y36" s="1"/>
      <c r="Z36" s="1"/>
      <c r="AA36" s="1"/>
      <c r="AB36" s="1"/>
    </row>
    <row r="37" spans="3:28" ht="21" customHeight="1" x14ac:dyDescent="0.2">
      <c r="D37" s="1"/>
      <c r="E37" s="1"/>
      <c r="F37" s="1"/>
      <c r="G37" s="1"/>
      <c r="H37" s="1"/>
      <c r="I37" s="1"/>
      <c r="J37" s="1"/>
      <c r="K37" s="1"/>
      <c r="L37" s="1"/>
      <c r="M37" s="1"/>
      <c r="N37" s="1"/>
      <c r="O37" s="1"/>
      <c r="P37" s="1"/>
      <c r="Q37" s="1"/>
      <c r="R37" s="1"/>
      <c r="S37" s="1"/>
      <c r="T37" s="1"/>
      <c r="U37" s="1"/>
      <c r="V37" s="1"/>
      <c r="W37" s="1"/>
      <c r="X37" s="1"/>
      <c r="Y37" s="1"/>
      <c r="Z37" s="1"/>
      <c r="AA37" s="1"/>
      <c r="AB37" s="1"/>
    </row>
    <row r="38" spans="3:28" ht="21" customHeight="1" x14ac:dyDescent="0.2">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3:28" ht="21" customHeight="1" x14ac:dyDescent="0.2">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3:28" ht="21" customHeight="1" x14ac:dyDescent="0.2">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3:28" ht="21" customHeight="1" x14ac:dyDescent="0.2">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3:28" ht="21" customHeight="1" x14ac:dyDescent="0.2">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3:28" ht="21" customHeight="1" x14ac:dyDescent="0.2">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3:28" ht="21" customHeight="1" x14ac:dyDescent="0.2">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3:28" ht="21" customHeight="1" x14ac:dyDescent="0.2">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3:28" ht="21" customHeight="1" x14ac:dyDescent="0.2">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3:28" ht="21" customHeight="1" x14ac:dyDescent="0.2">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3:28" ht="21" customHeight="1" x14ac:dyDescent="0.2">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3:28" ht="21" customHeight="1" x14ac:dyDescent="0.2">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3:28" ht="21" customHeight="1" x14ac:dyDescent="0.2">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3:28" ht="21" customHeight="1" x14ac:dyDescent="0.2">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3:28" ht="21" customHeight="1" x14ac:dyDescent="0.2">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3:28" ht="21" customHeight="1" x14ac:dyDescent="0.2">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3:28" ht="21" customHeight="1" x14ac:dyDescent="0.2">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3:28" ht="21" customHeight="1" x14ac:dyDescent="0.2">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3:28" ht="21" customHeight="1" x14ac:dyDescent="0.2">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3:28" ht="21" customHeight="1" x14ac:dyDescent="0.2">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3:28" ht="21" customHeight="1" x14ac:dyDescent="0.2">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3:28" ht="21" customHeight="1" x14ac:dyDescent="0.2">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3:28" ht="21" customHeight="1" x14ac:dyDescent="0.2">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3:28" ht="21" customHeight="1" x14ac:dyDescent="0.2">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3:28" ht="21" customHeight="1" x14ac:dyDescent="0.2">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3:28" ht="21" customHeight="1" x14ac:dyDescent="0.2">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3:28" ht="21" customHeight="1" x14ac:dyDescent="0.2">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3:28" ht="21" customHeight="1" x14ac:dyDescent="0.2">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3:28" ht="21" customHeight="1" x14ac:dyDescent="0.2">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3:28" ht="21" customHeight="1" x14ac:dyDescent="0.2">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3:28" ht="21" customHeight="1" x14ac:dyDescent="0.2">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3:28" ht="21" customHeight="1" x14ac:dyDescent="0.2">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3:28" ht="21" customHeight="1" x14ac:dyDescent="0.2">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3:28" ht="21" customHeight="1" x14ac:dyDescent="0.2">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3:28" ht="21" customHeight="1" x14ac:dyDescent="0.2">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3:28" ht="21" customHeight="1" x14ac:dyDescent="0.2">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3:28" ht="21" customHeight="1" x14ac:dyDescent="0.2">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3:28" ht="21" customHeight="1" x14ac:dyDescent="0.2">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3:28" ht="21" customHeight="1" x14ac:dyDescent="0.2">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3:28" ht="21" customHeight="1" x14ac:dyDescent="0.2">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3:28" ht="21" customHeight="1" x14ac:dyDescent="0.2">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3:28" ht="21" customHeight="1" x14ac:dyDescent="0.2">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3:28" ht="21" customHeight="1" x14ac:dyDescent="0.2">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3:28" ht="21" customHeight="1" x14ac:dyDescent="0.2">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3:28" ht="21" customHeight="1" x14ac:dyDescent="0.2">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3:28" ht="21" customHeight="1" x14ac:dyDescent="0.2">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3:28" ht="21" customHeight="1" x14ac:dyDescent="0.2">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3:28" ht="21" customHeight="1" x14ac:dyDescent="0.2">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3:28" ht="21" customHeight="1" x14ac:dyDescent="0.2">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3:28" ht="21" customHeight="1" x14ac:dyDescent="0.2">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3:28" ht="21" customHeight="1" x14ac:dyDescent="0.2">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3:28" ht="21" customHeight="1" x14ac:dyDescent="0.2">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3:28" ht="21" customHeight="1" x14ac:dyDescent="0.2">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3:28" ht="21" customHeight="1" x14ac:dyDescent="0.2">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3:28" ht="21" customHeight="1" x14ac:dyDescent="0.2">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3:28" ht="21" customHeight="1" x14ac:dyDescent="0.2">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3:28" ht="21" customHeight="1" x14ac:dyDescent="0.2">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3:28" ht="21" customHeight="1" x14ac:dyDescent="0.2">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3:28" ht="21" customHeight="1" x14ac:dyDescent="0.2">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3:28" ht="21" customHeight="1" x14ac:dyDescent="0.2">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3:28" ht="21" customHeight="1" x14ac:dyDescent="0.2">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3:28" ht="21" customHeight="1" x14ac:dyDescent="0.2">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3:28" ht="21" customHeight="1" x14ac:dyDescent="0.2">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3:28" ht="21" customHeight="1" x14ac:dyDescent="0.2">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3:28" ht="21" customHeight="1" x14ac:dyDescent="0.2">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3:28" ht="21" customHeight="1" x14ac:dyDescent="0.2">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3:28" ht="21" customHeight="1" x14ac:dyDescent="0.2">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3:28" ht="21" customHeight="1" x14ac:dyDescent="0.2">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3:28" ht="21" customHeight="1" x14ac:dyDescent="0.2">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3:28" ht="21" customHeight="1" x14ac:dyDescent="0.2">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3:28" ht="21" customHeight="1" x14ac:dyDescent="0.2">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3:28" ht="21" customHeight="1" x14ac:dyDescent="0.2">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3:28" ht="21" customHeight="1" x14ac:dyDescent="0.2">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3:28" ht="21" customHeight="1" x14ac:dyDescent="0.2">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3:28" ht="21" customHeight="1" x14ac:dyDescent="0.2">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3:28" ht="21" customHeight="1" x14ac:dyDescent="0.2">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3:28" ht="21" customHeight="1" x14ac:dyDescent="0.2">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3:28" ht="21" customHeight="1" x14ac:dyDescent="0.2">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3:28" ht="21" customHeight="1" x14ac:dyDescent="0.2">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3:28" ht="21" customHeight="1" x14ac:dyDescent="0.2">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3:28" ht="21" customHeight="1" x14ac:dyDescent="0.2">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3:28" ht="21" customHeight="1" x14ac:dyDescent="0.2">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3:28" ht="21" customHeight="1" x14ac:dyDescent="0.2">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3:28" ht="21" customHeight="1" x14ac:dyDescent="0.2">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3:28" ht="21" customHeight="1" x14ac:dyDescent="0.2">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3:28" ht="21" customHeight="1" x14ac:dyDescent="0.2">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3:28" ht="21" customHeight="1" x14ac:dyDescent="0.2">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3:28" ht="21" customHeight="1" x14ac:dyDescent="0.2">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3:28" ht="21" customHeight="1" x14ac:dyDescent="0.2">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3:28" ht="21" customHeight="1" x14ac:dyDescent="0.2">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3:28" ht="21" customHeight="1" x14ac:dyDescent="0.2">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3:28" ht="21" customHeight="1" x14ac:dyDescent="0.2">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3:28" ht="21" customHeight="1" x14ac:dyDescent="0.2">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3:28" ht="21" customHeight="1" x14ac:dyDescent="0.2">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3:28" ht="21" customHeight="1" x14ac:dyDescent="0.2">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3:28" ht="21" customHeight="1" x14ac:dyDescent="0.2">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3:28" ht="21" customHeight="1" x14ac:dyDescent="0.2">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3:28" ht="21" customHeight="1" x14ac:dyDescent="0.2">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3:28" ht="21" customHeight="1" x14ac:dyDescent="0.2">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3:28" ht="21" customHeight="1" x14ac:dyDescent="0.2">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3:28" ht="21" customHeight="1" x14ac:dyDescent="0.2">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3:28" ht="21" customHeight="1" x14ac:dyDescent="0.2">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3:28" ht="21" customHeight="1" x14ac:dyDescent="0.2">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3:28" ht="21" customHeight="1" x14ac:dyDescent="0.2">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3:28" ht="21" customHeight="1" x14ac:dyDescent="0.2">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3:28" ht="21" customHeight="1" x14ac:dyDescent="0.2">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3:28" ht="21" customHeight="1" x14ac:dyDescent="0.2">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3:28" ht="21" customHeight="1" x14ac:dyDescent="0.2">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3:28" ht="21" customHeight="1" x14ac:dyDescent="0.2">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3:28" ht="21" customHeight="1" x14ac:dyDescent="0.2">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3:28" ht="21" customHeight="1" x14ac:dyDescent="0.2">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3:28" ht="21" customHeight="1" x14ac:dyDescent="0.2">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3:28" ht="21" customHeight="1" x14ac:dyDescent="0.2">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3:28" ht="21" customHeight="1" x14ac:dyDescent="0.2">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3:28" ht="21" customHeight="1" x14ac:dyDescent="0.2">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3:28" ht="21" customHeight="1" x14ac:dyDescent="0.2">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3:28" ht="21" customHeight="1" x14ac:dyDescent="0.2">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3:28" ht="21" customHeight="1" x14ac:dyDescent="0.2">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3:28" ht="21" customHeight="1" x14ac:dyDescent="0.2">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3:28" ht="21" customHeight="1" x14ac:dyDescent="0.2">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3:28" ht="21" customHeight="1" x14ac:dyDescent="0.2">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3:28" ht="21" customHeight="1" x14ac:dyDescent="0.2">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3:28" ht="21" customHeight="1" x14ac:dyDescent="0.2">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3:28" ht="21" customHeight="1" x14ac:dyDescent="0.2">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3:28" ht="21" customHeight="1" x14ac:dyDescent="0.2">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3:28" ht="21" customHeight="1" x14ac:dyDescent="0.2">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3:28" ht="21" customHeight="1" x14ac:dyDescent="0.2">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3:28" ht="21" customHeight="1" x14ac:dyDescent="0.2">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3:28" ht="21" customHeight="1" x14ac:dyDescent="0.2">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3:28" ht="21" customHeight="1" x14ac:dyDescent="0.2">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3:28" ht="21" customHeight="1" x14ac:dyDescent="0.2">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3:28" ht="21" customHeight="1" x14ac:dyDescent="0.2">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3:28" ht="21" customHeight="1" x14ac:dyDescent="0.2">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3:28" ht="21" customHeight="1" x14ac:dyDescent="0.2">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3:28" ht="21" customHeight="1" x14ac:dyDescent="0.2">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3:28" ht="21" customHeight="1" x14ac:dyDescent="0.2">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3:28" ht="15.75" customHeight="1" x14ac:dyDescent="0.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spans="3:28" ht="15.75" customHeight="1" x14ac:dyDescent="0.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spans="3:28" ht="15.75" customHeight="1" x14ac:dyDescent="0.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spans="3:28" ht="15.75" customHeight="1" x14ac:dyDescent="0.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spans="3:28" ht="15.75" customHeight="1" x14ac:dyDescent="0.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spans="3:28" ht="15.75" customHeight="1" x14ac:dyDescent="0.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spans="3:28" ht="15.75" customHeight="1" x14ac:dyDescent="0.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spans="3:28" ht="15.75" customHeight="1" x14ac:dyDescent="0.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spans="3:28" ht="15.75" customHeight="1" x14ac:dyDescent="0.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spans="3:28" ht="15.75" customHeight="1" x14ac:dyDescent="0.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spans="3:28" ht="15.75" customHeight="1" x14ac:dyDescent="0.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spans="3:28" ht="15.75" customHeight="1" x14ac:dyDescent="0.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spans="3:28" ht="15.75" customHeight="1" x14ac:dyDescent="0.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spans="3:28" ht="15.75" customHeight="1" x14ac:dyDescent="0.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spans="3:28" ht="15.75" customHeight="1" x14ac:dyDescent="0.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spans="3:28" ht="15.75" customHeight="1" x14ac:dyDescent="0.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spans="3:28" ht="15.75" customHeight="1" x14ac:dyDescent="0.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spans="3:28" ht="15.75" customHeight="1" x14ac:dyDescent="0.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spans="3:28" ht="15.75" customHeight="1" x14ac:dyDescent="0.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spans="3:28" ht="15.75" customHeight="1" x14ac:dyDescent="0.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spans="3:28" ht="15.75" customHeight="1" x14ac:dyDescent="0.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spans="3:28" ht="15.75" customHeight="1" x14ac:dyDescent="0.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spans="3:28" ht="15.75" customHeight="1" x14ac:dyDescent="0.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spans="3:28" ht="15.75" customHeight="1" x14ac:dyDescent="0.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spans="3:28" ht="15.75" customHeight="1" x14ac:dyDescent="0.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spans="3:28" ht="15.75" customHeight="1" x14ac:dyDescent="0.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spans="3:28" ht="15.75" customHeight="1" x14ac:dyDescent="0.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spans="3:28" ht="15.75" customHeight="1" x14ac:dyDescent="0.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spans="3:28" ht="15.75" customHeight="1" x14ac:dyDescent="0.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spans="3:28" ht="15.75" customHeight="1" x14ac:dyDescent="0.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spans="3:28" ht="15.75" customHeight="1" x14ac:dyDescent="0.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spans="3:28" ht="15.75" customHeight="1" x14ac:dyDescent="0.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spans="3:28" ht="15.75" customHeight="1" x14ac:dyDescent="0.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spans="3:28" ht="15.75" customHeight="1" x14ac:dyDescent="0.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spans="3:28" ht="15.75" customHeight="1" x14ac:dyDescent="0.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spans="3:28" ht="15.75" customHeight="1" x14ac:dyDescent="0.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spans="3:28" ht="15.75" customHeight="1" x14ac:dyDescent="0.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spans="3:28" ht="15.75" customHeight="1" x14ac:dyDescent="0.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spans="3:28" ht="15.75" customHeight="1" x14ac:dyDescent="0.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spans="3:28" ht="15.75" customHeight="1" x14ac:dyDescent="0.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spans="3:28" ht="15.75" customHeight="1" x14ac:dyDescent="0.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spans="3:28" ht="15.75" customHeight="1" x14ac:dyDescent="0.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spans="3:28" ht="15.75" customHeight="1" x14ac:dyDescent="0.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spans="3:28" ht="15.75" customHeight="1" x14ac:dyDescent="0.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spans="3:28" ht="15.75" customHeight="1" x14ac:dyDescent="0.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spans="3:28" ht="15.75" customHeight="1" x14ac:dyDescent="0.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spans="3:28" ht="15.75" customHeight="1" x14ac:dyDescent="0.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spans="3:28" ht="15.75" customHeight="1" x14ac:dyDescent="0.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spans="3:28" ht="15.75" customHeight="1" x14ac:dyDescent="0.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spans="3:28" ht="15.75" customHeight="1" x14ac:dyDescent="0.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spans="3:28" ht="15.75" customHeight="1" x14ac:dyDescent="0.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spans="3:28" ht="15.75" customHeight="1" x14ac:dyDescent="0.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spans="3:28" ht="15.75" customHeight="1" x14ac:dyDescent="0.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spans="3:28" ht="15.75" customHeight="1" x14ac:dyDescent="0.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spans="3:28" ht="15.75" customHeight="1" x14ac:dyDescent="0.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spans="3:28" ht="15.75" customHeight="1" x14ac:dyDescent="0.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spans="3:28" ht="15.75" customHeight="1" x14ac:dyDescent="0.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spans="3:28" ht="15.75" customHeight="1" x14ac:dyDescent="0.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spans="3:28" ht="15.75" customHeight="1" x14ac:dyDescent="0.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spans="3:28" ht="15.75" customHeight="1" x14ac:dyDescent="0.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spans="3:28" ht="15.75" customHeight="1" x14ac:dyDescent="0.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spans="3:28" ht="15.75" customHeight="1" x14ac:dyDescent="0.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spans="3:28" ht="15.75" customHeight="1" x14ac:dyDescent="0.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spans="3:28" ht="15.75" customHeight="1" x14ac:dyDescent="0.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spans="3:28" ht="15.75" customHeight="1" x14ac:dyDescent="0.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spans="3:28" ht="15.75" customHeight="1" x14ac:dyDescent="0.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spans="3:28" ht="15.75" customHeight="1" x14ac:dyDescent="0.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spans="3:28" ht="15.75" customHeight="1" x14ac:dyDescent="0.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spans="3:28" ht="15.75" customHeight="1" x14ac:dyDescent="0.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spans="3:28" ht="15.75" customHeight="1" x14ac:dyDescent="0.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spans="3:28" ht="15.75" customHeight="1" x14ac:dyDescent="0.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spans="3:28" ht="15.75" customHeight="1" x14ac:dyDescent="0.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spans="3:28" ht="15.75" customHeight="1" x14ac:dyDescent="0.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spans="3:28" ht="15.75" customHeight="1" x14ac:dyDescent="0.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spans="3:28" ht="15.75" customHeight="1" x14ac:dyDescent="0.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spans="3:28" ht="15.75" customHeight="1" x14ac:dyDescent="0.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spans="3:28" ht="15.75" customHeight="1" x14ac:dyDescent="0.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spans="3:28" ht="15.75" customHeight="1" x14ac:dyDescent="0.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spans="3:28" ht="15.75" customHeight="1" x14ac:dyDescent="0.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spans="3:28" ht="15.75" customHeight="1" x14ac:dyDescent="0.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spans="3:28" ht="15.75" customHeight="1" x14ac:dyDescent="0.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spans="3:28" ht="15.75" customHeight="1" x14ac:dyDescent="0.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spans="3:28" ht="15.75" customHeight="1" x14ac:dyDescent="0.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spans="3:28" ht="15.75" customHeight="1" x14ac:dyDescent="0.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spans="3:28" ht="15.75" customHeight="1" x14ac:dyDescent="0.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spans="3:28" ht="15.75" customHeight="1" x14ac:dyDescent="0.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spans="3:28" ht="15.75" customHeight="1" x14ac:dyDescent="0.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spans="3:28" ht="15.75" customHeight="1" x14ac:dyDescent="0.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spans="3:28" ht="15.75" customHeight="1" x14ac:dyDescent="0.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spans="3:28" ht="15.75" customHeight="1" x14ac:dyDescent="0.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spans="3:28" ht="15.75" customHeight="1" x14ac:dyDescent="0.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spans="3:28" ht="15.75" customHeight="1" x14ac:dyDescent="0.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spans="3:28" ht="15.75" customHeight="1" x14ac:dyDescent="0.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spans="3:28" ht="15.75" customHeight="1" x14ac:dyDescent="0.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spans="3:28" ht="15.75" customHeight="1" x14ac:dyDescent="0.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spans="3:28" ht="15.75" customHeight="1" x14ac:dyDescent="0.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spans="3:28" ht="15.75" customHeight="1" x14ac:dyDescent="0.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spans="3:28" ht="15.75" customHeight="1" x14ac:dyDescent="0.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spans="3:28" ht="15.75" customHeight="1" x14ac:dyDescent="0.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spans="3:28" ht="15.75" customHeight="1" x14ac:dyDescent="0.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spans="3:28" ht="15.75" customHeight="1" x14ac:dyDescent="0.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spans="3:28" ht="15.75" customHeight="1" x14ac:dyDescent="0.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spans="3:28" ht="15.75" customHeight="1" x14ac:dyDescent="0.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spans="3:28" ht="15.75" customHeight="1" x14ac:dyDescent="0.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spans="3:28" ht="15.75" customHeight="1" x14ac:dyDescent="0.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spans="3:28" ht="15.75" customHeight="1" x14ac:dyDescent="0.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spans="3:28" ht="15.75" customHeight="1" x14ac:dyDescent="0.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spans="3:28" ht="15.75" customHeight="1" x14ac:dyDescent="0.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spans="3:28" ht="15.75" customHeight="1" x14ac:dyDescent="0.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spans="3:28" ht="15.75" customHeight="1" x14ac:dyDescent="0.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spans="3:28" ht="15.75" customHeight="1" x14ac:dyDescent="0.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spans="3:28" ht="15.75" customHeight="1" x14ac:dyDescent="0.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spans="3:28" ht="15.75" customHeight="1" x14ac:dyDescent="0.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spans="3:28" ht="15.75" customHeight="1" x14ac:dyDescent="0.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spans="3:28" ht="15.75" customHeight="1" x14ac:dyDescent="0.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spans="3:28" ht="15.75" customHeight="1" x14ac:dyDescent="0.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spans="3:28" ht="15.75" customHeight="1" x14ac:dyDescent="0.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spans="3:28" ht="15.75" customHeight="1" x14ac:dyDescent="0.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spans="3:28" ht="15.75" customHeight="1" x14ac:dyDescent="0.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spans="3:28" ht="15.75" customHeight="1" x14ac:dyDescent="0.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spans="3:28" ht="15.75" customHeight="1" x14ac:dyDescent="0.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spans="3:28" ht="15.75" customHeight="1" x14ac:dyDescent="0.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spans="3:28" ht="15.75" customHeight="1" x14ac:dyDescent="0.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spans="3:28" ht="15.75" customHeight="1" x14ac:dyDescent="0.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spans="3:28" ht="15.75" customHeight="1" x14ac:dyDescent="0.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spans="3:28" ht="15.75" customHeight="1" x14ac:dyDescent="0.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spans="3:28" ht="15.75" customHeight="1" x14ac:dyDescent="0.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spans="3:28" ht="15.75" customHeight="1" x14ac:dyDescent="0.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spans="3:28" ht="15.75" customHeight="1" x14ac:dyDescent="0.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spans="3:28" ht="15.75" customHeight="1" x14ac:dyDescent="0.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spans="3:28" ht="15.75" customHeight="1" x14ac:dyDescent="0.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spans="3:28" ht="15.75" customHeight="1" x14ac:dyDescent="0.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spans="3:28" ht="15.75" customHeight="1" x14ac:dyDescent="0.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spans="3:28" ht="15.75" customHeight="1" x14ac:dyDescent="0.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spans="3:28" ht="15.75" customHeight="1" x14ac:dyDescent="0.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spans="3:28" ht="15.75" customHeight="1" x14ac:dyDescent="0.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spans="3:28" ht="15.75" customHeight="1" x14ac:dyDescent="0.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spans="3:28" ht="15.75" customHeight="1" x14ac:dyDescent="0.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spans="3:28" ht="15.75" customHeight="1" x14ac:dyDescent="0.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spans="3:28" ht="15.75" customHeight="1" x14ac:dyDescent="0.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spans="3:28" ht="15.75" customHeight="1" x14ac:dyDescent="0.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spans="3:28" ht="15.75" customHeight="1" x14ac:dyDescent="0.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spans="3:28" ht="15.75" customHeight="1" x14ac:dyDescent="0.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spans="3:28" ht="15.75" customHeight="1" x14ac:dyDescent="0.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spans="3:28" ht="15.75" customHeight="1" x14ac:dyDescent="0.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spans="3:28" ht="15.75" customHeight="1" x14ac:dyDescent="0.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spans="3:28" ht="15.75" customHeight="1" x14ac:dyDescent="0.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spans="3:28" ht="15.75" customHeight="1" x14ac:dyDescent="0.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spans="3:28" ht="15.75" customHeight="1" x14ac:dyDescent="0.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spans="3:28" ht="15.75" customHeight="1" x14ac:dyDescent="0.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spans="3:28" ht="15.75" customHeight="1" x14ac:dyDescent="0.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spans="3:28" ht="15.75" customHeight="1" x14ac:dyDescent="0.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spans="3:28" ht="15.75" customHeight="1" x14ac:dyDescent="0.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spans="3:28" ht="15.75" customHeight="1" x14ac:dyDescent="0.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spans="3:28" ht="15.75" customHeight="1" x14ac:dyDescent="0.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spans="3:28" ht="15.75" customHeight="1" x14ac:dyDescent="0.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spans="3:28" ht="15.75" customHeight="1" x14ac:dyDescent="0.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spans="3:28" ht="15.75" customHeight="1" x14ac:dyDescent="0.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spans="3:28" ht="15.75" customHeight="1" x14ac:dyDescent="0.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spans="3:28" ht="15.75" customHeight="1" x14ac:dyDescent="0.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spans="3:28" ht="15.75" customHeight="1" x14ac:dyDescent="0.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spans="3:28" ht="15.75" customHeight="1" x14ac:dyDescent="0.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spans="3:28" ht="15.75" customHeight="1" x14ac:dyDescent="0.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spans="3:28" ht="15.75" customHeight="1" x14ac:dyDescent="0.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spans="3:28" ht="15.75" customHeight="1" x14ac:dyDescent="0.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spans="3:28" ht="15.75" customHeight="1" x14ac:dyDescent="0.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spans="3:28" ht="15.75" customHeight="1" x14ac:dyDescent="0.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spans="3:28" ht="15.75" customHeight="1" x14ac:dyDescent="0.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spans="3:28" ht="15.75" customHeight="1" x14ac:dyDescent="0.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spans="3:28" ht="15.75" customHeight="1" x14ac:dyDescent="0.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spans="3:28" ht="15.75" customHeight="1" x14ac:dyDescent="0.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spans="3:28" ht="15.75" customHeight="1" x14ac:dyDescent="0.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spans="3:28" ht="15.75" customHeight="1" x14ac:dyDescent="0.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spans="3:28" ht="15.75" customHeight="1" x14ac:dyDescent="0.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spans="3:28" ht="15.75" customHeight="1" x14ac:dyDescent="0.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spans="3:28" ht="15.75" customHeight="1" x14ac:dyDescent="0.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spans="3:28" ht="15.75" customHeight="1" x14ac:dyDescent="0.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spans="3:28" ht="15.75" customHeight="1" x14ac:dyDescent="0.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spans="3:28" ht="15.75" customHeight="1" x14ac:dyDescent="0.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spans="3:28" ht="15.75" customHeight="1" x14ac:dyDescent="0.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spans="3:28" ht="15.75" customHeight="1" x14ac:dyDescent="0.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spans="3:28" ht="15.75" customHeight="1" x14ac:dyDescent="0.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spans="3:28" ht="15.75" customHeight="1" x14ac:dyDescent="0.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spans="3:28" ht="15.75" customHeight="1" x14ac:dyDescent="0.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spans="3:28" ht="15.75" customHeight="1" x14ac:dyDescent="0.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spans="3:28" ht="15.75" customHeight="1" x14ac:dyDescent="0.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spans="3:28" ht="15.75" customHeight="1" x14ac:dyDescent="0.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spans="3:28" ht="15.75" customHeight="1" x14ac:dyDescent="0.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spans="3:28" ht="15.75" customHeight="1" x14ac:dyDescent="0.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spans="3:28" ht="15.75" customHeight="1" x14ac:dyDescent="0.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spans="3:28" ht="15.75" customHeight="1" x14ac:dyDescent="0.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spans="3:28" ht="15.75" customHeight="1" x14ac:dyDescent="0.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spans="3:28" ht="15.75" customHeight="1" x14ac:dyDescent="0.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spans="3:28" ht="15.75" customHeight="1" x14ac:dyDescent="0.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spans="3:28" ht="15.75" customHeight="1" x14ac:dyDescent="0.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spans="3:28" ht="15.75" customHeight="1" x14ac:dyDescent="0.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spans="3:28" ht="15.75" customHeight="1" x14ac:dyDescent="0.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spans="3:28" ht="15.75" customHeight="1" x14ac:dyDescent="0.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spans="3:28" ht="15.75" customHeight="1" x14ac:dyDescent="0.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spans="3:28" ht="15.75" customHeight="1" x14ac:dyDescent="0.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spans="3:28" ht="15.75" customHeight="1" x14ac:dyDescent="0.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spans="3:28" ht="15.75" customHeight="1" x14ac:dyDescent="0.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spans="3:28" ht="15.75" customHeight="1" x14ac:dyDescent="0.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spans="3:28" ht="15.75" customHeight="1" x14ac:dyDescent="0.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spans="3:28" ht="15.75" customHeight="1" x14ac:dyDescent="0.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spans="3:28" ht="15.75" customHeight="1" x14ac:dyDescent="0.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spans="3:28" ht="15.75" customHeight="1" x14ac:dyDescent="0.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spans="3:28" ht="15.75" customHeight="1" x14ac:dyDescent="0.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spans="3:28" ht="15.75" customHeight="1" x14ac:dyDescent="0.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spans="3:28" ht="15.75" customHeight="1" x14ac:dyDescent="0.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spans="3:28" ht="15.75" customHeight="1" x14ac:dyDescent="0.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spans="3:28" ht="15.75" customHeight="1" x14ac:dyDescent="0.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spans="3:28" ht="15.75" customHeight="1" x14ac:dyDescent="0.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spans="3:28" ht="15.75" customHeight="1" x14ac:dyDescent="0.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spans="3:28" ht="15.75" customHeight="1" x14ac:dyDescent="0.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spans="3:28" ht="15.75" customHeight="1" x14ac:dyDescent="0.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spans="3:28" ht="15.75" customHeight="1" x14ac:dyDescent="0.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spans="3:28" ht="15.75" customHeight="1" x14ac:dyDescent="0.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spans="3:28" ht="15.75" customHeight="1" x14ac:dyDescent="0.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spans="3:28" ht="15.75" customHeight="1" x14ac:dyDescent="0.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spans="3:28" ht="15.75" customHeight="1" x14ac:dyDescent="0.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spans="3:28" ht="15.75" customHeight="1" x14ac:dyDescent="0.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spans="3:28" ht="15.75" customHeight="1" x14ac:dyDescent="0.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spans="3:28" ht="15.75" customHeight="1" x14ac:dyDescent="0.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spans="3:28" ht="15.75" customHeight="1" x14ac:dyDescent="0.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spans="3:28" ht="15.75" customHeight="1" x14ac:dyDescent="0.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spans="3:28" ht="15.75" customHeight="1" x14ac:dyDescent="0.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spans="3:28" ht="15.75" customHeight="1" x14ac:dyDescent="0.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spans="3:28" ht="15.75" customHeight="1" x14ac:dyDescent="0.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spans="3:28" ht="15.75" customHeight="1" x14ac:dyDescent="0.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spans="3:28" ht="15.75" customHeight="1" x14ac:dyDescent="0.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spans="3:28" ht="15.75" customHeight="1" x14ac:dyDescent="0.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spans="3:28" ht="15.75" customHeight="1" x14ac:dyDescent="0.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spans="3:28" ht="15.75" customHeight="1" x14ac:dyDescent="0.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spans="3:28" ht="15.75" customHeight="1" x14ac:dyDescent="0.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spans="3:28" ht="15.75" customHeight="1" x14ac:dyDescent="0.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spans="3:28" ht="15.75" customHeight="1" x14ac:dyDescent="0.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spans="3:28" ht="15.75" customHeight="1" x14ac:dyDescent="0.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spans="3:28" ht="15.75" customHeight="1" x14ac:dyDescent="0.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spans="3:28" ht="15.75" customHeight="1" x14ac:dyDescent="0.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spans="3:28" ht="15.75" customHeight="1" x14ac:dyDescent="0.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spans="3:28" ht="15.75" customHeight="1" x14ac:dyDescent="0.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spans="3:28" ht="15.75" customHeight="1" x14ac:dyDescent="0.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spans="3:28" ht="15.75" customHeight="1" x14ac:dyDescent="0.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spans="3:28" ht="15.75" customHeight="1" x14ac:dyDescent="0.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spans="3:28" ht="15.75" customHeight="1" x14ac:dyDescent="0.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spans="3:28" ht="15.75" customHeight="1" x14ac:dyDescent="0.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spans="3:28" ht="15.75" customHeight="1" x14ac:dyDescent="0.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spans="3:28" ht="15.75" customHeight="1" x14ac:dyDescent="0.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spans="3:28" ht="15.75" customHeight="1" x14ac:dyDescent="0.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spans="3:28" ht="15.75" customHeight="1" x14ac:dyDescent="0.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spans="3:28" ht="15.75" customHeight="1" x14ac:dyDescent="0.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spans="3:28" ht="15.75" customHeight="1" x14ac:dyDescent="0.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spans="3:28" ht="15.75" customHeight="1" x14ac:dyDescent="0.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spans="3:28" ht="15.75" customHeight="1" x14ac:dyDescent="0.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spans="3:28" ht="15.75" customHeight="1" x14ac:dyDescent="0.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spans="3:28" ht="15.75" customHeight="1" x14ac:dyDescent="0.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spans="3:28" ht="15.75" customHeight="1" x14ac:dyDescent="0.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spans="3:28" ht="15.75" customHeight="1" x14ac:dyDescent="0.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spans="3:28" ht="15.75" customHeight="1" x14ac:dyDescent="0.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spans="3:28" ht="15.75" customHeight="1" x14ac:dyDescent="0.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spans="3:28" ht="15.75" customHeight="1" x14ac:dyDescent="0.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spans="3:28" ht="15.75" customHeight="1" x14ac:dyDescent="0.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spans="3:28" ht="15.75" customHeight="1" x14ac:dyDescent="0.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spans="3:28" ht="15.75" customHeight="1" x14ac:dyDescent="0.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spans="3:28" ht="15.75" customHeight="1" x14ac:dyDescent="0.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spans="3:28" ht="15.75" customHeight="1" x14ac:dyDescent="0.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spans="3:28" ht="15.75" customHeight="1" x14ac:dyDescent="0.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spans="3:28" ht="15.75" customHeight="1" x14ac:dyDescent="0.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spans="3:28" ht="15.75" customHeight="1" x14ac:dyDescent="0.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spans="3:28" ht="15.75" customHeight="1" x14ac:dyDescent="0.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spans="3:28" ht="15.75" customHeight="1" x14ac:dyDescent="0.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spans="3:28" ht="15.75" customHeight="1" x14ac:dyDescent="0.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spans="3:28" ht="15.75" customHeight="1" x14ac:dyDescent="0.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spans="3:28" ht="15.75" customHeight="1" x14ac:dyDescent="0.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spans="3:28" ht="15.75" customHeight="1" x14ac:dyDescent="0.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spans="3:28" ht="15.75" customHeight="1" x14ac:dyDescent="0.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spans="3:28" ht="15.75" customHeight="1" x14ac:dyDescent="0.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spans="3:28" ht="15.75" customHeight="1" x14ac:dyDescent="0.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spans="3:28" ht="15.75" customHeight="1" x14ac:dyDescent="0.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spans="3:28" ht="15.75" customHeight="1" x14ac:dyDescent="0.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spans="3:28" ht="15.75" customHeight="1" x14ac:dyDescent="0.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spans="3:28" ht="15.75" customHeight="1" x14ac:dyDescent="0.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spans="3:28" ht="15.75" customHeight="1" x14ac:dyDescent="0.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spans="3:28" ht="15.75" customHeight="1" x14ac:dyDescent="0.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spans="3:28" ht="15.75" customHeight="1" x14ac:dyDescent="0.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spans="3:28" ht="15.75" customHeight="1" x14ac:dyDescent="0.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spans="3:28" ht="15.75" customHeight="1" x14ac:dyDescent="0.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spans="3:28" ht="15.75" customHeight="1" x14ac:dyDescent="0.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spans="3:28" ht="15.75" customHeight="1" x14ac:dyDescent="0.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spans="3:28" ht="15.75" customHeight="1" x14ac:dyDescent="0.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spans="3:28" ht="15.75" customHeight="1" x14ac:dyDescent="0.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spans="3:28" ht="15.75" customHeight="1" x14ac:dyDescent="0.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spans="3:28" ht="15.75" customHeight="1" x14ac:dyDescent="0.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spans="3:28" ht="15.75" customHeight="1" x14ac:dyDescent="0.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spans="3:28" ht="15.75" customHeight="1" x14ac:dyDescent="0.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spans="3:28" ht="15.75" customHeight="1" x14ac:dyDescent="0.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spans="3:28" ht="15.75" customHeight="1" x14ac:dyDescent="0.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spans="3:28" ht="15.75" customHeight="1" x14ac:dyDescent="0.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spans="3:28" ht="15.75" customHeight="1" x14ac:dyDescent="0.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spans="3:28" ht="15.75" customHeight="1" x14ac:dyDescent="0.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spans="3:28" ht="15.75" customHeight="1" x14ac:dyDescent="0.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spans="3:28" ht="15.75" customHeight="1" x14ac:dyDescent="0.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spans="3:28" ht="15.75" customHeight="1" x14ac:dyDescent="0.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spans="3:28" ht="15.75" customHeight="1" x14ac:dyDescent="0.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spans="3:28" ht="15.75" customHeight="1" x14ac:dyDescent="0.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spans="3:28" ht="15.75" customHeight="1" x14ac:dyDescent="0.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spans="3:28" ht="15.75" customHeight="1" x14ac:dyDescent="0.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spans="3:28" ht="15.75" customHeight="1" x14ac:dyDescent="0.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spans="3:28" ht="15.75" customHeight="1" x14ac:dyDescent="0.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spans="3:28" ht="15.75" customHeight="1" x14ac:dyDescent="0.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spans="3:28" ht="15.75" customHeight="1" x14ac:dyDescent="0.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spans="3:28" ht="15.75" customHeight="1" x14ac:dyDescent="0.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spans="3:28" ht="15.75" customHeight="1" x14ac:dyDescent="0.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spans="3:28" ht="15.75" customHeight="1" x14ac:dyDescent="0.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spans="3:28" ht="15.75" customHeight="1" x14ac:dyDescent="0.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spans="3:28" ht="15.75" customHeight="1" x14ac:dyDescent="0.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spans="3:28" ht="15.75" customHeight="1" x14ac:dyDescent="0.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spans="3:28" ht="15.75" customHeight="1" x14ac:dyDescent="0.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spans="3:28" ht="15.75" customHeight="1" x14ac:dyDescent="0.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spans="3:28" ht="15.75" customHeight="1" x14ac:dyDescent="0.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spans="3:28" ht="15.75" customHeight="1" x14ac:dyDescent="0.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spans="3:28" ht="15.75" customHeight="1" x14ac:dyDescent="0.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spans="3:28" ht="15.75" customHeight="1" x14ac:dyDescent="0.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spans="3:28" ht="15.75" customHeight="1" x14ac:dyDescent="0.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spans="3:28" ht="15.75" customHeight="1" x14ac:dyDescent="0.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spans="3:28" ht="15.75" customHeight="1" x14ac:dyDescent="0.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spans="3:28" ht="15.75" customHeight="1" x14ac:dyDescent="0.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spans="3:28" ht="15.75" customHeight="1" x14ac:dyDescent="0.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spans="3:28" ht="15.75" customHeight="1" x14ac:dyDescent="0.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spans="3:28" ht="15.75" customHeight="1" x14ac:dyDescent="0.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spans="3:28" ht="15.75" customHeight="1" x14ac:dyDescent="0.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spans="3:28" ht="15.75" customHeight="1" x14ac:dyDescent="0.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spans="3:28" ht="15.75" customHeight="1" x14ac:dyDescent="0.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spans="3:28" ht="15.75" customHeight="1" x14ac:dyDescent="0.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spans="3:28" ht="15.75" customHeight="1" x14ac:dyDescent="0.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spans="3:28" ht="15.75" customHeight="1" x14ac:dyDescent="0.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spans="3:28" ht="15.75" customHeight="1" x14ac:dyDescent="0.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spans="3:28" ht="15.75" customHeight="1" x14ac:dyDescent="0.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spans="3:28" ht="15.75" customHeight="1" x14ac:dyDescent="0.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spans="3:28" ht="15.75" customHeight="1" x14ac:dyDescent="0.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spans="3:28" ht="15.75" customHeight="1" x14ac:dyDescent="0.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spans="3:28" ht="15.75" customHeight="1" x14ac:dyDescent="0.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spans="3:28" ht="15.75" customHeight="1" x14ac:dyDescent="0.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spans="3:28" ht="15.75" customHeight="1" x14ac:dyDescent="0.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spans="3:28" ht="15.75" customHeight="1" x14ac:dyDescent="0.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spans="3:28" ht="15.75" customHeight="1" x14ac:dyDescent="0.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spans="3:28" ht="15.75" customHeight="1" x14ac:dyDescent="0.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spans="3:28" ht="15.75" customHeight="1" x14ac:dyDescent="0.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spans="3:28" ht="15.75" customHeight="1" x14ac:dyDescent="0.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spans="3:28" ht="15.75" customHeight="1" x14ac:dyDescent="0.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spans="3:28" ht="15.75" customHeight="1" x14ac:dyDescent="0.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spans="3:28" ht="15.75" customHeight="1" x14ac:dyDescent="0.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spans="3:28" ht="15.75" customHeight="1" x14ac:dyDescent="0.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spans="3:28" ht="15.75" customHeight="1" x14ac:dyDescent="0.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spans="3:28" ht="15.75" customHeight="1" x14ac:dyDescent="0.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spans="3:28" ht="15.75" customHeight="1" x14ac:dyDescent="0.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spans="3:28" ht="15.75" customHeight="1" x14ac:dyDescent="0.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spans="3:28" ht="15.75" customHeight="1" x14ac:dyDescent="0.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spans="3:28" ht="15.75" customHeight="1" x14ac:dyDescent="0.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spans="3:28" ht="15.75" customHeight="1" x14ac:dyDescent="0.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spans="3:28" ht="15.75" customHeight="1" x14ac:dyDescent="0.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spans="3:28" ht="15.75" customHeight="1" x14ac:dyDescent="0.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spans="3:28" ht="15.75" customHeight="1" x14ac:dyDescent="0.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spans="3:28" ht="15.75" customHeight="1" x14ac:dyDescent="0.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spans="3:28" ht="15.75" customHeight="1" x14ac:dyDescent="0.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spans="3:28" ht="15.75" customHeight="1" x14ac:dyDescent="0.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spans="3:28" ht="15.75" customHeight="1" x14ac:dyDescent="0.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spans="3:28" ht="15.75" customHeight="1" x14ac:dyDescent="0.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spans="3:28" ht="15.75" customHeight="1" x14ac:dyDescent="0.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spans="3:28" ht="15.75" customHeight="1" x14ac:dyDescent="0.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spans="3:28" ht="15.75" customHeight="1" x14ac:dyDescent="0.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spans="3:28" ht="15.75" customHeight="1" x14ac:dyDescent="0.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spans="3:28" ht="15.75" customHeight="1" x14ac:dyDescent="0.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spans="3:28" ht="15.75" customHeight="1" x14ac:dyDescent="0.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spans="3:28" ht="15.75" customHeight="1" x14ac:dyDescent="0.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spans="3:28" ht="15.75" customHeight="1" x14ac:dyDescent="0.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spans="3:28" ht="15.75" customHeight="1" x14ac:dyDescent="0.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spans="3:28" ht="15.75" customHeight="1" x14ac:dyDescent="0.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spans="3:28" ht="15.75" customHeight="1" x14ac:dyDescent="0.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spans="3:28" ht="15.75" customHeight="1" x14ac:dyDescent="0.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spans="3:28" ht="15.75" customHeight="1" x14ac:dyDescent="0.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spans="3:28" ht="15.75" customHeight="1" x14ac:dyDescent="0.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spans="3:28" ht="15.75" customHeight="1" x14ac:dyDescent="0.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spans="3:28" ht="15.75" customHeight="1" x14ac:dyDescent="0.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spans="3:28" ht="15.75" customHeight="1" x14ac:dyDescent="0.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spans="3:28" ht="15.75" customHeight="1" x14ac:dyDescent="0.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spans="3:28" ht="15.75" customHeight="1" x14ac:dyDescent="0.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spans="3:28" ht="15.75" customHeight="1" x14ac:dyDescent="0.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spans="3:28" ht="15.75" customHeight="1" x14ac:dyDescent="0.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spans="3:28" ht="15.75" customHeight="1" x14ac:dyDescent="0.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spans="3:28" ht="15.75" customHeight="1" x14ac:dyDescent="0.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spans="3:28" ht="15.75" customHeight="1" x14ac:dyDescent="0.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spans="3:28" ht="15.75" customHeight="1" x14ac:dyDescent="0.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spans="3:28" ht="15.75" customHeight="1" x14ac:dyDescent="0.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spans="3:28" ht="15.75" customHeight="1" x14ac:dyDescent="0.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spans="3:28" ht="15.75" customHeight="1" x14ac:dyDescent="0.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spans="3:28" ht="15.75" customHeight="1" x14ac:dyDescent="0.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spans="3:28" ht="15.75" customHeight="1" x14ac:dyDescent="0.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spans="3:28" ht="15.75" customHeight="1" x14ac:dyDescent="0.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spans="3:28" ht="15.75" customHeight="1" x14ac:dyDescent="0.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spans="3:28" ht="15.75" customHeight="1" x14ac:dyDescent="0.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spans="3:28" ht="15.75" customHeight="1" x14ac:dyDescent="0.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spans="3:28" ht="15.75" customHeight="1" x14ac:dyDescent="0.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spans="3:28" ht="15.75" customHeight="1" x14ac:dyDescent="0.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spans="3:28" ht="15.75" customHeight="1" x14ac:dyDescent="0.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spans="3:28" ht="15.75" customHeight="1" x14ac:dyDescent="0.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spans="3:28" ht="15.75" customHeight="1" x14ac:dyDescent="0.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spans="3:28" ht="15.75" customHeight="1" x14ac:dyDescent="0.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spans="3:28" ht="15.75" customHeight="1" x14ac:dyDescent="0.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spans="3:28" ht="15.75" customHeight="1" x14ac:dyDescent="0.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spans="3:28" ht="15.75" customHeight="1" x14ac:dyDescent="0.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spans="3:28" ht="15.75" customHeight="1" x14ac:dyDescent="0.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spans="3:28" ht="15.75" customHeight="1" x14ac:dyDescent="0.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spans="3:28" ht="15.75" customHeight="1" x14ac:dyDescent="0.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spans="3:28" ht="15.75" customHeight="1" x14ac:dyDescent="0.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spans="3:28" ht="15.75" customHeight="1" x14ac:dyDescent="0.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spans="3:28" ht="15.75" customHeight="1" x14ac:dyDescent="0.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spans="3:28" ht="15.75" customHeight="1" x14ac:dyDescent="0.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spans="3:28" ht="15.75" customHeight="1" x14ac:dyDescent="0.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spans="3:28" ht="15.75" customHeight="1" x14ac:dyDescent="0.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spans="3:28" ht="15.75" customHeight="1" x14ac:dyDescent="0.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spans="3:28" ht="15.75" customHeight="1" x14ac:dyDescent="0.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spans="3:28" ht="15.75" customHeight="1" x14ac:dyDescent="0.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spans="3:28" ht="15.75" customHeight="1" x14ac:dyDescent="0.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spans="3:28" ht="15.75" customHeight="1" x14ac:dyDescent="0.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spans="3:28" ht="15.75" customHeight="1" x14ac:dyDescent="0.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spans="3:28" ht="15.75" customHeight="1" x14ac:dyDescent="0.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spans="3:28" ht="15.75" customHeight="1" x14ac:dyDescent="0.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spans="3:28" ht="15.75" customHeight="1" x14ac:dyDescent="0.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spans="3:28" ht="15.75" customHeight="1" x14ac:dyDescent="0.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spans="3:28" ht="15.75" customHeight="1" x14ac:dyDescent="0.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spans="3:28" ht="15.75" customHeight="1" x14ac:dyDescent="0.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spans="3:28" ht="15.75" customHeight="1" x14ac:dyDescent="0.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spans="3:28" ht="15.75" customHeight="1" x14ac:dyDescent="0.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spans="3:28" ht="15.75" customHeight="1" x14ac:dyDescent="0.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spans="3:28" ht="15.75" customHeight="1" x14ac:dyDescent="0.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spans="3:28" ht="15.75" customHeight="1" x14ac:dyDescent="0.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spans="3:28" ht="15.75" customHeight="1" x14ac:dyDescent="0.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spans="3:28" ht="15.75" customHeight="1" x14ac:dyDescent="0.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spans="3:28" ht="15.75" customHeight="1" x14ac:dyDescent="0.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spans="3:28" ht="15.75" customHeight="1" x14ac:dyDescent="0.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spans="3:28" ht="15.75" customHeight="1" x14ac:dyDescent="0.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spans="3:28" ht="15.75" customHeight="1" x14ac:dyDescent="0.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spans="3:28" ht="15.75" customHeight="1" x14ac:dyDescent="0.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spans="3:28" ht="15.75" customHeight="1" x14ac:dyDescent="0.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spans="3:28" ht="15.75" customHeight="1" x14ac:dyDescent="0.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spans="3:28" ht="15.75" customHeight="1" x14ac:dyDescent="0.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spans="3:28" ht="15.75" customHeight="1" x14ac:dyDescent="0.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spans="3:28" ht="15.75" customHeight="1" x14ac:dyDescent="0.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spans="3:28" ht="15.75" customHeight="1" x14ac:dyDescent="0.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spans="3:28" ht="15.75" customHeight="1" x14ac:dyDescent="0.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spans="3:28" ht="15.75" customHeight="1" x14ac:dyDescent="0.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spans="3:28" ht="15.75" customHeight="1" x14ac:dyDescent="0.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spans="3:28" ht="15.75" customHeight="1" x14ac:dyDescent="0.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spans="3:28" ht="15.75" customHeight="1" x14ac:dyDescent="0.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spans="3:28" ht="15.75" customHeight="1" x14ac:dyDescent="0.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spans="3:28" ht="15.75" customHeight="1" x14ac:dyDescent="0.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spans="3:28" ht="15.75" customHeight="1" x14ac:dyDescent="0.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spans="3:28" ht="15.75" customHeight="1" x14ac:dyDescent="0.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spans="3:28" ht="15.75" customHeight="1" x14ac:dyDescent="0.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spans="3:28" ht="15.75" customHeight="1" x14ac:dyDescent="0.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spans="3:28" ht="15.75" customHeight="1" x14ac:dyDescent="0.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spans="3:28" ht="15.75" customHeight="1" x14ac:dyDescent="0.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spans="3:28" ht="15.75" customHeight="1" x14ac:dyDescent="0.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spans="3:28" ht="15.75" customHeight="1" x14ac:dyDescent="0.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spans="3:28" ht="15.75" customHeight="1" x14ac:dyDescent="0.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spans="3:28" ht="15.75" customHeight="1" x14ac:dyDescent="0.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spans="3:28" ht="15.75" customHeight="1" x14ac:dyDescent="0.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spans="3:28" ht="15.75" customHeight="1" x14ac:dyDescent="0.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spans="3:28" ht="15.75" customHeight="1" x14ac:dyDescent="0.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spans="3:28" ht="15.75" customHeight="1" x14ac:dyDescent="0.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spans="3:28" ht="15.75" customHeight="1" x14ac:dyDescent="0.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spans="3:28" ht="15.75" customHeight="1" x14ac:dyDescent="0.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spans="3:28" ht="15.75" customHeight="1" x14ac:dyDescent="0.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spans="3:28" ht="15.75" customHeight="1" x14ac:dyDescent="0.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spans="3:28" ht="15.75" customHeight="1" x14ac:dyDescent="0.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spans="3:28" ht="15.75" customHeight="1" x14ac:dyDescent="0.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spans="3:28" ht="15.75" customHeight="1" x14ac:dyDescent="0.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spans="3:28" ht="15.75" customHeight="1" x14ac:dyDescent="0.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spans="3:28" ht="15.75" customHeight="1" x14ac:dyDescent="0.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spans="3:28" ht="15.75" customHeight="1" x14ac:dyDescent="0.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spans="3:28" ht="15.75" customHeight="1" x14ac:dyDescent="0.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spans="3:28" ht="15.75" customHeight="1" x14ac:dyDescent="0.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spans="3:28" ht="15.75" customHeight="1" x14ac:dyDescent="0.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spans="3:28" ht="15.75" customHeight="1" x14ac:dyDescent="0.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spans="3:28" ht="15.75" customHeight="1" x14ac:dyDescent="0.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spans="3:28" ht="15.75" customHeight="1" x14ac:dyDescent="0.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spans="3:28" ht="15.75" customHeight="1" x14ac:dyDescent="0.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spans="3:28" ht="15.75" customHeight="1" x14ac:dyDescent="0.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spans="3:28" ht="15.75" customHeight="1" x14ac:dyDescent="0.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spans="3:28" ht="15.75" customHeight="1" x14ac:dyDescent="0.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spans="3:28" ht="15.75" customHeight="1" x14ac:dyDescent="0.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spans="3:28" ht="15.75" customHeight="1" x14ac:dyDescent="0.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spans="3:28" ht="15.75" customHeight="1" x14ac:dyDescent="0.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spans="3:28" ht="15.75" customHeight="1" x14ac:dyDescent="0.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spans="3:28" ht="15.75" customHeight="1" x14ac:dyDescent="0.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spans="3:28" ht="15.75" customHeight="1" x14ac:dyDescent="0.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spans="3:28" ht="15.75" customHeight="1" x14ac:dyDescent="0.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spans="3:28" ht="15.75" customHeight="1" x14ac:dyDescent="0.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spans="3:28" ht="15.75" customHeight="1" x14ac:dyDescent="0.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spans="3:28" ht="15.75" customHeight="1" x14ac:dyDescent="0.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spans="3:28" ht="15.75" customHeight="1" x14ac:dyDescent="0.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spans="3:28" ht="15.75" customHeight="1" x14ac:dyDescent="0.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spans="3:28" ht="15.75" customHeight="1" x14ac:dyDescent="0.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spans="3:28" ht="15.75" customHeight="1" x14ac:dyDescent="0.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spans="3:28" ht="15.75" customHeight="1" x14ac:dyDescent="0.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spans="3:28" ht="15.75" customHeight="1" x14ac:dyDescent="0.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spans="3:28" ht="15.75" customHeight="1" x14ac:dyDescent="0.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spans="3:28" ht="15.75" customHeight="1" x14ac:dyDescent="0.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spans="3:28" ht="15.75" customHeight="1" x14ac:dyDescent="0.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spans="3:28" ht="15.75" customHeight="1" x14ac:dyDescent="0.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spans="3:28" ht="15.75" customHeight="1" x14ac:dyDescent="0.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spans="3:28" ht="15.75" customHeight="1" x14ac:dyDescent="0.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spans="3:28" ht="15.75" customHeight="1" x14ac:dyDescent="0.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spans="3:28" ht="15.75" customHeight="1" x14ac:dyDescent="0.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spans="3:28" ht="15.75" customHeight="1" x14ac:dyDescent="0.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spans="3:28" ht="15.75" customHeight="1" x14ac:dyDescent="0.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spans="3:28" ht="15.75" customHeight="1" x14ac:dyDescent="0.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spans="3:28" ht="15.75" customHeight="1" x14ac:dyDescent="0.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spans="3:28" ht="15.75" customHeight="1" x14ac:dyDescent="0.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spans="3:28" ht="15.75" customHeight="1" x14ac:dyDescent="0.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spans="3:28" ht="15.75" customHeight="1" x14ac:dyDescent="0.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spans="3:28" ht="15.75" customHeight="1" x14ac:dyDescent="0.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spans="3:28" ht="15.75" customHeight="1" x14ac:dyDescent="0.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spans="3:28" ht="15.75" customHeight="1" x14ac:dyDescent="0.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spans="3:28" ht="15.75" customHeight="1" x14ac:dyDescent="0.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spans="3:28" ht="15.75" customHeight="1" x14ac:dyDescent="0.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spans="3:28" ht="15.75" customHeight="1" x14ac:dyDescent="0.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spans="3:28" ht="15.75" customHeight="1" x14ac:dyDescent="0.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spans="3:28" ht="15.75" customHeight="1" x14ac:dyDescent="0.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spans="3:28" ht="15.75" customHeight="1" x14ac:dyDescent="0.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spans="3:28" ht="15.75" customHeight="1" x14ac:dyDescent="0.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spans="3:28" ht="15.75" customHeight="1" x14ac:dyDescent="0.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spans="3:28" ht="15.75" customHeight="1" x14ac:dyDescent="0.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spans="3:28" ht="15.75" customHeight="1" x14ac:dyDescent="0.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spans="3:28" ht="15.75" customHeight="1" x14ac:dyDescent="0.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spans="3:28" ht="15.75" customHeight="1" x14ac:dyDescent="0.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spans="3:28" ht="15.75" customHeight="1" x14ac:dyDescent="0.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spans="3:28" ht="15.75" customHeight="1" x14ac:dyDescent="0.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spans="3:28" ht="15.75" customHeight="1" x14ac:dyDescent="0.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spans="3:28" ht="15.75" customHeight="1" x14ac:dyDescent="0.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spans="3:28" ht="15.75" customHeight="1" x14ac:dyDescent="0.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spans="3:28" ht="15.75" customHeight="1" x14ac:dyDescent="0.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spans="3:28" ht="15.75" customHeight="1" x14ac:dyDescent="0.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spans="3:28" ht="15.75" customHeight="1" x14ac:dyDescent="0.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spans="3:28" ht="15.75" customHeight="1" x14ac:dyDescent="0.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spans="3:28" ht="15.75" customHeight="1" x14ac:dyDescent="0.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spans="3:28" ht="15.75" customHeight="1" x14ac:dyDescent="0.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spans="3:28" ht="15.75" customHeight="1" x14ac:dyDescent="0.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spans="3:28" ht="15.75" customHeight="1" x14ac:dyDescent="0.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spans="3:28" ht="15.75" customHeight="1" x14ac:dyDescent="0.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spans="3:28" ht="15.75" customHeight="1" x14ac:dyDescent="0.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spans="3:28" ht="15.75" customHeight="1" x14ac:dyDescent="0.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spans="3:28" ht="15.75" customHeight="1" x14ac:dyDescent="0.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spans="3:28" ht="15.75" customHeight="1" x14ac:dyDescent="0.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spans="3:28" ht="15.75" customHeight="1" x14ac:dyDescent="0.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spans="3:28" ht="15.75" customHeight="1" x14ac:dyDescent="0.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spans="3:28" ht="15.75" customHeight="1" x14ac:dyDescent="0.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spans="3:28" ht="15.75" customHeight="1" x14ac:dyDescent="0.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spans="3:28" ht="15.75" customHeight="1" x14ac:dyDescent="0.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spans="3:28" ht="15.75" customHeight="1" x14ac:dyDescent="0.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spans="3:28" ht="15.75" customHeight="1" x14ac:dyDescent="0.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spans="3:28" ht="15.75" customHeight="1" x14ac:dyDescent="0.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spans="3:28" ht="15.75" customHeight="1" x14ac:dyDescent="0.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spans="3:28" ht="15.75" customHeight="1" x14ac:dyDescent="0.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spans="3:28" ht="15.75" customHeight="1" x14ac:dyDescent="0.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spans="3:28" ht="15.75" customHeight="1" x14ac:dyDescent="0.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spans="3:28" ht="15.75" customHeight="1" x14ac:dyDescent="0.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spans="3:28" ht="15.75" customHeight="1" x14ac:dyDescent="0.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spans="3:28" ht="15.75" customHeight="1" x14ac:dyDescent="0.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spans="3:28" ht="15.75" customHeight="1" x14ac:dyDescent="0.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spans="3:28" ht="15.75" customHeight="1" x14ac:dyDescent="0.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spans="3:28" ht="15.75" customHeight="1" x14ac:dyDescent="0.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spans="3:28" ht="15.75" customHeight="1" x14ac:dyDescent="0.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spans="3:28" ht="15.75" customHeight="1" x14ac:dyDescent="0.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spans="3:28" ht="15.75" customHeight="1" x14ac:dyDescent="0.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spans="3:28" ht="15.75" customHeight="1" x14ac:dyDescent="0.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spans="3:28" ht="15.75" customHeight="1" x14ac:dyDescent="0.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spans="3:28" ht="15.75" customHeight="1" x14ac:dyDescent="0.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spans="3:28" ht="15.75" customHeight="1" x14ac:dyDescent="0.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spans="3:28" ht="15.75" customHeight="1" x14ac:dyDescent="0.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spans="3:28" ht="15.75" customHeight="1" x14ac:dyDescent="0.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spans="3:28" ht="15.75" customHeight="1" x14ac:dyDescent="0.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spans="3:28" ht="15.75" customHeight="1" x14ac:dyDescent="0.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spans="3:28" ht="15.75" customHeight="1" x14ac:dyDescent="0.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spans="3:28" ht="15.75" customHeight="1" x14ac:dyDescent="0.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spans="3:28" ht="15.75" customHeight="1" x14ac:dyDescent="0.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spans="3:28" ht="15.75" customHeight="1" x14ac:dyDescent="0.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spans="3:28" ht="15.75" customHeight="1" x14ac:dyDescent="0.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spans="3:28" ht="15.75" customHeight="1" x14ac:dyDescent="0.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spans="3:28" ht="15.75" customHeight="1" x14ac:dyDescent="0.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spans="3:28" ht="15.75" customHeight="1" x14ac:dyDescent="0.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spans="3:28" ht="15.75" customHeight="1" x14ac:dyDescent="0.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spans="3:28" ht="15.75" customHeight="1" x14ac:dyDescent="0.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spans="3:28" ht="15.75" customHeight="1" x14ac:dyDescent="0.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spans="3:28" ht="15.75" customHeight="1" x14ac:dyDescent="0.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spans="3:28" ht="15.75" customHeight="1" x14ac:dyDescent="0.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spans="3:28" ht="15.75" customHeight="1" x14ac:dyDescent="0.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spans="3:28" ht="15.75" customHeight="1" x14ac:dyDescent="0.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spans="3:28" ht="15.75" customHeight="1" x14ac:dyDescent="0.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spans="3:28" ht="15.75" customHeight="1" x14ac:dyDescent="0.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spans="3:28" ht="15.75" customHeight="1" x14ac:dyDescent="0.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spans="3:28" ht="15.75" customHeight="1" x14ac:dyDescent="0.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spans="3:28" ht="15.75" customHeight="1" x14ac:dyDescent="0.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spans="3:28" ht="15.75" customHeight="1" x14ac:dyDescent="0.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spans="3:28" ht="15.75" customHeight="1" x14ac:dyDescent="0.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spans="3:28" ht="15.75" customHeight="1" x14ac:dyDescent="0.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spans="3:28" ht="15.75" customHeight="1" x14ac:dyDescent="0.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spans="3:28" ht="15.75" customHeight="1" x14ac:dyDescent="0.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spans="3:28" ht="15.75" customHeight="1" x14ac:dyDescent="0.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spans="3:28" ht="15.75" customHeight="1" x14ac:dyDescent="0.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spans="3:28" ht="15.75" customHeight="1" x14ac:dyDescent="0.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spans="3:28" ht="15.75" customHeight="1" x14ac:dyDescent="0.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spans="3:28" ht="15.75" customHeight="1" x14ac:dyDescent="0.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spans="3:28" ht="15.75" customHeight="1" x14ac:dyDescent="0.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spans="3:28" ht="15.75" customHeight="1" x14ac:dyDescent="0.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spans="3:28" ht="15.75" customHeight="1" x14ac:dyDescent="0.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spans="3:28" ht="15.75" customHeight="1" x14ac:dyDescent="0.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spans="3:28" ht="15.75" customHeight="1" x14ac:dyDescent="0.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spans="3:28" ht="15.75" customHeight="1" x14ac:dyDescent="0.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spans="3:28" ht="15.75" customHeight="1" x14ac:dyDescent="0.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spans="3:28" ht="15.75" customHeight="1" x14ac:dyDescent="0.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spans="3:28" ht="15.75" customHeight="1" x14ac:dyDescent="0.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spans="3:28" ht="15.75" customHeight="1" x14ac:dyDescent="0.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spans="3:28" ht="15.75" customHeight="1" x14ac:dyDescent="0.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spans="3:28" ht="15.75" customHeight="1" x14ac:dyDescent="0.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spans="3:28" ht="15.75" customHeight="1" x14ac:dyDescent="0.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spans="3:28" ht="15.75" customHeight="1" x14ac:dyDescent="0.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spans="3:28" ht="15.75" customHeight="1" x14ac:dyDescent="0.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spans="3:28" ht="15.75" customHeight="1" x14ac:dyDescent="0.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spans="3:28" ht="15.75" customHeight="1" x14ac:dyDescent="0.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spans="3:28" ht="15.75" customHeight="1" x14ac:dyDescent="0.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spans="3:28" ht="15.75" customHeight="1" x14ac:dyDescent="0.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spans="3:28" ht="15.75" customHeight="1" x14ac:dyDescent="0.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spans="3:28" ht="15.75" customHeight="1" x14ac:dyDescent="0.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spans="3:28" ht="15.75" customHeight="1" x14ac:dyDescent="0.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spans="3:28" ht="15.75" customHeight="1" x14ac:dyDescent="0.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spans="3:28" ht="15.75" customHeight="1" x14ac:dyDescent="0.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spans="3:28" ht="15.75" customHeight="1" x14ac:dyDescent="0.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spans="3:28" ht="15.75" customHeight="1" x14ac:dyDescent="0.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spans="3:28" ht="15.75" customHeight="1" x14ac:dyDescent="0.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spans="3:28" ht="15.75" customHeight="1" x14ac:dyDescent="0.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spans="3:28" ht="15.75" customHeight="1" x14ac:dyDescent="0.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spans="3:28" ht="15.75" customHeight="1" x14ac:dyDescent="0.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spans="3:28" ht="15.75" customHeight="1" x14ac:dyDescent="0.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spans="3:28" ht="15.75" customHeight="1" x14ac:dyDescent="0.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spans="3:28" ht="15.75" customHeight="1" x14ac:dyDescent="0.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spans="3:28" ht="15.75" customHeight="1" x14ac:dyDescent="0.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spans="3:28" ht="15.75" customHeight="1" x14ac:dyDescent="0.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spans="3:28" ht="15.75" customHeight="1" x14ac:dyDescent="0.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spans="3:28" ht="15.75" customHeight="1" x14ac:dyDescent="0.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spans="3:28" ht="15.75" customHeight="1" x14ac:dyDescent="0.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spans="3:28" ht="15.75" customHeight="1" x14ac:dyDescent="0.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spans="3:28" ht="15.75" customHeight="1" x14ac:dyDescent="0.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spans="3:28" ht="15.75" customHeight="1" x14ac:dyDescent="0.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spans="3:28" ht="15.75" customHeight="1" x14ac:dyDescent="0.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spans="3:28" ht="15.75" customHeight="1" x14ac:dyDescent="0.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spans="3:28" ht="15.75" customHeight="1" x14ac:dyDescent="0.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spans="3:28" ht="15.75" customHeight="1" x14ac:dyDescent="0.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spans="3:28" ht="15.75" customHeight="1" x14ac:dyDescent="0.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spans="3:28" ht="15.75" customHeight="1" x14ac:dyDescent="0.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spans="3:28" ht="15.75" customHeight="1" x14ac:dyDescent="0.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spans="3:28" ht="15.75" customHeight="1" x14ac:dyDescent="0.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spans="3:28" ht="15.75" customHeight="1" x14ac:dyDescent="0.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spans="3:28" ht="15.75" customHeight="1" x14ac:dyDescent="0.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spans="3:28" ht="15.75" customHeight="1" x14ac:dyDescent="0.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spans="3:28" ht="15.75" customHeight="1" x14ac:dyDescent="0.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spans="3:28" ht="15.75" customHeight="1" x14ac:dyDescent="0.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spans="3:28" ht="15.75" customHeight="1" x14ac:dyDescent="0.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spans="3:28" ht="15.75" customHeight="1" x14ac:dyDescent="0.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spans="3:28" ht="15.75" customHeight="1" x14ac:dyDescent="0.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spans="3:28" ht="15.75" customHeight="1" x14ac:dyDescent="0.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spans="3:28" ht="15.75" customHeight="1" x14ac:dyDescent="0.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spans="3:28" ht="15.75" customHeight="1" x14ac:dyDescent="0.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spans="3:28" ht="15.75" customHeight="1" x14ac:dyDescent="0.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spans="3:28" ht="15.75" customHeight="1" x14ac:dyDescent="0.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spans="3:28" ht="15.75" customHeight="1" x14ac:dyDescent="0.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spans="3:28" ht="15.75" customHeight="1" x14ac:dyDescent="0.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spans="3:28" ht="15.75" customHeight="1" x14ac:dyDescent="0.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spans="3:28" ht="15.75" customHeight="1" x14ac:dyDescent="0.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spans="3:28" ht="15.75" customHeight="1" x14ac:dyDescent="0.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spans="3:28" ht="15.75" customHeight="1" x14ac:dyDescent="0.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spans="3:28" ht="15.75" customHeight="1" x14ac:dyDescent="0.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spans="3:28" ht="15.75" customHeight="1" x14ac:dyDescent="0.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spans="3:28" ht="15.75" customHeight="1" x14ac:dyDescent="0.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spans="3:28" ht="15.75" customHeight="1" x14ac:dyDescent="0.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spans="3:28" ht="15.75" customHeight="1" x14ac:dyDescent="0.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spans="3:28" ht="15.75" customHeight="1" x14ac:dyDescent="0.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spans="3:28" ht="15.75" customHeight="1" x14ac:dyDescent="0.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spans="3:28" ht="15.75" customHeight="1" x14ac:dyDescent="0.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spans="3:28" ht="15.75" customHeight="1" x14ac:dyDescent="0.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spans="3:28" ht="15.75" customHeight="1" x14ac:dyDescent="0.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spans="3:28" ht="15.75" customHeight="1" x14ac:dyDescent="0.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spans="3:28" ht="15.75" customHeight="1" x14ac:dyDescent="0.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spans="3:28" ht="15.75" customHeight="1" x14ac:dyDescent="0.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spans="3:28" ht="15.75" customHeight="1" x14ac:dyDescent="0.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spans="3:28" ht="15.75" customHeight="1" x14ac:dyDescent="0.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spans="3:28" ht="15.75" customHeight="1" x14ac:dyDescent="0.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spans="3:28" ht="15.75" customHeight="1" x14ac:dyDescent="0.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spans="3:28" ht="15.75" customHeight="1" x14ac:dyDescent="0.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spans="3:28" ht="15.75" customHeight="1" x14ac:dyDescent="0.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spans="3:28" ht="15.75" customHeight="1" x14ac:dyDescent="0.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spans="3:28" ht="15.75" customHeight="1" x14ac:dyDescent="0.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spans="3:28" ht="15.75" customHeight="1" x14ac:dyDescent="0.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spans="3:28" ht="15.75" customHeight="1" x14ac:dyDescent="0.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spans="3:28" ht="15.75" customHeight="1" x14ac:dyDescent="0.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spans="3:28" ht="15.75" customHeight="1" x14ac:dyDescent="0.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spans="3:28" ht="15.75" customHeight="1" x14ac:dyDescent="0.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spans="3:28" ht="15.75" customHeight="1" x14ac:dyDescent="0.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spans="3:28" ht="15.75" customHeight="1" x14ac:dyDescent="0.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spans="3:28" ht="15.75" customHeight="1" x14ac:dyDescent="0.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spans="3:28" ht="15.75" customHeight="1" x14ac:dyDescent="0.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spans="3:28" ht="15.75" customHeight="1" x14ac:dyDescent="0.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spans="3:28" ht="15.75" customHeight="1" x14ac:dyDescent="0.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spans="3:28" ht="15.75" customHeight="1" x14ac:dyDescent="0.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spans="3:28" ht="15.75" customHeight="1" x14ac:dyDescent="0.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spans="3:28" ht="15.75" customHeight="1" x14ac:dyDescent="0.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spans="3:28" ht="15.75" customHeight="1" x14ac:dyDescent="0.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spans="3:28" ht="15.75" customHeight="1" x14ac:dyDescent="0.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spans="3:28" ht="15.75" customHeight="1" x14ac:dyDescent="0.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spans="3:28" ht="15.75" customHeight="1" x14ac:dyDescent="0.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spans="3:28" ht="15.75" customHeight="1" x14ac:dyDescent="0.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spans="3:28" ht="15.75" customHeight="1" x14ac:dyDescent="0.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spans="3:28" ht="15.75" customHeight="1" x14ac:dyDescent="0.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spans="3:28" ht="15.75" customHeight="1" x14ac:dyDescent="0.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spans="3:28" ht="15.75" customHeight="1" x14ac:dyDescent="0.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spans="3:28" ht="15.75" customHeight="1" x14ac:dyDescent="0.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spans="3:28" ht="15.75" customHeight="1" x14ac:dyDescent="0.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spans="3:28" ht="15.75" customHeight="1" x14ac:dyDescent="0.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spans="3:28" ht="15.75" customHeight="1" x14ac:dyDescent="0.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spans="3:28" ht="15.75" customHeight="1" x14ac:dyDescent="0.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spans="3:28" ht="15.75" customHeight="1" x14ac:dyDescent="0.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spans="3:28" ht="15.75" customHeight="1" x14ac:dyDescent="0.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spans="3:28" ht="15.75" customHeight="1" x14ac:dyDescent="0.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spans="3:28" ht="15.75" customHeight="1" x14ac:dyDescent="0.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spans="3:28" ht="15.75" customHeight="1" x14ac:dyDescent="0.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spans="3:28" ht="15.75" customHeight="1" x14ac:dyDescent="0.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spans="3:28" ht="15.75" customHeight="1" x14ac:dyDescent="0.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sheetData>
  <mergeCells count="35">
    <mergeCell ref="O16:R16"/>
    <mergeCell ref="I17:K18"/>
    <mergeCell ref="C32:H32"/>
    <mergeCell ref="E33:E34"/>
    <mergeCell ref="F33:H34"/>
    <mergeCell ref="O20:O28"/>
    <mergeCell ref="C29:O29"/>
    <mergeCell ref="C30:C31"/>
    <mergeCell ref="D30:D31"/>
    <mergeCell ref="E30:E31"/>
    <mergeCell ref="F30:H31"/>
    <mergeCell ref="C19:N19"/>
    <mergeCell ref="C11:N11"/>
    <mergeCell ref="H12:H18"/>
    <mergeCell ref="I12:J12"/>
    <mergeCell ref="L12:N12"/>
    <mergeCell ref="I13:J13"/>
    <mergeCell ref="L13:N13"/>
    <mergeCell ref="I14:J14"/>
    <mergeCell ref="L14:N14"/>
    <mergeCell ref="I15:J15"/>
    <mergeCell ref="L15:N15"/>
    <mergeCell ref="I16:J16"/>
    <mergeCell ref="L16:N16"/>
    <mergeCell ref="C2:G2"/>
    <mergeCell ref="I2:N2"/>
    <mergeCell ref="D4:G4"/>
    <mergeCell ref="H4:H9"/>
    <mergeCell ref="D5:G5"/>
    <mergeCell ref="L5:N9"/>
    <mergeCell ref="D6:G6"/>
    <mergeCell ref="D7:G7"/>
    <mergeCell ref="C8:C10"/>
    <mergeCell ref="D8:G10"/>
    <mergeCell ref="L10:N10"/>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5">
        <x14:dataValidation type="list" allowBlank="1" showInputMessage="1" showErrorMessage="1" xr:uid="{16B50616-5867-0241-8D22-BDF23EDEFA94}">
          <x14:formula1>
            <xm:f>Lists!$M$2:$M$97</xm:f>
          </x14:formula1>
          <xm:sqref>E18 G18</xm:sqref>
        </x14:dataValidation>
        <x14:dataValidation type="list" allowBlank="1" showInputMessage="1" showErrorMessage="1" xr:uid="{8B9031EF-CB54-1D4A-8E59-5E5BCD82E028}">
          <x14:formula1>
            <xm:f>Lists!$B$2:$B$21</xm:f>
          </x14:formula1>
          <xm:sqref>D13:D17</xm:sqref>
        </x14:dataValidation>
        <x14:dataValidation type="list" allowBlank="1" showInputMessage="1" showErrorMessage="1" xr:uid="{5AF45BF2-DD26-C34A-96EF-8BB6E45D5888}">
          <x14:formula1>
            <xm:f>Lists!$G$2:$G$9</xm:f>
          </x14:formula1>
          <xm:sqref>C13:C18</xm:sqref>
        </x14:dataValidation>
        <x14:dataValidation type="list" allowBlank="1" showInputMessage="1" showErrorMessage="1" xr:uid="{C3D112DA-B790-6A44-AFA7-31BC93985CBD}">
          <x14:formula1>
            <xm:f>Lists!$E$2:$E$10</xm:f>
          </x14:formula1>
          <xm:sqref>F13:F18</xm:sqref>
        </x14:dataValidation>
        <x14:dataValidation type="list" allowBlank="1" showErrorMessage="1" xr:uid="{C6A2D47A-0222-704A-8B44-6126FC516FCD}">
          <x14:formula1>
            <xm:f>Lists!$J$2:$J$25</xm:f>
          </x14:formula1>
          <xm:sqref>D4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1F2D4-DF5E-9C4C-B4E3-C75FA7994AC8}">
  <sheetPr codeName="Sheet5"/>
  <dimension ref="B2:AB912"/>
  <sheetViews>
    <sheetView topLeftCell="A19" zoomScale="75" zoomScaleNormal="75" workbookViewId="0">
      <selection activeCell="I21" sqref="I21:J25"/>
    </sheetView>
  </sheetViews>
  <sheetFormatPr baseColWidth="10" defaultColWidth="10.140625" defaultRowHeight="15" customHeight="1" x14ac:dyDescent="0.2"/>
  <cols>
    <col min="1" max="1" width="2.28515625" customWidth="1"/>
    <col min="2" max="2" width="5.42578125" customWidth="1"/>
    <col min="3" max="3" width="25" customWidth="1"/>
    <col min="4" max="7" width="25.7109375" customWidth="1"/>
    <col min="8" max="14" width="25.5703125" customWidth="1"/>
    <col min="15" max="25" width="26" customWidth="1"/>
    <col min="26" max="28" width="11.42578125" customWidth="1"/>
  </cols>
  <sheetData>
    <row r="2" spans="2:28" ht="83" customHeight="1" x14ac:dyDescent="0.2">
      <c r="C2" s="130" t="s">
        <v>272</v>
      </c>
      <c r="D2" s="131"/>
      <c r="E2" s="131"/>
      <c r="F2" s="131"/>
      <c r="G2" s="132"/>
      <c r="I2" s="130" t="s">
        <v>273</v>
      </c>
      <c r="J2" s="131"/>
      <c r="K2" s="131"/>
      <c r="L2" s="131"/>
      <c r="M2" s="131"/>
      <c r="N2" s="132"/>
    </row>
    <row r="3" spans="2:28" ht="15" customHeight="1" thickBot="1" x14ac:dyDescent="0.25"/>
    <row r="4" spans="2:28" ht="65" customHeight="1" x14ac:dyDescent="0.2">
      <c r="C4" s="21" t="s">
        <v>100</v>
      </c>
      <c r="D4" s="133"/>
      <c r="E4" s="133"/>
      <c r="F4" s="133"/>
      <c r="G4" s="134"/>
      <c r="H4" s="135"/>
      <c r="I4" s="115" t="s">
        <v>264</v>
      </c>
      <c r="J4" s="116" t="s">
        <v>262</v>
      </c>
      <c r="K4" s="60" t="s">
        <v>263</v>
      </c>
      <c r="L4" s="107"/>
      <c r="M4" s="107"/>
      <c r="N4" s="107"/>
      <c r="O4" s="108"/>
      <c r="P4" s="108"/>
      <c r="Q4" s="108"/>
      <c r="R4" s="1"/>
      <c r="S4" s="1"/>
      <c r="T4" s="1"/>
      <c r="U4" s="1"/>
      <c r="V4" s="1"/>
      <c r="W4" s="1"/>
      <c r="X4" s="1"/>
      <c r="Y4" s="1"/>
      <c r="Z4" s="1"/>
      <c r="AA4" s="1"/>
      <c r="AB4" s="1"/>
    </row>
    <row r="5" spans="2:28" ht="34" customHeight="1" x14ac:dyDescent="0.2">
      <c r="C5" s="22" t="s">
        <v>101</v>
      </c>
      <c r="D5" s="136" t="s">
        <v>10</v>
      </c>
      <c r="E5" s="136"/>
      <c r="F5" s="136"/>
      <c r="G5" s="137"/>
      <c r="H5" s="135"/>
      <c r="I5" s="68">
        <f>$D$7 - $D$6 - SUM(I6:I9)</f>
        <v>2</v>
      </c>
      <c r="J5" s="59" t="s">
        <v>219</v>
      </c>
      <c r="K5" s="47">
        <f>(I10*$D$30*$D$34)-SUM(K6:K9)</f>
        <v>0</v>
      </c>
      <c r="L5" s="138" t="s">
        <v>274</v>
      </c>
      <c r="M5" s="139"/>
      <c r="N5" s="140"/>
      <c r="O5" s="108"/>
      <c r="P5" s="108"/>
      <c r="Q5" s="108"/>
      <c r="R5" s="1"/>
      <c r="S5" s="1"/>
      <c r="T5" s="1"/>
      <c r="U5" s="1"/>
      <c r="V5" s="1"/>
      <c r="W5" s="1"/>
      <c r="X5" s="1"/>
      <c r="Y5" s="1"/>
      <c r="Z5" s="1"/>
      <c r="AA5" s="1"/>
      <c r="AB5" s="1"/>
    </row>
    <row r="6" spans="2:28" ht="34" customHeight="1" x14ac:dyDescent="0.2">
      <c r="C6" s="22" t="s">
        <v>247</v>
      </c>
      <c r="D6" s="144">
        <v>5</v>
      </c>
      <c r="E6" s="144"/>
      <c r="F6" s="144"/>
      <c r="G6" s="145"/>
      <c r="H6" s="135"/>
      <c r="I6" s="68">
        <f>IF(Metadata!C8="Digital PCR (dPCR)",$D$7/4,$D$7/2)</f>
        <v>10</v>
      </c>
      <c r="J6" s="59" t="s">
        <v>220</v>
      </c>
      <c r="K6" s="47">
        <f>ROUNDUP(I6*$D$30*$D$34,0)</f>
        <v>0</v>
      </c>
      <c r="L6" s="141"/>
      <c r="M6" s="142"/>
      <c r="N6" s="143"/>
      <c r="O6" s="109"/>
      <c r="P6" s="109"/>
      <c r="Q6" s="109"/>
      <c r="R6" s="109"/>
      <c r="S6" s="1"/>
      <c r="T6" s="1"/>
      <c r="U6" s="1"/>
      <c r="V6" s="1"/>
      <c r="W6" s="1"/>
      <c r="X6" s="1"/>
      <c r="Y6" s="1"/>
      <c r="Z6" s="1"/>
      <c r="AA6" s="1"/>
      <c r="AB6" s="1"/>
    </row>
    <row r="7" spans="2:28" ht="34" customHeight="1" x14ac:dyDescent="0.2">
      <c r="C7" s="22" t="s">
        <v>245</v>
      </c>
      <c r="D7" s="136">
        <v>20</v>
      </c>
      <c r="E7" s="136"/>
      <c r="F7" s="136"/>
      <c r="G7" s="137"/>
      <c r="H7" s="135"/>
      <c r="I7" s="68">
        <f>IF(Metadata!C8="Digital PCR (dPCR)",$D$7/100,$D$7/10)</f>
        <v>2</v>
      </c>
      <c r="J7" s="59" t="s">
        <v>231</v>
      </c>
      <c r="K7" s="47">
        <f>ROUNDUP(I7*$D$30*$D$34,1)</f>
        <v>0</v>
      </c>
      <c r="L7" s="141"/>
      <c r="M7" s="142"/>
      <c r="N7" s="143"/>
      <c r="O7" s="109"/>
      <c r="P7" s="109"/>
      <c r="Q7" s="109"/>
      <c r="R7" s="109"/>
      <c r="S7" s="1"/>
      <c r="T7" s="1"/>
      <c r="U7" s="1"/>
      <c r="V7" s="1"/>
      <c r="W7" s="1"/>
      <c r="X7" s="1"/>
      <c r="Y7" s="1"/>
      <c r="Z7" s="1"/>
      <c r="AA7" s="1"/>
      <c r="AB7" s="1"/>
    </row>
    <row r="8" spans="2:28" ht="39" customHeight="1" x14ac:dyDescent="0.2">
      <c r="C8" s="146" t="s">
        <v>246</v>
      </c>
      <c r="D8" s="148"/>
      <c r="E8" s="148"/>
      <c r="F8" s="148"/>
      <c r="G8" s="149"/>
      <c r="H8" s="135"/>
      <c r="I8" s="68">
        <f>IF(Metadata!C8="Digital PCR (dPCR)",$D$7/20,$D$7/20)</f>
        <v>1</v>
      </c>
      <c r="J8" s="59" t="s">
        <v>221</v>
      </c>
      <c r="K8" s="47">
        <f>ROUNDUP(I8*$D$30*$D$34,1)</f>
        <v>0</v>
      </c>
      <c r="L8" s="141"/>
      <c r="M8" s="142"/>
      <c r="N8" s="143"/>
      <c r="O8" s="109"/>
      <c r="P8" s="109"/>
      <c r="Q8" s="109"/>
      <c r="R8" s="109"/>
      <c r="S8" s="1"/>
      <c r="T8" s="1"/>
      <c r="U8" s="1"/>
      <c r="V8" s="1"/>
      <c r="W8" s="1"/>
      <c r="X8" s="1"/>
      <c r="Y8" s="1"/>
      <c r="Z8" s="1"/>
      <c r="AA8" s="1"/>
      <c r="AB8" s="1"/>
    </row>
    <row r="9" spans="2:28" ht="39" customHeight="1" x14ac:dyDescent="0.2">
      <c r="C9" s="146"/>
      <c r="D9" s="148"/>
      <c r="E9" s="148"/>
      <c r="F9" s="148"/>
      <c r="G9" s="149"/>
      <c r="H9" s="135"/>
      <c r="I9" s="122">
        <v>0</v>
      </c>
      <c r="J9" s="123" t="s">
        <v>265</v>
      </c>
      <c r="K9" s="117">
        <f>ROUNDUP(I9*$D$30*$D$34,1)</f>
        <v>0</v>
      </c>
      <c r="L9" s="141"/>
      <c r="M9" s="142"/>
      <c r="N9" s="143"/>
      <c r="O9" s="109"/>
      <c r="P9" s="109"/>
      <c r="Q9" s="109"/>
      <c r="R9" s="109"/>
      <c r="S9" s="1"/>
      <c r="T9" s="1"/>
      <c r="U9" s="1"/>
      <c r="V9" s="1"/>
      <c r="W9" s="1"/>
      <c r="X9" s="1"/>
      <c r="Y9" s="1"/>
      <c r="Z9" s="1"/>
      <c r="AA9" s="1"/>
      <c r="AB9" s="1"/>
    </row>
    <row r="10" spans="2:28" ht="39" customHeight="1" thickBot="1" x14ac:dyDescent="0.25">
      <c r="C10" s="147"/>
      <c r="D10" s="150"/>
      <c r="E10" s="150"/>
      <c r="F10" s="150"/>
      <c r="G10" s="151"/>
      <c r="H10" s="103"/>
      <c r="I10" s="69">
        <f>SUM(I5:I8)</f>
        <v>15</v>
      </c>
      <c r="J10" s="118" t="s">
        <v>232</v>
      </c>
      <c r="K10" s="119">
        <f>ROUNDUP(I10*$D$30*$D$34,0)</f>
        <v>0</v>
      </c>
      <c r="L10" s="152" t="s">
        <v>257</v>
      </c>
      <c r="M10" s="153"/>
      <c r="N10" s="154"/>
      <c r="O10" s="109"/>
      <c r="P10" s="109"/>
      <c r="Q10" s="109"/>
      <c r="R10" s="109"/>
      <c r="S10" s="1"/>
      <c r="T10" s="1"/>
      <c r="U10" s="1"/>
      <c r="V10" s="1"/>
      <c r="W10" s="1"/>
      <c r="X10" s="1"/>
      <c r="Y10" s="1"/>
      <c r="Z10" s="1"/>
      <c r="AA10" s="1"/>
      <c r="AB10" s="1"/>
    </row>
    <row r="11" spans="2:28" ht="22" customHeight="1" thickBot="1" x14ac:dyDescent="0.25">
      <c r="B11" s="67"/>
      <c r="C11" s="135"/>
      <c r="D11" s="135"/>
      <c r="E11" s="135"/>
      <c r="F11" s="135"/>
      <c r="G11" s="135"/>
      <c r="H11" s="135"/>
      <c r="I11" s="135"/>
      <c r="J11" s="135"/>
      <c r="K11" s="135"/>
      <c r="L11" s="135"/>
      <c r="M11" s="135"/>
      <c r="N11" s="135"/>
      <c r="O11" s="109"/>
      <c r="P11" s="109"/>
      <c r="Q11" s="109"/>
      <c r="R11" s="109"/>
      <c r="S11" s="1"/>
      <c r="T11" s="1"/>
      <c r="U11" s="1"/>
      <c r="V11" s="1"/>
      <c r="W11" s="1"/>
      <c r="X11" s="1"/>
      <c r="Y11" s="1"/>
      <c r="Z11" s="1"/>
      <c r="AA11" s="1"/>
      <c r="AB11" s="1"/>
    </row>
    <row r="12" spans="2:28" s="19" customFormat="1" ht="40" customHeight="1" x14ac:dyDescent="0.2">
      <c r="C12" s="27" t="s">
        <v>121</v>
      </c>
      <c r="D12" s="28" t="s">
        <v>15</v>
      </c>
      <c r="E12" s="29" t="s">
        <v>118</v>
      </c>
      <c r="F12" s="30" t="s">
        <v>119</v>
      </c>
      <c r="G12" s="31" t="s">
        <v>120</v>
      </c>
      <c r="H12" s="155"/>
      <c r="I12" s="156" t="s">
        <v>261</v>
      </c>
      <c r="J12" s="157"/>
      <c r="K12" s="46" t="s">
        <v>258</v>
      </c>
      <c r="L12" s="158"/>
      <c r="M12" s="158"/>
      <c r="N12" s="158"/>
      <c r="O12" s="109"/>
      <c r="P12" s="109"/>
      <c r="Q12" s="109"/>
      <c r="R12" s="109"/>
    </row>
    <row r="13" spans="2:28" s="20" customFormat="1" ht="47" customHeight="1" x14ac:dyDescent="0.2">
      <c r="C13" s="23" t="s">
        <v>14</v>
      </c>
      <c r="D13" s="121" t="s">
        <v>117</v>
      </c>
      <c r="E13" s="48" t="s">
        <v>177</v>
      </c>
      <c r="F13" s="114" t="s">
        <v>97</v>
      </c>
      <c r="G13" s="48" t="s">
        <v>178</v>
      </c>
      <c r="H13" s="155"/>
      <c r="I13" s="159" t="s">
        <v>225</v>
      </c>
      <c r="J13" s="160"/>
      <c r="K13" s="70">
        <f>I10*$D$33</f>
        <v>16.5</v>
      </c>
      <c r="L13" s="161" t="s">
        <v>275</v>
      </c>
      <c r="M13" s="162"/>
      <c r="N13" s="163"/>
      <c r="O13" s="108"/>
      <c r="P13" s="108"/>
      <c r="Q13" s="108"/>
    </row>
    <row r="14" spans="2:28" s="20" customFormat="1" ht="46" customHeight="1" x14ac:dyDescent="0.2">
      <c r="C14" s="23" t="s">
        <v>23</v>
      </c>
      <c r="D14" s="121"/>
      <c r="E14" s="48"/>
      <c r="F14" s="114"/>
      <c r="G14" s="48"/>
      <c r="H14" s="155"/>
      <c r="I14" s="159" t="s">
        <v>32</v>
      </c>
      <c r="J14" s="160"/>
      <c r="K14" s="70">
        <f>D6*$D$33</f>
        <v>5.5</v>
      </c>
      <c r="L14" s="164" t="s">
        <v>276</v>
      </c>
      <c r="M14" s="165"/>
      <c r="N14" s="166"/>
      <c r="O14" s="108"/>
      <c r="P14" s="108"/>
      <c r="Q14" s="108"/>
    </row>
    <row r="15" spans="2:28" s="20" customFormat="1" ht="46" customHeight="1" x14ac:dyDescent="0.2">
      <c r="C15" s="23" t="s">
        <v>55</v>
      </c>
      <c r="D15" s="121"/>
      <c r="E15" s="48"/>
      <c r="F15" s="114"/>
      <c r="G15" s="48"/>
      <c r="H15" s="155"/>
      <c r="I15" s="167" t="s">
        <v>260</v>
      </c>
      <c r="J15" s="168"/>
      <c r="K15" s="120">
        <f>SUM(K13:K14)</f>
        <v>22</v>
      </c>
      <c r="L15" s="169" t="s">
        <v>251</v>
      </c>
      <c r="M15" s="170"/>
      <c r="N15" s="171"/>
      <c r="O15" s="44"/>
    </row>
    <row r="16" spans="2:28" s="20" customFormat="1" ht="46" customHeight="1" thickBot="1" x14ac:dyDescent="0.25">
      <c r="C16" s="23" t="s">
        <v>59</v>
      </c>
      <c r="D16" s="121"/>
      <c r="E16" s="48"/>
      <c r="F16" s="114"/>
      <c r="G16" s="48"/>
      <c r="H16" s="155"/>
      <c r="I16" s="172" t="s">
        <v>259</v>
      </c>
      <c r="J16" s="173"/>
      <c r="K16" s="72">
        <f>D7</f>
        <v>20</v>
      </c>
      <c r="L16" s="174" t="s">
        <v>277</v>
      </c>
      <c r="M16" s="175"/>
      <c r="N16" s="176"/>
      <c r="O16" s="177" t="s">
        <v>250</v>
      </c>
      <c r="P16" s="177"/>
      <c r="Q16" s="177"/>
      <c r="R16" s="177"/>
    </row>
    <row r="17" spans="2:28" s="20" customFormat="1" ht="47" customHeight="1" x14ac:dyDescent="0.2">
      <c r="C17" s="23" t="s">
        <v>61</v>
      </c>
      <c r="D17" s="121"/>
      <c r="E17" s="48"/>
      <c r="F17" s="114"/>
      <c r="G17" s="48"/>
      <c r="H17" s="155"/>
      <c r="I17" s="178"/>
      <c r="J17" s="178"/>
      <c r="K17" s="178"/>
      <c r="L17" s="71"/>
      <c r="O17" s="44"/>
    </row>
    <row r="18" spans="2:28" s="20" customFormat="1" ht="8" customHeight="1" thickBot="1" x14ac:dyDescent="0.25">
      <c r="C18" s="24"/>
      <c r="D18" s="32"/>
      <c r="E18" s="32"/>
      <c r="F18" s="25"/>
      <c r="G18" s="26"/>
      <c r="H18" s="155"/>
      <c r="I18" s="179"/>
      <c r="J18" s="179"/>
      <c r="K18" s="179"/>
    </row>
    <row r="19" spans="2:28" ht="50" customHeight="1" thickBot="1" x14ac:dyDescent="0.25">
      <c r="C19" s="192"/>
      <c r="D19" s="192"/>
      <c r="E19" s="192"/>
      <c r="F19" s="192"/>
      <c r="G19" s="192"/>
      <c r="H19" s="192"/>
      <c r="I19" s="192"/>
      <c r="J19" s="192"/>
      <c r="K19" s="192"/>
      <c r="L19" s="192"/>
      <c r="M19" s="192"/>
      <c r="N19" s="192"/>
      <c r="O19" s="1"/>
      <c r="P19" s="1"/>
      <c r="Q19" s="1"/>
      <c r="R19" s="1"/>
      <c r="S19" s="1"/>
      <c r="T19" s="1"/>
      <c r="U19" s="1"/>
      <c r="V19" s="1"/>
      <c r="W19" s="1"/>
      <c r="X19" s="1"/>
      <c r="Y19" s="1"/>
      <c r="Z19" s="1"/>
      <c r="AA19" s="1"/>
      <c r="AB19" s="1"/>
    </row>
    <row r="20" spans="2:28" ht="21" customHeight="1" x14ac:dyDescent="0.2">
      <c r="B20" s="33"/>
      <c r="C20" s="34">
        <v>1</v>
      </c>
      <c r="D20" s="34">
        <v>2</v>
      </c>
      <c r="E20" s="34">
        <v>3</v>
      </c>
      <c r="F20" s="34">
        <v>4</v>
      </c>
      <c r="G20" s="34">
        <v>5</v>
      </c>
      <c r="H20" s="34">
        <v>6</v>
      </c>
      <c r="I20" s="34">
        <v>7</v>
      </c>
      <c r="J20" s="34">
        <v>8</v>
      </c>
      <c r="K20" s="34">
        <v>9</v>
      </c>
      <c r="L20" s="34">
        <v>10</v>
      </c>
      <c r="M20" s="34">
        <v>11</v>
      </c>
      <c r="N20" s="35">
        <v>12</v>
      </c>
      <c r="O20" s="155"/>
      <c r="P20" s="1"/>
      <c r="Q20" s="1"/>
      <c r="R20" s="1"/>
      <c r="S20" s="1"/>
      <c r="T20" s="1"/>
      <c r="U20" s="1"/>
      <c r="V20" s="1"/>
      <c r="W20" s="1"/>
      <c r="X20" s="1"/>
      <c r="Y20" s="1"/>
      <c r="Z20" s="1"/>
      <c r="AA20" s="1"/>
      <c r="AB20" s="1"/>
    </row>
    <row r="21" spans="2:28" ht="66" customHeight="1" x14ac:dyDescent="0.2">
      <c r="B21" s="36" t="s">
        <v>24</v>
      </c>
      <c r="C21" s="104"/>
      <c r="D21" s="110"/>
      <c r="E21" s="4"/>
      <c r="F21" s="5"/>
      <c r="G21" s="4"/>
      <c r="H21" s="5"/>
      <c r="I21" s="124"/>
      <c r="J21" s="125"/>
      <c r="K21" s="4"/>
      <c r="L21" s="5"/>
      <c r="M21" s="4"/>
      <c r="N21" s="37"/>
      <c r="O21" s="155"/>
      <c r="P21" s="1"/>
      <c r="Q21" s="1"/>
      <c r="R21" s="1"/>
      <c r="S21" s="1"/>
      <c r="T21" s="1"/>
      <c r="U21" s="1"/>
      <c r="V21" s="1"/>
      <c r="W21" s="1"/>
      <c r="X21" s="1"/>
      <c r="Y21" s="1"/>
      <c r="Z21" s="1"/>
      <c r="AA21" s="1"/>
      <c r="AB21" s="1"/>
    </row>
    <row r="22" spans="2:28" ht="66" customHeight="1" x14ac:dyDescent="0.2">
      <c r="B22" s="36" t="s">
        <v>25</v>
      </c>
      <c r="C22" s="110"/>
      <c r="D22" s="104"/>
      <c r="E22" s="5"/>
      <c r="F22" s="4"/>
      <c r="G22" s="5"/>
      <c r="H22" s="4"/>
      <c r="I22" s="126"/>
      <c r="J22" s="127"/>
      <c r="K22" s="5"/>
      <c r="L22" s="4"/>
      <c r="M22" s="5"/>
      <c r="N22" s="38"/>
      <c r="O22" s="155"/>
      <c r="P22" s="1"/>
      <c r="Q22" s="1"/>
      <c r="R22" s="1"/>
      <c r="S22" s="1"/>
      <c r="T22" s="1"/>
      <c r="U22" s="1"/>
      <c r="V22" s="1"/>
      <c r="W22" s="1"/>
      <c r="X22" s="1"/>
      <c r="Y22" s="1"/>
      <c r="Z22" s="1"/>
      <c r="AA22" s="1"/>
      <c r="AB22" s="1"/>
    </row>
    <row r="23" spans="2:28" ht="66" customHeight="1" x14ac:dyDescent="0.2">
      <c r="B23" s="36" t="s">
        <v>26</v>
      </c>
      <c r="C23" s="104"/>
      <c r="D23" s="110"/>
      <c r="E23" s="4"/>
      <c r="F23" s="5"/>
      <c r="G23" s="4"/>
      <c r="H23" s="5"/>
      <c r="I23" s="128"/>
      <c r="J23" s="129"/>
      <c r="K23" s="4"/>
      <c r="L23" s="5"/>
      <c r="M23" s="4"/>
      <c r="N23" s="37"/>
      <c r="O23" s="155"/>
      <c r="P23" s="1"/>
      <c r="Q23" s="1"/>
      <c r="R23" s="1"/>
      <c r="S23" s="1"/>
      <c r="T23" s="1"/>
      <c r="U23" s="1"/>
      <c r="V23" s="1"/>
      <c r="W23" s="1"/>
      <c r="X23" s="1"/>
      <c r="Y23" s="1"/>
      <c r="Z23" s="1"/>
      <c r="AA23" s="1"/>
      <c r="AB23" s="1"/>
    </row>
    <row r="24" spans="2:28" ht="66" customHeight="1" x14ac:dyDescent="0.2">
      <c r="B24" s="36" t="s">
        <v>27</v>
      </c>
      <c r="C24" s="110"/>
      <c r="D24" s="104"/>
      <c r="E24" s="5"/>
      <c r="F24" s="4"/>
      <c r="G24" s="5"/>
      <c r="H24" s="4"/>
      <c r="I24" s="126"/>
      <c r="J24" s="127"/>
      <c r="K24" s="5"/>
      <c r="L24" s="4"/>
      <c r="M24" s="5"/>
      <c r="N24" s="38"/>
      <c r="O24" s="155"/>
      <c r="P24" s="1"/>
      <c r="Q24" s="1"/>
      <c r="R24" s="1"/>
      <c r="S24" s="1"/>
      <c r="T24" s="1"/>
      <c r="U24" s="1"/>
      <c r="V24" s="1"/>
      <c r="W24" s="1"/>
      <c r="X24" s="1"/>
      <c r="Y24" s="1"/>
      <c r="Z24" s="1"/>
      <c r="AA24" s="1"/>
      <c r="AB24" s="1"/>
    </row>
    <row r="25" spans="2:28" ht="66" customHeight="1" x14ac:dyDescent="0.2">
      <c r="B25" s="36" t="s">
        <v>28</v>
      </c>
      <c r="C25" s="104"/>
      <c r="D25" s="110"/>
      <c r="E25" s="4"/>
      <c r="F25" s="5"/>
      <c r="G25" s="4"/>
      <c r="H25" s="5"/>
      <c r="I25" s="128"/>
      <c r="J25" s="129"/>
      <c r="K25" s="4"/>
      <c r="L25" s="5"/>
      <c r="M25" s="4"/>
      <c r="N25" s="37"/>
      <c r="O25" s="155"/>
      <c r="P25" s="1"/>
      <c r="Q25" s="1"/>
      <c r="R25" s="1"/>
      <c r="S25" s="1"/>
      <c r="T25" s="1"/>
      <c r="U25" s="1"/>
      <c r="V25" s="1"/>
      <c r="W25" s="1"/>
      <c r="X25" s="1"/>
      <c r="Y25" s="1"/>
      <c r="Z25" s="1"/>
      <c r="AA25" s="1"/>
      <c r="AB25" s="1"/>
    </row>
    <row r="26" spans="2:28" ht="66" customHeight="1" x14ac:dyDescent="0.2">
      <c r="B26" s="36" t="s">
        <v>29</v>
      </c>
      <c r="C26" s="110"/>
      <c r="D26" s="104"/>
      <c r="E26" s="5"/>
      <c r="F26" s="4"/>
      <c r="G26" s="5"/>
      <c r="H26" s="4"/>
      <c r="I26" s="5"/>
      <c r="J26" s="4"/>
      <c r="K26" s="5"/>
      <c r="L26" s="4"/>
      <c r="M26" s="5"/>
      <c r="N26" s="38"/>
      <c r="O26" s="155"/>
      <c r="P26" s="1"/>
      <c r="Q26" s="1"/>
      <c r="R26" s="1"/>
      <c r="S26" s="1"/>
      <c r="T26" s="1"/>
      <c r="U26" s="1"/>
      <c r="V26" s="1"/>
      <c r="W26" s="1"/>
      <c r="X26" s="1"/>
      <c r="Y26" s="1"/>
      <c r="Z26" s="1"/>
      <c r="AA26" s="1"/>
      <c r="AB26" s="1"/>
    </row>
    <row r="27" spans="2:28" ht="66" customHeight="1" x14ac:dyDescent="0.2">
      <c r="B27" s="36" t="s">
        <v>30</v>
      </c>
      <c r="C27" s="104"/>
      <c r="D27" s="110"/>
      <c r="E27" s="4"/>
      <c r="F27" s="5"/>
      <c r="G27" s="4"/>
      <c r="H27" s="5"/>
      <c r="I27" s="4"/>
      <c r="J27" s="5"/>
      <c r="K27" s="4"/>
      <c r="L27" s="5"/>
      <c r="M27" s="4"/>
      <c r="N27" s="37"/>
      <c r="O27" s="155"/>
      <c r="P27" s="1"/>
      <c r="Q27" s="1"/>
      <c r="R27" s="1"/>
      <c r="S27" s="1"/>
      <c r="T27" s="1"/>
      <c r="U27" s="1"/>
      <c r="V27" s="1"/>
      <c r="W27" s="1"/>
      <c r="X27" s="1"/>
      <c r="Y27" s="1"/>
      <c r="Z27" s="1"/>
      <c r="AA27" s="1"/>
      <c r="AB27" s="1"/>
    </row>
    <row r="28" spans="2:28" ht="66" customHeight="1" thickBot="1" x14ac:dyDescent="0.25">
      <c r="B28" s="39" t="s">
        <v>31</v>
      </c>
      <c r="C28" s="111"/>
      <c r="D28" s="106"/>
      <c r="E28" s="40"/>
      <c r="F28" s="41"/>
      <c r="G28" s="40"/>
      <c r="H28" s="41"/>
      <c r="I28" s="40"/>
      <c r="J28" s="41"/>
      <c r="K28" s="40"/>
      <c r="L28" s="41"/>
      <c r="M28" s="40"/>
      <c r="N28" s="42"/>
      <c r="O28" s="155"/>
      <c r="P28" s="1"/>
      <c r="Q28" s="1"/>
      <c r="R28" s="1"/>
      <c r="S28" s="1"/>
      <c r="T28" s="1"/>
      <c r="U28" s="1"/>
      <c r="V28" s="1"/>
      <c r="W28" s="1"/>
      <c r="X28" s="1"/>
      <c r="Y28" s="1"/>
      <c r="Z28" s="1"/>
      <c r="AA28" s="1"/>
      <c r="AB28" s="1"/>
    </row>
    <row r="29" spans="2:28" ht="21" customHeight="1" thickBot="1" x14ac:dyDescent="0.25">
      <c r="C29" s="135"/>
      <c r="D29" s="135"/>
      <c r="E29" s="135"/>
      <c r="F29" s="135"/>
      <c r="G29" s="135"/>
      <c r="H29" s="135"/>
      <c r="I29" s="135"/>
      <c r="J29" s="135"/>
      <c r="K29" s="135"/>
      <c r="L29" s="135"/>
      <c r="M29" s="135"/>
      <c r="N29" s="135"/>
      <c r="O29" s="135"/>
      <c r="P29" s="1"/>
      <c r="Q29" s="1"/>
      <c r="R29" s="1"/>
      <c r="S29" s="1"/>
      <c r="T29" s="1"/>
      <c r="U29" s="1"/>
      <c r="V29" s="1"/>
      <c r="W29" s="1"/>
      <c r="X29" s="1"/>
      <c r="Y29" s="1"/>
      <c r="Z29" s="1"/>
      <c r="AA29" s="1"/>
      <c r="AB29" s="1"/>
    </row>
    <row r="30" spans="2:28" ht="25" customHeight="1" x14ac:dyDescent="0.2">
      <c r="C30" s="187" t="s">
        <v>278</v>
      </c>
      <c r="D30" s="189">
        <f>COUNTIF(C21:N28,"&lt;&gt;"&amp;"")</f>
        <v>0</v>
      </c>
      <c r="E30" s="181" t="s">
        <v>235</v>
      </c>
      <c r="F30" s="183" t="s">
        <v>249</v>
      </c>
      <c r="G30" s="183"/>
      <c r="H30" s="184"/>
      <c r="I30" s="1"/>
      <c r="J30" s="1"/>
      <c r="K30" s="1"/>
      <c r="L30" s="1"/>
      <c r="M30" s="1"/>
      <c r="N30" s="1"/>
      <c r="O30" s="1"/>
      <c r="P30" s="1"/>
      <c r="Q30" s="1"/>
      <c r="R30" s="1"/>
      <c r="S30" s="1"/>
      <c r="T30" s="1"/>
      <c r="U30" s="1"/>
      <c r="V30" s="1"/>
      <c r="W30" s="1"/>
      <c r="X30" s="1"/>
      <c r="Y30" s="1"/>
      <c r="Z30" s="1"/>
      <c r="AA30" s="1"/>
      <c r="AB30" s="1"/>
    </row>
    <row r="31" spans="2:28" ht="25" customHeight="1" thickBot="1" x14ac:dyDescent="0.25">
      <c r="C31" s="188"/>
      <c r="D31" s="190"/>
      <c r="E31" s="191"/>
      <c r="F31" s="185"/>
      <c r="G31" s="185"/>
      <c r="H31" s="186"/>
      <c r="I31" s="1"/>
      <c r="J31" s="1"/>
      <c r="K31" s="1"/>
      <c r="L31" s="1"/>
      <c r="M31" s="1"/>
      <c r="N31" s="1"/>
      <c r="O31" s="1"/>
      <c r="P31" s="1"/>
      <c r="Q31" s="1"/>
      <c r="R31" s="1"/>
      <c r="S31" s="1"/>
      <c r="T31" s="1"/>
      <c r="U31" s="1"/>
      <c r="V31" s="1"/>
      <c r="W31" s="1"/>
      <c r="X31" s="1"/>
      <c r="Y31" s="1"/>
      <c r="Z31" s="1"/>
      <c r="AA31" s="1"/>
      <c r="AB31" s="1"/>
    </row>
    <row r="32" spans="2:28" ht="21" customHeight="1" thickBot="1" x14ac:dyDescent="0.25">
      <c r="C32" s="180"/>
      <c r="D32" s="180"/>
      <c r="E32" s="180"/>
      <c r="F32" s="180"/>
      <c r="G32" s="180"/>
      <c r="H32" s="180"/>
      <c r="I32" s="1"/>
      <c r="J32" s="1"/>
      <c r="K32" s="1"/>
      <c r="L32" s="1"/>
      <c r="M32" s="1"/>
      <c r="N32" s="1"/>
      <c r="O32" s="1"/>
      <c r="P32" s="1"/>
      <c r="Q32" s="1"/>
      <c r="R32" s="1"/>
      <c r="S32" s="1"/>
      <c r="T32" s="1"/>
      <c r="U32" s="1"/>
      <c r="V32" s="1"/>
      <c r="W32" s="1"/>
      <c r="X32" s="1"/>
      <c r="Y32" s="1"/>
      <c r="Z32" s="1"/>
      <c r="AA32" s="1"/>
      <c r="AB32" s="1"/>
    </row>
    <row r="33" spans="3:28" ht="31" customHeight="1" x14ac:dyDescent="0.2">
      <c r="C33" s="63" t="s">
        <v>237</v>
      </c>
      <c r="D33" s="64">
        <v>1.1000000000000001</v>
      </c>
      <c r="E33" s="181" t="s">
        <v>235</v>
      </c>
      <c r="F33" s="183" t="s">
        <v>236</v>
      </c>
      <c r="G33" s="183"/>
      <c r="H33" s="184"/>
      <c r="I33" s="1"/>
      <c r="J33" s="1"/>
      <c r="K33" s="1"/>
      <c r="L33" s="1"/>
      <c r="M33" s="1"/>
      <c r="N33" s="1"/>
      <c r="O33" s="1"/>
      <c r="P33" s="1"/>
      <c r="Q33" s="1"/>
      <c r="R33" s="1"/>
      <c r="S33" s="1"/>
      <c r="T33" s="1"/>
      <c r="U33" s="1"/>
      <c r="V33" s="1"/>
      <c r="W33" s="1"/>
      <c r="X33" s="1"/>
      <c r="Y33" s="1"/>
      <c r="Z33" s="1"/>
      <c r="AA33" s="1"/>
      <c r="AB33" s="1"/>
    </row>
    <row r="34" spans="3:28" ht="31" customHeight="1" thickBot="1" x14ac:dyDescent="0.25">
      <c r="C34" s="65" t="s">
        <v>238</v>
      </c>
      <c r="D34" s="66">
        <v>1.1499999999999999</v>
      </c>
      <c r="E34" s="182"/>
      <c r="F34" s="185"/>
      <c r="G34" s="185"/>
      <c r="H34" s="186"/>
      <c r="I34" s="1"/>
      <c r="J34" s="1"/>
      <c r="K34" s="1"/>
      <c r="L34" s="1"/>
      <c r="M34" s="1"/>
      <c r="N34" s="1"/>
      <c r="O34" s="1"/>
      <c r="P34" s="1"/>
      <c r="Q34" s="1"/>
      <c r="R34" s="1"/>
      <c r="S34" s="1"/>
      <c r="T34" s="1"/>
      <c r="U34" s="1"/>
      <c r="V34" s="1"/>
      <c r="W34" s="1"/>
      <c r="X34" s="1"/>
      <c r="Y34" s="1"/>
      <c r="Z34" s="1"/>
      <c r="AA34" s="1"/>
      <c r="AB34" s="1"/>
    </row>
    <row r="35" spans="3:28" ht="21" customHeight="1" x14ac:dyDescent="0.2">
      <c r="D35" s="1"/>
      <c r="E35" s="1"/>
      <c r="F35" s="1"/>
      <c r="G35" s="1"/>
      <c r="H35" s="1"/>
      <c r="I35" s="1"/>
      <c r="J35" s="1"/>
      <c r="K35" s="1"/>
      <c r="L35" s="1"/>
      <c r="M35" s="1"/>
      <c r="N35" s="1"/>
      <c r="O35" s="1"/>
      <c r="P35" s="1"/>
      <c r="Q35" s="1"/>
      <c r="R35" s="1"/>
      <c r="S35" s="1"/>
      <c r="T35" s="1"/>
      <c r="U35" s="1"/>
      <c r="V35" s="1"/>
      <c r="W35" s="1"/>
      <c r="X35" s="1"/>
      <c r="Y35" s="1"/>
      <c r="Z35" s="1"/>
      <c r="AA35" s="1"/>
      <c r="AB35" s="1"/>
    </row>
    <row r="36" spans="3:28" ht="21" customHeight="1" x14ac:dyDescent="0.2">
      <c r="D36" s="1"/>
      <c r="E36" s="1"/>
      <c r="F36" s="1"/>
      <c r="G36" s="1"/>
      <c r="H36" s="1"/>
      <c r="I36" s="1"/>
      <c r="J36" s="1"/>
      <c r="K36" s="1"/>
      <c r="L36" s="1"/>
      <c r="M36" s="1"/>
      <c r="N36" s="1"/>
      <c r="O36" s="1"/>
      <c r="P36" s="1"/>
      <c r="Q36" s="1"/>
      <c r="R36" s="1"/>
      <c r="S36" s="1"/>
      <c r="T36" s="1"/>
      <c r="U36" s="1"/>
      <c r="V36" s="1"/>
      <c r="W36" s="1"/>
      <c r="X36" s="1"/>
      <c r="Y36" s="1"/>
      <c r="Z36" s="1"/>
      <c r="AA36" s="1"/>
      <c r="AB36" s="1"/>
    </row>
    <row r="37" spans="3:28" ht="21" customHeight="1" x14ac:dyDescent="0.2">
      <c r="D37" s="1"/>
      <c r="E37" s="1"/>
      <c r="F37" s="1"/>
      <c r="G37" s="1"/>
      <c r="H37" s="1"/>
      <c r="I37" s="1"/>
      <c r="J37" s="1"/>
      <c r="K37" s="1"/>
      <c r="L37" s="1"/>
      <c r="M37" s="1"/>
      <c r="N37" s="1"/>
      <c r="O37" s="1"/>
      <c r="P37" s="1"/>
      <c r="Q37" s="1"/>
      <c r="R37" s="1"/>
      <c r="S37" s="1"/>
      <c r="T37" s="1"/>
      <c r="U37" s="1"/>
      <c r="V37" s="1"/>
      <c r="W37" s="1"/>
      <c r="X37" s="1"/>
      <c r="Y37" s="1"/>
      <c r="Z37" s="1"/>
      <c r="AA37" s="1"/>
      <c r="AB37" s="1"/>
    </row>
    <row r="38" spans="3:28" ht="21" customHeight="1" x14ac:dyDescent="0.2">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3:28" ht="21" customHeight="1" x14ac:dyDescent="0.2">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3:28" ht="21" customHeight="1" x14ac:dyDescent="0.2">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3:28" ht="21" customHeight="1" x14ac:dyDescent="0.2">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3:28" ht="21" customHeight="1" x14ac:dyDescent="0.2">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3:28" ht="21" customHeight="1" x14ac:dyDescent="0.2">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3:28" ht="21" customHeight="1" x14ac:dyDescent="0.2">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3:28" ht="21" customHeight="1" x14ac:dyDescent="0.2">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3:28" ht="21" customHeight="1" x14ac:dyDescent="0.2">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3:28" ht="21" customHeight="1" x14ac:dyDescent="0.2">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3:28" ht="21" customHeight="1" x14ac:dyDescent="0.2">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3:28" ht="21" customHeight="1" x14ac:dyDescent="0.2">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3:28" ht="21" customHeight="1" x14ac:dyDescent="0.2">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3:28" ht="21" customHeight="1" x14ac:dyDescent="0.2">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3:28" ht="21" customHeight="1" x14ac:dyDescent="0.2">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3:28" ht="21" customHeight="1" x14ac:dyDescent="0.2">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3:28" ht="21" customHeight="1" x14ac:dyDescent="0.2">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3:28" ht="21" customHeight="1" x14ac:dyDescent="0.2">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3:28" ht="21" customHeight="1" x14ac:dyDescent="0.2">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3:28" ht="21" customHeight="1" x14ac:dyDescent="0.2">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3:28" ht="21" customHeight="1" x14ac:dyDescent="0.2">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3:28" ht="21" customHeight="1" x14ac:dyDescent="0.2">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3:28" ht="21" customHeight="1" x14ac:dyDescent="0.2">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3:28" ht="21" customHeight="1" x14ac:dyDescent="0.2">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3:28" ht="21" customHeight="1" x14ac:dyDescent="0.2">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3:28" ht="21" customHeight="1" x14ac:dyDescent="0.2">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3:28" ht="21" customHeight="1" x14ac:dyDescent="0.2">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3:28" ht="21" customHeight="1" x14ac:dyDescent="0.2">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3:28" ht="21" customHeight="1" x14ac:dyDescent="0.2">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3:28" ht="21" customHeight="1" x14ac:dyDescent="0.2">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3:28" ht="21" customHeight="1" x14ac:dyDescent="0.2">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3:28" ht="21" customHeight="1" x14ac:dyDescent="0.2">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3:28" ht="21" customHeight="1" x14ac:dyDescent="0.2">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3:28" ht="21" customHeight="1" x14ac:dyDescent="0.2">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3:28" ht="21" customHeight="1" x14ac:dyDescent="0.2">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3:28" ht="21" customHeight="1" x14ac:dyDescent="0.2">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3:28" ht="21" customHeight="1" x14ac:dyDescent="0.2">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3:28" ht="21" customHeight="1" x14ac:dyDescent="0.2">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3:28" ht="21" customHeight="1" x14ac:dyDescent="0.2">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3:28" ht="21" customHeight="1" x14ac:dyDescent="0.2">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3:28" ht="21" customHeight="1" x14ac:dyDescent="0.2">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3:28" ht="21" customHeight="1" x14ac:dyDescent="0.2">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3:28" ht="21" customHeight="1" x14ac:dyDescent="0.2">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3:28" ht="21" customHeight="1" x14ac:dyDescent="0.2">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3:28" ht="21" customHeight="1" x14ac:dyDescent="0.2">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3:28" ht="21" customHeight="1" x14ac:dyDescent="0.2">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3:28" ht="21" customHeight="1" x14ac:dyDescent="0.2">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3:28" ht="21" customHeight="1" x14ac:dyDescent="0.2">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3:28" ht="21" customHeight="1" x14ac:dyDescent="0.2">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3:28" ht="21" customHeight="1" x14ac:dyDescent="0.2">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3:28" ht="21" customHeight="1" x14ac:dyDescent="0.2">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3:28" ht="21" customHeight="1" x14ac:dyDescent="0.2">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3:28" ht="21" customHeight="1" x14ac:dyDescent="0.2">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3:28" ht="21" customHeight="1" x14ac:dyDescent="0.2">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3:28" ht="21" customHeight="1" x14ac:dyDescent="0.2">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3:28" ht="21" customHeight="1" x14ac:dyDescent="0.2">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3:28" ht="21" customHeight="1" x14ac:dyDescent="0.2">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3:28" ht="21" customHeight="1" x14ac:dyDescent="0.2">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3:28" ht="21" customHeight="1" x14ac:dyDescent="0.2">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3:28" ht="21" customHeight="1" x14ac:dyDescent="0.2">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3:28" ht="21" customHeight="1" x14ac:dyDescent="0.2">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3:28" ht="21" customHeight="1" x14ac:dyDescent="0.2">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3:28" ht="21" customHeight="1" x14ac:dyDescent="0.2">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3:28" ht="21" customHeight="1" x14ac:dyDescent="0.2">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3:28" ht="21" customHeight="1" x14ac:dyDescent="0.2">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3:28" ht="21" customHeight="1" x14ac:dyDescent="0.2">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3:28" ht="21" customHeight="1" x14ac:dyDescent="0.2">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3:28" ht="21" customHeight="1" x14ac:dyDescent="0.2">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3:28" ht="21" customHeight="1" x14ac:dyDescent="0.2">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3:28" ht="21" customHeight="1" x14ac:dyDescent="0.2">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3:28" ht="21" customHeight="1" x14ac:dyDescent="0.2">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3:28" ht="21" customHeight="1" x14ac:dyDescent="0.2">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3:28" ht="21" customHeight="1" x14ac:dyDescent="0.2">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3:28" ht="21" customHeight="1" x14ac:dyDescent="0.2">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3:28" ht="21" customHeight="1" x14ac:dyDescent="0.2">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3:28" ht="21" customHeight="1" x14ac:dyDescent="0.2">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3:28" ht="21" customHeight="1" x14ac:dyDescent="0.2">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3:28" ht="21" customHeight="1" x14ac:dyDescent="0.2">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3:28" ht="21" customHeight="1" x14ac:dyDescent="0.2">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3:28" ht="21" customHeight="1" x14ac:dyDescent="0.2">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3:28" ht="21" customHeight="1" x14ac:dyDescent="0.2">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3:28" ht="21" customHeight="1" x14ac:dyDescent="0.2">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3:28" ht="21" customHeight="1" x14ac:dyDescent="0.2">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3:28" ht="21" customHeight="1" x14ac:dyDescent="0.2">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3:28" ht="21" customHeight="1" x14ac:dyDescent="0.2">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3:28" ht="21" customHeight="1" x14ac:dyDescent="0.2">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3:28" ht="21" customHeight="1" x14ac:dyDescent="0.2">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3:28" ht="21" customHeight="1" x14ac:dyDescent="0.2">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3:28" ht="21" customHeight="1" x14ac:dyDescent="0.2">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3:28" ht="21" customHeight="1" x14ac:dyDescent="0.2">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3:28" ht="21" customHeight="1" x14ac:dyDescent="0.2">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3:28" ht="21" customHeight="1" x14ac:dyDescent="0.2">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3:28" ht="21" customHeight="1" x14ac:dyDescent="0.2">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3:28" ht="21" customHeight="1" x14ac:dyDescent="0.2">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3:28" ht="21" customHeight="1" x14ac:dyDescent="0.2">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3:28" ht="21" customHeight="1" x14ac:dyDescent="0.2">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3:28" ht="21" customHeight="1" x14ac:dyDescent="0.2">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3:28" ht="21" customHeight="1" x14ac:dyDescent="0.2">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3:28" ht="21" customHeight="1" x14ac:dyDescent="0.2">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3:28" ht="21" customHeight="1" x14ac:dyDescent="0.2">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3:28" ht="21" customHeight="1" x14ac:dyDescent="0.2">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3:28" ht="21" customHeight="1" x14ac:dyDescent="0.2">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3:28" ht="21" customHeight="1" x14ac:dyDescent="0.2">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3:28" ht="21" customHeight="1" x14ac:dyDescent="0.2">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3:28" ht="21" customHeight="1" x14ac:dyDescent="0.2">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3:28" ht="21" customHeight="1" x14ac:dyDescent="0.2">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3:28" ht="21" customHeight="1" x14ac:dyDescent="0.2">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3:28" ht="21" customHeight="1" x14ac:dyDescent="0.2">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3:28" ht="21" customHeight="1" x14ac:dyDescent="0.2">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3:28" ht="21" customHeight="1" x14ac:dyDescent="0.2">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3:28" ht="21" customHeight="1" x14ac:dyDescent="0.2">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3:28" ht="21" customHeight="1" x14ac:dyDescent="0.2">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3:28" ht="21" customHeight="1" x14ac:dyDescent="0.2">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3:28" ht="21" customHeight="1" x14ac:dyDescent="0.2">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3:28" ht="21" customHeight="1" x14ac:dyDescent="0.2">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3:28" ht="21" customHeight="1" x14ac:dyDescent="0.2">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3:28" ht="21" customHeight="1" x14ac:dyDescent="0.2">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3:28" ht="21" customHeight="1" x14ac:dyDescent="0.2">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3:28" ht="21" customHeight="1" x14ac:dyDescent="0.2">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3:28" ht="21" customHeight="1" x14ac:dyDescent="0.2">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3:28" ht="21" customHeight="1" x14ac:dyDescent="0.2">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3:28" ht="21" customHeight="1" x14ac:dyDescent="0.2">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3:28" ht="21" customHeight="1" x14ac:dyDescent="0.2">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3:28" ht="21" customHeight="1" x14ac:dyDescent="0.2">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3:28" ht="21" customHeight="1" x14ac:dyDescent="0.2">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3:28" ht="21" customHeight="1" x14ac:dyDescent="0.2">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3:28" ht="21" customHeight="1" x14ac:dyDescent="0.2">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3:28" ht="21" customHeight="1" x14ac:dyDescent="0.2">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3:28" ht="21" customHeight="1" x14ac:dyDescent="0.2">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3:28" ht="21" customHeight="1" x14ac:dyDescent="0.2">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3:28" ht="21" customHeight="1" x14ac:dyDescent="0.2">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3:28" ht="21" customHeight="1" x14ac:dyDescent="0.2">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3:28" ht="21" customHeight="1" x14ac:dyDescent="0.2">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3:28" ht="21" customHeight="1" x14ac:dyDescent="0.2">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3:28" ht="21" customHeight="1" x14ac:dyDescent="0.2">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3:28" ht="21" customHeight="1" x14ac:dyDescent="0.2">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3:28" ht="15.75" customHeight="1" x14ac:dyDescent="0.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spans="3:28" ht="15.75" customHeight="1" x14ac:dyDescent="0.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spans="3:28" ht="15.75" customHeight="1" x14ac:dyDescent="0.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spans="3:28" ht="15.75" customHeight="1" x14ac:dyDescent="0.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spans="3:28" ht="15.75" customHeight="1" x14ac:dyDescent="0.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spans="3:28" ht="15.75" customHeight="1" x14ac:dyDescent="0.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spans="3:28" ht="15.75" customHeight="1" x14ac:dyDescent="0.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spans="3:28" ht="15.75" customHeight="1" x14ac:dyDescent="0.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spans="3:28" ht="15.75" customHeight="1" x14ac:dyDescent="0.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spans="3:28" ht="15.75" customHeight="1" x14ac:dyDescent="0.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spans="3:28" ht="15.75" customHeight="1" x14ac:dyDescent="0.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spans="3:28" ht="15.75" customHeight="1" x14ac:dyDescent="0.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spans="3:28" ht="15.75" customHeight="1" x14ac:dyDescent="0.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spans="3:28" ht="15.75" customHeight="1" x14ac:dyDescent="0.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spans="3:28" ht="15.75" customHeight="1" x14ac:dyDescent="0.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spans="3:28" ht="15.75" customHeight="1" x14ac:dyDescent="0.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spans="3:28" ht="15.75" customHeight="1" x14ac:dyDescent="0.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spans="3:28" ht="15.75" customHeight="1" x14ac:dyDescent="0.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spans="3:28" ht="15.75" customHeight="1" x14ac:dyDescent="0.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spans="3:28" ht="15.75" customHeight="1" x14ac:dyDescent="0.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spans="3:28" ht="15.75" customHeight="1" x14ac:dyDescent="0.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spans="3:28" ht="15.75" customHeight="1" x14ac:dyDescent="0.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spans="3:28" ht="15.75" customHeight="1" x14ac:dyDescent="0.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spans="3:28" ht="15.75" customHeight="1" x14ac:dyDescent="0.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spans="3:28" ht="15.75" customHeight="1" x14ac:dyDescent="0.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spans="3:28" ht="15.75" customHeight="1" x14ac:dyDescent="0.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spans="3:28" ht="15.75" customHeight="1" x14ac:dyDescent="0.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spans="3:28" ht="15.75" customHeight="1" x14ac:dyDescent="0.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spans="3:28" ht="15.75" customHeight="1" x14ac:dyDescent="0.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spans="3:28" ht="15.75" customHeight="1" x14ac:dyDescent="0.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spans="3:28" ht="15.75" customHeight="1" x14ac:dyDescent="0.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spans="3:28" ht="15.75" customHeight="1" x14ac:dyDescent="0.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spans="3:28" ht="15.75" customHeight="1" x14ac:dyDescent="0.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spans="3:28" ht="15.75" customHeight="1" x14ac:dyDescent="0.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spans="3:28" ht="15.75" customHeight="1" x14ac:dyDescent="0.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spans="3:28" ht="15.75" customHeight="1" x14ac:dyDescent="0.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spans="3:28" ht="15.75" customHeight="1" x14ac:dyDescent="0.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spans="3:28" ht="15.75" customHeight="1" x14ac:dyDescent="0.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spans="3:28" ht="15.75" customHeight="1" x14ac:dyDescent="0.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spans="3:28" ht="15.75" customHeight="1" x14ac:dyDescent="0.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spans="3:28" ht="15.75" customHeight="1" x14ac:dyDescent="0.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spans="3:28" ht="15.75" customHeight="1" x14ac:dyDescent="0.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spans="3:28" ht="15.75" customHeight="1" x14ac:dyDescent="0.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spans="3:28" ht="15.75" customHeight="1" x14ac:dyDescent="0.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spans="3:28" ht="15.75" customHeight="1" x14ac:dyDescent="0.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spans="3:28" ht="15.75" customHeight="1" x14ac:dyDescent="0.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spans="3:28" ht="15.75" customHeight="1" x14ac:dyDescent="0.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spans="3:28" ht="15.75" customHeight="1" x14ac:dyDescent="0.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spans="3:28" ht="15.75" customHeight="1" x14ac:dyDescent="0.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spans="3:28" ht="15.75" customHeight="1" x14ac:dyDescent="0.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spans="3:28" ht="15.75" customHeight="1" x14ac:dyDescent="0.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spans="3:28" ht="15.75" customHeight="1" x14ac:dyDescent="0.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spans="3:28" ht="15.75" customHeight="1" x14ac:dyDescent="0.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spans="3:28" ht="15.75" customHeight="1" x14ac:dyDescent="0.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spans="3:28" ht="15.75" customHeight="1" x14ac:dyDescent="0.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spans="3:28" ht="15.75" customHeight="1" x14ac:dyDescent="0.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spans="3:28" ht="15.75" customHeight="1" x14ac:dyDescent="0.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spans="3:28" ht="15.75" customHeight="1" x14ac:dyDescent="0.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spans="3:28" ht="15.75" customHeight="1" x14ac:dyDescent="0.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spans="3:28" ht="15.75" customHeight="1" x14ac:dyDescent="0.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spans="3:28" ht="15.75" customHeight="1" x14ac:dyDescent="0.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spans="3:28" ht="15.75" customHeight="1" x14ac:dyDescent="0.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spans="3:28" ht="15.75" customHeight="1" x14ac:dyDescent="0.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spans="3:28" ht="15.75" customHeight="1" x14ac:dyDescent="0.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spans="3:28" ht="15.75" customHeight="1" x14ac:dyDescent="0.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spans="3:28" ht="15.75" customHeight="1" x14ac:dyDescent="0.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spans="3:28" ht="15.75" customHeight="1" x14ac:dyDescent="0.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spans="3:28" ht="15.75" customHeight="1" x14ac:dyDescent="0.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spans="3:28" ht="15.75" customHeight="1" x14ac:dyDescent="0.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spans="3:28" ht="15.75" customHeight="1" x14ac:dyDescent="0.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spans="3:28" ht="15.75" customHeight="1" x14ac:dyDescent="0.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spans="3:28" ht="15.75" customHeight="1" x14ac:dyDescent="0.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spans="3:28" ht="15.75" customHeight="1" x14ac:dyDescent="0.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spans="3:28" ht="15.75" customHeight="1" x14ac:dyDescent="0.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spans="3:28" ht="15.75" customHeight="1" x14ac:dyDescent="0.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spans="3:28" ht="15.75" customHeight="1" x14ac:dyDescent="0.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spans="3:28" ht="15.75" customHeight="1" x14ac:dyDescent="0.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spans="3:28" ht="15.75" customHeight="1" x14ac:dyDescent="0.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spans="3:28" ht="15.75" customHeight="1" x14ac:dyDescent="0.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spans="3:28" ht="15.75" customHeight="1" x14ac:dyDescent="0.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spans="3:28" ht="15.75" customHeight="1" x14ac:dyDescent="0.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spans="3:28" ht="15.75" customHeight="1" x14ac:dyDescent="0.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spans="3:28" ht="15.75" customHeight="1" x14ac:dyDescent="0.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spans="3:28" ht="15.75" customHeight="1" x14ac:dyDescent="0.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spans="3:28" ht="15.75" customHeight="1" x14ac:dyDescent="0.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spans="3:28" ht="15.75" customHeight="1" x14ac:dyDescent="0.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spans="3:28" ht="15.75" customHeight="1" x14ac:dyDescent="0.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spans="3:28" ht="15.75" customHeight="1" x14ac:dyDescent="0.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spans="3:28" ht="15.75" customHeight="1" x14ac:dyDescent="0.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spans="3:28" ht="15.75" customHeight="1" x14ac:dyDescent="0.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spans="3:28" ht="15.75" customHeight="1" x14ac:dyDescent="0.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spans="3:28" ht="15.75" customHeight="1" x14ac:dyDescent="0.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spans="3:28" ht="15.75" customHeight="1" x14ac:dyDescent="0.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spans="3:28" ht="15.75" customHeight="1" x14ac:dyDescent="0.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spans="3:28" ht="15.75" customHeight="1" x14ac:dyDescent="0.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spans="3:28" ht="15.75" customHeight="1" x14ac:dyDescent="0.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spans="3:28" ht="15.75" customHeight="1" x14ac:dyDescent="0.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spans="3:28" ht="15.75" customHeight="1" x14ac:dyDescent="0.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spans="3:28" ht="15.75" customHeight="1" x14ac:dyDescent="0.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spans="3:28" ht="15.75" customHeight="1" x14ac:dyDescent="0.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spans="3:28" ht="15.75" customHeight="1" x14ac:dyDescent="0.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spans="3:28" ht="15.75" customHeight="1" x14ac:dyDescent="0.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spans="3:28" ht="15.75" customHeight="1" x14ac:dyDescent="0.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spans="3:28" ht="15.75" customHeight="1" x14ac:dyDescent="0.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spans="3:28" ht="15.75" customHeight="1" x14ac:dyDescent="0.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spans="3:28" ht="15.75" customHeight="1" x14ac:dyDescent="0.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spans="3:28" ht="15.75" customHeight="1" x14ac:dyDescent="0.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spans="3:28" ht="15.75" customHeight="1" x14ac:dyDescent="0.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spans="3:28" ht="15.75" customHeight="1" x14ac:dyDescent="0.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spans="3:28" ht="15.75" customHeight="1" x14ac:dyDescent="0.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spans="3:28" ht="15.75" customHeight="1" x14ac:dyDescent="0.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spans="3:28" ht="15.75" customHeight="1" x14ac:dyDescent="0.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spans="3:28" ht="15.75" customHeight="1" x14ac:dyDescent="0.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spans="3:28" ht="15.75" customHeight="1" x14ac:dyDescent="0.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spans="3:28" ht="15.75" customHeight="1" x14ac:dyDescent="0.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spans="3:28" ht="15.75" customHeight="1" x14ac:dyDescent="0.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spans="3:28" ht="15.75" customHeight="1" x14ac:dyDescent="0.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spans="3:28" ht="15.75" customHeight="1" x14ac:dyDescent="0.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spans="3:28" ht="15.75" customHeight="1" x14ac:dyDescent="0.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spans="3:28" ht="15.75" customHeight="1" x14ac:dyDescent="0.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spans="3:28" ht="15.75" customHeight="1" x14ac:dyDescent="0.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spans="3:28" ht="15.75" customHeight="1" x14ac:dyDescent="0.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spans="3:28" ht="15.75" customHeight="1" x14ac:dyDescent="0.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spans="3:28" ht="15.75" customHeight="1" x14ac:dyDescent="0.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spans="3:28" ht="15.75" customHeight="1" x14ac:dyDescent="0.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spans="3:28" ht="15.75" customHeight="1" x14ac:dyDescent="0.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spans="3:28" ht="15.75" customHeight="1" x14ac:dyDescent="0.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spans="3:28" ht="15.75" customHeight="1" x14ac:dyDescent="0.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spans="3:28" ht="15.75" customHeight="1" x14ac:dyDescent="0.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spans="3:28" ht="15.75" customHeight="1" x14ac:dyDescent="0.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spans="3:28" ht="15.75" customHeight="1" x14ac:dyDescent="0.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spans="3:28" ht="15.75" customHeight="1" x14ac:dyDescent="0.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spans="3:28" ht="15.75" customHeight="1" x14ac:dyDescent="0.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spans="3:28" ht="15.75" customHeight="1" x14ac:dyDescent="0.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spans="3:28" ht="15.75" customHeight="1" x14ac:dyDescent="0.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spans="3:28" ht="15.75" customHeight="1" x14ac:dyDescent="0.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spans="3:28" ht="15.75" customHeight="1" x14ac:dyDescent="0.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spans="3:28" ht="15.75" customHeight="1" x14ac:dyDescent="0.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spans="3:28" ht="15.75" customHeight="1" x14ac:dyDescent="0.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spans="3:28" ht="15.75" customHeight="1" x14ac:dyDescent="0.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spans="3:28" ht="15.75" customHeight="1" x14ac:dyDescent="0.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spans="3:28" ht="15.75" customHeight="1" x14ac:dyDescent="0.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spans="3:28" ht="15.75" customHeight="1" x14ac:dyDescent="0.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spans="3:28" ht="15.75" customHeight="1" x14ac:dyDescent="0.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spans="3:28" ht="15.75" customHeight="1" x14ac:dyDescent="0.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spans="3:28" ht="15.75" customHeight="1" x14ac:dyDescent="0.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spans="3:28" ht="15.75" customHeight="1" x14ac:dyDescent="0.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spans="3:28" ht="15.75" customHeight="1" x14ac:dyDescent="0.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spans="3:28" ht="15.75" customHeight="1" x14ac:dyDescent="0.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spans="3:28" ht="15.75" customHeight="1" x14ac:dyDescent="0.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spans="3:28" ht="15.75" customHeight="1" x14ac:dyDescent="0.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spans="3:28" ht="15.75" customHeight="1" x14ac:dyDescent="0.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spans="3:28" ht="15.75" customHeight="1" x14ac:dyDescent="0.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spans="3:28" ht="15.75" customHeight="1" x14ac:dyDescent="0.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spans="3:28" ht="15.75" customHeight="1" x14ac:dyDescent="0.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spans="3:28" ht="15.75" customHeight="1" x14ac:dyDescent="0.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spans="3:28" ht="15.75" customHeight="1" x14ac:dyDescent="0.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spans="3:28" ht="15.75" customHeight="1" x14ac:dyDescent="0.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spans="3:28" ht="15.75" customHeight="1" x14ac:dyDescent="0.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spans="3:28" ht="15.75" customHeight="1" x14ac:dyDescent="0.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spans="3:28" ht="15.75" customHeight="1" x14ac:dyDescent="0.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spans="3:28" ht="15.75" customHeight="1" x14ac:dyDescent="0.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spans="3:28" ht="15.75" customHeight="1" x14ac:dyDescent="0.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spans="3:28" ht="15.75" customHeight="1" x14ac:dyDescent="0.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spans="3:28" ht="15.75" customHeight="1" x14ac:dyDescent="0.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spans="3:28" ht="15.75" customHeight="1" x14ac:dyDescent="0.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spans="3:28" ht="15.75" customHeight="1" x14ac:dyDescent="0.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spans="3:28" ht="15.75" customHeight="1" x14ac:dyDescent="0.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spans="3:28" ht="15.75" customHeight="1" x14ac:dyDescent="0.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spans="3:28" ht="15.75" customHeight="1" x14ac:dyDescent="0.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spans="3:28" ht="15.75" customHeight="1" x14ac:dyDescent="0.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spans="3:28" ht="15.75" customHeight="1" x14ac:dyDescent="0.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spans="3:28" ht="15.75" customHeight="1" x14ac:dyDescent="0.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spans="3:28" ht="15.75" customHeight="1" x14ac:dyDescent="0.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spans="3:28" ht="15.75" customHeight="1" x14ac:dyDescent="0.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spans="3:28" ht="15.75" customHeight="1" x14ac:dyDescent="0.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spans="3:28" ht="15.75" customHeight="1" x14ac:dyDescent="0.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spans="3:28" ht="15.75" customHeight="1" x14ac:dyDescent="0.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spans="3:28" ht="15.75" customHeight="1" x14ac:dyDescent="0.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spans="3:28" ht="15.75" customHeight="1" x14ac:dyDescent="0.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spans="3:28" ht="15.75" customHeight="1" x14ac:dyDescent="0.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spans="3:28" ht="15.75" customHeight="1" x14ac:dyDescent="0.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spans="3:28" ht="15.75" customHeight="1" x14ac:dyDescent="0.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spans="3:28" ht="15.75" customHeight="1" x14ac:dyDescent="0.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spans="3:28" ht="15.75" customHeight="1" x14ac:dyDescent="0.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spans="3:28" ht="15.75" customHeight="1" x14ac:dyDescent="0.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spans="3:28" ht="15.75" customHeight="1" x14ac:dyDescent="0.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spans="3:28" ht="15.75" customHeight="1" x14ac:dyDescent="0.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spans="3:28" ht="15.75" customHeight="1" x14ac:dyDescent="0.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spans="3:28" ht="15.75" customHeight="1" x14ac:dyDescent="0.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spans="3:28" ht="15.75" customHeight="1" x14ac:dyDescent="0.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spans="3:28" ht="15.75" customHeight="1" x14ac:dyDescent="0.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spans="3:28" ht="15.75" customHeight="1" x14ac:dyDescent="0.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spans="3:28" ht="15.75" customHeight="1" x14ac:dyDescent="0.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spans="3:28" ht="15.75" customHeight="1" x14ac:dyDescent="0.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spans="3:28" ht="15.75" customHeight="1" x14ac:dyDescent="0.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spans="3:28" ht="15.75" customHeight="1" x14ac:dyDescent="0.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spans="3:28" ht="15.75" customHeight="1" x14ac:dyDescent="0.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spans="3:28" ht="15.75" customHeight="1" x14ac:dyDescent="0.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spans="3:28" ht="15.75" customHeight="1" x14ac:dyDescent="0.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spans="3:28" ht="15.75" customHeight="1" x14ac:dyDescent="0.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spans="3:28" ht="15.75" customHeight="1" x14ac:dyDescent="0.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spans="3:28" ht="15.75" customHeight="1" x14ac:dyDescent="0.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spans="3:28" ht="15.75" customHeight="1" x14ac:dyDescent="0.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spans="3:28" ht="15.75" customHeight="1" x14ac:dyDescent="0.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spans="3:28" ht="15.75" customHeight="1" x14ac:dyDescent="0.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spans="3:28" ht="15.75" customHeight="1" x14ac:dyDescent="0.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spans="3:28" ht="15.75" customHeight="1" x14ac:dyDescent="0.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spans="3:28" ht="15.75" customHeight="1" x14ac:dyDescent="0.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spans="3:28" ht="15.75" customHeight="1" x14ac:dyDescent="0.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spans="3:28" ht="15.75" customHeight="1" x14ac:dyDescent="0.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spans="3:28" ht="15.75" customHeight="1" x14ac:dyDescent="0.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spans="3:28" ht="15.75" customHeight="1" x14ac:dyDescent="0.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spans="3:28" ht="15.75" customHeight="1" x14ac:dyDescent="0.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spans="3:28" ht="15.75" customHeight="1" x14ac:dyDescent="0.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spans="3:28" ht="15.75" customHeight="1" x14ac:dyDescent="0.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spans="3:28" ht="15.75" customHeight="1" x14ac:dyDescent="0.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spans="3:28" ht="15.75" customHeight="1" x14ac:dyDescent="0.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spans="3:28" ht="15.75" customHeight="1" x14ac:dyDescent="0.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spans="3:28" ht="15.75" customHeight="1" x14ac:dyDescent="0.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spans="3:28" ht="15.75" customHeight="1" x14ac:dyDescent="0.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spans="3:28" ht="15.75" customHeight="1" x14ac:dyDescent="0.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spans="3:28" ht="15.75" customHeight="1" x14ac:dyDescent="0.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spans="3:28" ht="15.75" customHeight="1" x14ac:dyDescent="0.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spans="3:28" ht="15.75" customHeight="1" x14ac:dyDescent="0.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spans="3:28" ht="15.75" customHeight="1" x14ac:dyDescent="0.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spans="3:28" ht="15.75" customHeight="1" x14ac:dyDescent="0.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spans="3:28" ht="15.75" customHeight="1" x14ac:dyDescent="0.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spans="3:28" ht="15.75" customHeight="1" x14ac:dyDescent="0.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spans="3:28" ht="15.75" customHeight="1" x14ac:dyDescent="0.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spans="3:28" ht="15.75" customHeight="1" x14ac:dyDescent="0.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spans="3:28" ht="15.75" customHeight="1" x14ac:dyDescent="0.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spans="3:28" ht="15.75" customHeight="1" x14ac:dyDescent="0.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spans="3:28" ht="15.75" customHeight="1" x14ac:dyDescent="0.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spans="3:28" ht="15.75" customHeight="1" x14ac:dyDescent="0.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spans="3:28" ht="15.75" customHeight="1" x14ac:dyDescent="0.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spans="3:28" ht="15.75" customHeight="1" x14ac:dyDescent="0.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spans="3:28" ht="15.75" customHeight="1" x14ac:dyDescent="0.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spans="3:28" ht="15.75" customHeight="1" x14ac:dyDescent="0.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spans="3:28" ht="15.75" customHeight="1" x14ac:dyDescent="0.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spans="3:28" ht="15.75" customHeight="1" x14ac:dyDescent="0.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spans="3:28" ht="15.75" customHeight="1" x14ac:dyDescent="0.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spans="3:28" ht="15.75" customHeight="1" x14ac:dyDescent="0.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spans="3:28" ht="15.75" customHeight="1" x14ac:dyDescent="0.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spans="3:28" ht="15.75" customHeight="1" x14ac:dyDescent="0.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spans="3:28" ht="15.75" customHeight="1" x14ac:dyDescent="0.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spans="3:28" ht="15.75" customHeight="1" x14ac:dyDescent="0.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spans="3:28" ht="15.75" customHeight="1" x14ac:dyDescent="0.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spans="3:28" ht="15.75" customHeight="1" x14ac:dyDescent="0.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spans="3:28" ht="15.75" customHeight="1" x14ac:dyDescent="0.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spans="3:28" ht="15.75" customHeight="1" x14ac:dyDescent="0.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spans="3:28" ht="15.75" customHeight="1" x14ac:dyDescent="0.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spans="3:28" ht="15.75" customHeight="1" x14ac:dyDescent="0.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spans="3:28" ht="15.75" customHeight="1" x14ac:dyDescent="0.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spans="3:28" ht="15.75" customHeight="1" x14ac:dyDescent="0.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spans="3:28" ht="15.75" customHeight="1" x14ac:dyDescent="0.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spans="3:28" ht="15.75" customHeight="1" x14ac:dyDescent="0.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spans="3:28" ht="15.75" customHeight="1" x14ac:dyDescent="0.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spans="3:28" ht="15.75" customHeight="1" x14ac:dyDescent="0.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spans="3:28" ht="15.75" customHeight="1" x14ac:dyDescent="0.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spans="3:28" ht="15.75" customHeight="1" x14ac:dyDescent="0.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spans="3:28" ht="15.75" customHeight="1" x14ac:dyDescent="0.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spans="3:28" ht="15.75" customHeight="1" x14ac:dyDescent="0.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spans="3:28" ht="15.75" customHeight="1" x14ac:dyDescent="0.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spans="3:28" ht="15.75" customHeight="1" x14ac:dyDescent="0.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spans="3:28" ht="15.75" customHeight="1" x14ac:dyDescent="0.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spans="3:28" ht="15.75" customHeight="1" x14ac:dyDescent="0.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spans="3:28" ht="15.75" customHeight="1" x14ac:dyDescent="0.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spans="3:28" ht="15.75" customHeight="1" x14ac:dyDescent="0.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spans="3:28" ht="15.75" customHeight="1" x14ac:dyDescent="0.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spans="3:28" ht="15.75" customHeight="1" x14ac:dyDescent="0.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spans="3:28" ht="15.75" customHeight="1" x14ac:dyDescent="0.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spans="3:28" ht="15.75" customHeight="1" x14ac:dyDescent="0.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spans="3:28" ht="15.75" customHeight="1" x14ac:dyDescent="0.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spans="3:28" ht="15.75" customHeight="1" x14ac:dyDescent="0.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spans="3:28" ht="15.75" customHeight="1" x14ac:dyDescent="0.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spans="3:28" ht="15.75" customHeight="1" x14ac:dyDescent="0.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spans="3:28" ht="15.75" customHeight="1" x14ac:dyDescent="0.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spans="3:28" ht="15.75" customHeight="1" x14ac:dyDescent="0.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spans="3:28" ht="15.75" customHeight="1" x14ac:dyDescent="0.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spans="3:28" ht="15.75" customHeight="1" x14ac:dyDescent="0.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spans="3:28" ht="15.75" customHeight="1" x14ac:dyDescent="0.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spans="3:28" ht="15.75" customHeight="1" x14ac:dyDescent="0.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spans="3:28" ht="15.75" customHeight="1" x14ac:dyDescent="0.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spans="3:28" ht="15.75" customHeight="1" x14ac:dyDescent="0.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spans="3:28" ht="15.75" customHeight="1" x14ac:dyDescent="0.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spans="3:28" ht="15.75" customHeight="1" x14ac:dyDescent="0.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spans="3:28" ht="15.75" customHeight="1" x14ac:dyDescent="0.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spans="3:28" ht="15.75" customHeight="1" x14ac:dyDescent="0.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spans="3:28" ht="15.75" customHeight="1" x14ac:dyDescent="0.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spans="3:28" ht="15.75" customHeight="1" x14ac:dyDescent="0.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spans="3:28" ht="15.75" customHeight="1" x14ac:dyDescent="0.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spans="3:28" ht="15.75" customHeight="1" x14ac:dyDescent="0.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spans="3:28" ht="15.75" customHeight="1" x14ac:dyDescent="0.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spans="3:28" ht="15.75" customHeight="1" x14ac:dyDescent="0.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spans="3:28" ht="15.75" customHeight="1" x14ac:dyDescent="0.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spans="3:28" ht="15.75" customHeight="1" x14ac:dyDescent="0.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spans="3:28" ht="15.75" customHeight="1" x14ac:dyDescent="0.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spans="3:28" ht="15.75" customHeight="1" x14ac:dyDescent="0.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spans="3:28" ht="15.75" customHeight="1" x14ac:dyDescent="0.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spans="3:28" ht="15.75" customHeight="1" x14ac:dyDescent="0.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spans="3:28" ht="15.75" customHeight="1" x14ac:dyDescent="0.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spans="3:28" ht="15.75" customHeight="1" x14ac:dyDescent="0.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spans="3:28" ht="15.75" customHeight="1" x14ac:dyDescent="0.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spans="3:28" ht="15.75" customHeight="1" x14ac:dyDescent="0.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spans="3:28" ht="15.75" customHeight="1" x14ac:dyDescent="0.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spans="3:28" ht="15.75" customHeight="1" x14ac:dyDescent="0.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spans="3:28" ht="15.75" customHeight="1" x14ac:dyDescent="0.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spans="3:28" ht="15.75" customHeight="1" x14ac:dyDescent="0.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spans="3:28" ht="15.75" customHeight="1" x14ac:dyDescent="0.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spans="3:28" ht="15.75" customHeight="1" x14ac:dyDescent="0.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spans="3:28" ht="15.75" customHeight="1" x14ac:dyDescent="0.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spans="3:28" ht="15.75" customHeight="1" x14ac:dyDescent="0.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spans="3:28" ht="15.75" customHeight="1" x14ac:dyDescent="0.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spans="3:28" ht="15.75" customHeight="1" x14ac:dyDescent="0.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spans="3:28" ht="15.75" customHeight="1" x14ac:dyDescent="0.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spans="3:28" ht="15.75" customHeight="1" x14ac:dyDescent="0.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spans="3:28" ht="15.75" customHeight="1" x14ac:dyDescent="0.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spans="3:28" ht="15.75" customHeight="1" x14ac:dyDescent="0.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spans="3:28" ht="15.75" customHeight="1" x14ac:dyDescent="0.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spans="3:28" ht="15.75" customHeight="1" x14ac:dyDescent="0.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spans="3:28" ht="15.75" customHeight="1" x14ac:dyDescent="0.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spans="3:28" ht="15.75" customHeight="1" x14ac:dyDescent="0.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spans="3:28" ht="15.75" customHeight="1" x14ac:dyDescent="0.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spans="3:28" ht="15.75" customHeight="1" x14ac:dyDescent="0.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spans="3:28" ht="15.75" customHeight="1" x14ac:dyDescent="0.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spans="3:28" ht="15.75" customHeight="1" x14ac:dyDescent="0.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spans="3:28" ht="15.75" customHeight="1" x14ac:dyDescent="0.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spans="3:28" ht="15.75" customHeight="1" x14ac:dyDescent="0.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spans="3:28" ht="15.75" customHeight="1" x14ac:dyDescent="0.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spans="3:28" ht="15.75" customHeight="1" x14ac:dyDescent="0.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spans="3:28" ht="15.75" customHeight="1" x14ac:dyDescent="0.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spans="3:28" ht="15.75" customHeight="1" x14ac:dyDescent="0.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spans="3:28" ht="15.75" customHeight="1" x14ac:dyDescent="0.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spans="3:28" ht="15.75" customHeight="1" x14ac:dyDescent="0.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spans="3:28" ht="15.75" customHeight="1" x14ac:dyDescent="0.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spans="3:28" ht="15.75" customHeight="1" x14ac:dyDescent="0.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spans="3:28" ht="15.75" customHeight="1" x14ac:dyDescent="0.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spans="3:28" ht="15.75" customHeight="1" x14ac:dyDescent="0.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spans="3:28" ht="15.75" customHeight="1" x14ac:dyDescent="0.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spans="3:28" ht="15.75" customHeight="1" x14ac:dyDescent="0.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spans="3:28" ht="15.75" customHeight="1" x14ac:dyDescent="0.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spans="3:28" ht="15.75" customHeight="1" x14ac:dyDescent="0.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spans="3:28" ht="15.75" customHeight="1" x14ac:dyDescent="0.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spans="3:28" ht="15.75" customHeight="1" x14ac:dyDescent="0.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spans="3:28" ht="15.75" customHeight="1" x14ac:dyDescent="0.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spans="3:28" ht="15.75" customHeight="1" x14ac:dyDescent="0.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spans="3:28" ht="15.75" customHeight="1" x14ac:dyDescent="0.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spans="3:28" ht="15.75" customHeight="1" x14ac:dyDescent="0.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spans="3:28" ht="15.75" customHeight="1" x14ac:dyDescent="0.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spans="3:28" ht="15.75" customHeight="1" x14ac:dyDescent="0.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spans="3:28" ht="15.75" customHeight="1" x14ac:dyDescent="0.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spans="3:28" ht="15.75" customHeight="1" x14ac:dyDescent="0.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spans="3:28" ht="15.75" customHeight="1" x14ac:dyDescent="0.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spans="3:28" ht="15.75" customHeight="1" x14ac:dyDescent="0.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spans="3:28" ht="15.75" customHeight="1" x14ac:dyDescent="0.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spans="3:28" ht="15.75" customHeight="1" x14ac:dyDescent="0.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spans="3:28" ht="15.75" customHeight="1" x14ac:dyDescent="0.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spans="3:28" ht="15.75" customHeight="1" x14ac:dyDescent="0.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spans="3:28" ht="15.75" customHeight="1" x14ac:dyDescent="0.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spans="3:28" ht="15.75" customHeight="1" x14ac:dyDescent="0.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spans="3:28" ht="15.75" customHeight="1" x14ac:dyDescent="0.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spans="3:28" ht="15.75" customHeight="1" x14ac:dyDescent="0.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spans="3:28" ht="15.75" customHeight="1" x14ac:dyDescent="0.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spans="3:28" ht="15.75" customHeight="1" x14ac:dyDescent="0.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spans="3:28" ht="15.75" customHeight="1" x14ac:dyDescent="0.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spans="3:28" ht="15.75" customHeight="1" x14ac:dyDescent="0.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spans="3:28" ht="15.75" customHeight="1" x14ac:dyDescent="0.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spans="3:28" ht="15.75" customHeight="1" x14ac:dyDescent="0.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spans="3:28" ht="15.75" customHeight="1" x14ac:dyDescent="0.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spans="3:28" ht="15.75" customHeight="1" x14ac:dyDescent="0.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spans="3:28" ht="15.75" customHeight="1" x14ac:dyDescent="0.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spans="3:28" ht="15.75" customHeight="1" x14ac:dyDescent="0.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spans="3:28" ht="15.75" customHeight="1" x14ac:dyDescent="0.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spans="3:28" ht="15.75" customHeight="1" x14ac:dyDescent="0.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spans="3:28" ht="15.75" customHeight="1" x14ac:dyDescent="0.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spans="3:28" ht="15.75" customHeight="1" x14ac:dyDescent="0.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spans="3:28" ht="15.75" customHeight="1" x14ac:dyDescent="0.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spans="3:28" ht="15.75" customHeight="1" x14ac:dyDescent="0.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spans="3:28" ht="15.75" customHeight="1" x14ac:dyDescent="0.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spans="3:28" ht="15.75" customHeight="1" x14ac:dyDescent="0.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spans="3:28" ht="15.75" customHeight="1" x14ac:dyDescent="0.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spans="3:28" ht="15.75" customHeight="1" x14ac:dyDescent="0.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spans="3:28" ht="15.75" customHeight="1" x14ac:dyDescent="0.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spans="3:28" ht="15.75" customHeight="1" x14ac:dyDescent="0.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spans="3:28" ht="15.75" customHeight="1" x14ac:dyDescent="0.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spans="3:28" ht="15.75" customHeight="1" x14ac:dyDescent="0.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spans="3:28" ht="15.75" customHeight="1" x14ac:dyDescent="0.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spans="3:28" ht="15.75" customHeight="1" x14ac:dyDescent="0.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spans="3:28" ht="15.75" customHeight="1" x14ac:dyDescent="0.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spans="3:28" ht="15.75" customHeight="1" x14ac:dyDescent="0.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spans="3:28" ht="15.75" customHeight="1" x14ac:dyDescent="0.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spans="3:28" ht="15.75" customHeight="1" x14ac:dyDescent="0.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spans="3:28" ht="15.75" customHeight="1" x14ac:dyDescent="0.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spans="3:28" ht="15.75" customHeight="1" x14ac:dyDescent="0.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spans="3:28" ht="15.75" customHeight="1" x14ac:dyDescent="0.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spans="3:28" ht="15.75" customHeight="1" x14ac:dyDescent="0.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spans="3:28" ht="15.75" customHeight="1" x14ac:dyDescent="0.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spans="3:28" ht="15.75" customHeight="1" x14ac:dyDescent="0.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spans="3:28" ht="15.75" customHeight="1" x14ac:dyDescent="0.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spans="3:28" ht="15.75" customHeight="1" x14ac:dyDescent="0.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spans="3:28" ht="15.75" customHeight="1" x14ac:dyDescent="0.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spans="3:28" ht="15.75" customHeight="1" x14ac:dyDescent="0.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spans="3:28" ht="15.75" customHeight="1" x14ac:dyDescent="0.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spans="3:28" ht="15.75" customHeight="1" x14ac:dyDescent="0.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spans="3:28" ht="15.75" customHeight="1" x14ac:dyDescent="0.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spans="3:28" ht="15.75" customHeight="1" x14ac:dyDescent="0.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spans="3:28" ht="15.75" customHeight="1" x14ac:dyDescent="0.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spans="3:28" ht="15.75" customHeight="1" x14ac:dyDescent="0.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spans="3:28" ht="15.75" customHeight="1" x14ac:dyDescent="0.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spans="3:28" ht="15.75" customHeight="1" x14ac:dyDescent="0.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spans="3:28" ht="15.75" customHeight="1" x14ac:dyDescent="0.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spans="3:28" ht="15.75" customHeight="1" x14ac:dyDescent="0.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spans="3:28" ht="15.75" customHeight="1" x14ac:dyDescent="0.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spans="3:28" ht="15.75" customHeight="1" x14ac:dyDescent="0.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spans="3:28" ht="15.75" customHeight="1" x14ac:dyDescent="0.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spans="3:28" ht="15.75" customHeight="1" x14ac:dyDescent="0.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spans="3:28" ht="15.75" customHeight="1" x14ac:dyDescent="0.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spans="3:28" ht="15.75" customHeight="1" x14ac:dyDescent="0.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spans="3:28" ht="15.75" customHeight="1" x14ac:dyDescent="0.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spans="3:28" ht="15.75" customHeight="1" x14ac:dyDescent="0.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spans="3:28" ht="15.75" customHeight="1" x14ac:dyDescent="0.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spans="3:28" ht="15.75" customHeight="1" x14ac:dyDescent="0.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spans="3:28" ht="15.75" customHeight="1" x14ac:dyDescent="0.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spans="3:28" ht="15.75" customHeight="1" x14ac:dyDescent="0.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spans="3:28" ht="15.75" customHeight="1" x14ac:dyDescent="0.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spans="3:28" ht="15.75" customHeight="1" x14ac:dyDescent="0.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spans="3:28" ht="15.75" customHeight="1" x14ac:dyDescent="0.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spans="3:28" ht="15.75" customHeight="1" x14ac:dyDescent="0.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spans="3:28" ht="15.75" customHeight="1" x14ac:dyDescent="0.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spans="3:28" ht="15.75" customHeight="1" x14ac:dyDescent="0.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spans="3:28" ht="15.75" customHeight="1" x14ac:dyDescent="0.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spans="3:28" ht="15.75" customHeight="1" x14ac:dyDescent="0.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spans="3:28" ht="15.75" customHeight="1" x14ac:dyDescent="0.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spans="3:28" ht="15.75" customHeight="1" x14ac:dyDescent="0.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spans="3:28" ht="15.75" customHeight="1" x14ac:dyDescent="0.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spans="3:28" ht="15.75" customHeight="1" x14ac:dyDescent="0.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spans="3:28" ht="15.75" customHeight="1" x14ac:dyDescent="0.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spans="3:28" ht="15.75" customHeight="1" x14ac:dyDescent="0.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spans="3:28" ht="15.75" customHeight="1" x14ac:dyDescent="0.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spans="3:28" ht="15.75" customHeight="1" x14ac:dyDescent="0.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spans="3:28" ht="15.75" customHeight="1" x14ac:dyDescent="0.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spans="3:28" ht="15.75" customHeight="1" x14ac:dyDescent="0.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spans="3:28" ht="15.75" customHeight="1" x14ac:dyDescent="0.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spans="3:28" ht="15.75" customHeight="1" x14ac:dyDescent="0.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spans="3:28" ht="15.75" customHeight="1" x14ac:dyDescent="0.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spans="3:28" ht="15.75" customHeight="1" x14ac:dyDescent="0.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spans="3:28" ht="15.75" customHeight="1" x14ac:dyDescent="0.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spans="3:28" ht="15.75" customHeight="1" x14ac:dyDescent="0.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spans="3:28" ht="15.75" customHeight="1" x14ac:dyDescent="0.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spans="3:28" ht="15.75" customHeight="1" x14ac:dyDescent="0.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spans="3:28" ht="15.75" customHeight="1" x14ac:dyDescent="0.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spans="3:28" ht="15.75" customHeight="1" x14ac:dyDescent="0.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spans="3:28" ht="15.75" customHeight="1" x14ac:dyDescent="0.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spans="3:28" ht="15.75" customHeight="1" x14ac:dyDescent="0.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spans="3:28" ht="15.75" customHeight="1" x14ac:dyDescent="0.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spans="3:28" ht="15.75" customHeight="1" x14ac:dyDescent="0.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spans="3:28" ht="15.75" customHeight="1" x14ac:dyDescent="0.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spans="3:28" ht="15.75" customHeight="1" x14ac:dyDescent="0.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spans="3:28" ht="15.75" customHeight="1" x14ac:dyDescent="0.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spans="3:28" ht="15.75" customHeight="1" x14ac:dyDescent="0.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spans="3:28" ht="15.75" customHeight="1" x14ac:dyDescent="0.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spans="3:28" ht="15.75" customHeight="1" x14ac:dyDescent="0.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spans="3:28" ht="15.75" customHeight="1" x14ac:dyDescent="0.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spans="3:28" ht="15.75" customHeight="1" x14ac:dyDescent="0.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spans="3:28" ht="15.75" customHeight="1" x14ac:dyDescent="0.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spans="3:28" ht="15.75" customHeight="1" x14ac:dyDescent="0.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spans="3:28" ht="15.75" customHeight="1" x14ac:dyDescent="0.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spans="3:28" ht="15.75" customHeight="1" x14ac:dyDescent="0.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spans="3:28" ht="15.75" customHeight="1" x14ac:dyDescent="0.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spans="3:28" ht="15.75" customHeight="1" x14ac:dyDescent="0.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spans="3:28" ht="15.75" customHeight="1" x14ac:dyDescent="0.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spans="3:28" ht="15.75" customHeight="1" x14ac:dyDescent="0.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spans="3:28" ht="15.75" customHeight="1" x14ac:dyDescent="0.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spans="3:28" ht="15.75" customHeight="1" x14ac:dyDescent="0.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spans="3:28" ht="15.75" customHeight="1" x14ac:dyDescent="0.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spans="3:28" ht="15.75" customHeight="1" x14ac:dyDescent="0.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spans="3:28" ht="15.75" customHeight="1" x14ac:dyDescent="0.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spans="3:28" ht="15.75" customHeight="1" x14ac:dyDescent="0.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spans="3:28" ht="15.75" customHeight="1" x14ac:dyDescent="0.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spans="3:28" ht="15.75" customHeight="1" x14ac:dyDescent="0.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spans="3:28" ht="15.75" customHeight="1" x14ac:dyDescent="0.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spans="3:28" ht="15.75" customHeight="1" x14ac:dyDescent="0.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spans="3:28" ht="15.75" customHeight="1" x14ac:dyDescent="0.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spans="3:28" ht="15.75" customHeight="1" x14ac:dyDescent="0.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spans="3:28" ht="15.75" customHeight="1" x14ac:dyDescent="0.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spans="3:28" ht="15.75" customHeight="1" x14ac:dyDescent="0.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spans="3:28" ht="15.75" customHeight="1" x14ac:dyDescent="0.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spans="3:28" ht="15.75" customHeight="1" x14ac:dyDescent="0.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spans="3:28" ht="15.75" customHeight="1" x14ac:dyDescent="0.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spans="3:28" ht="15.75" customHeight="1" x14ac:dyDescent="0.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spans="3:28" ht="15.75" customHeight="1" x14ac:dyDescent="0.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spans="3:28" ht="15.75" customHeight="1" x14ac:dyDescent="0.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spans="3:28" ht="15.75" customHeight="1" x14ac:dyDescent="0.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spans="3:28" ht="15.75" customHeight="1" x14ac:dyDescent="0.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spans="3:28" ht="15.75" customHeight="1" x14ac:dyDescent="0.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spans="3:28" ht="15.75" customHeight="1" x14ac:dyDescent="0.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spans="3:28" ht="15.75" customHeight="1" x14ac:dyDescent="0.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spans="3:28" ht="15.75" customHeight="1" x14ac:dyDescent="0.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spans="3:28" ht="15.75" customHeight="1" x14ac:dyDescent="0.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spans="3:28" ht="15.75" customHeight="1" x14ac:dyDescent="0.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spans="3:28" ht="15.75" customHeight="1" x14ac:dyDescent="0.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spans="3:28" ht="15.75" customHeight="1" x14ac:dyDescent="0.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spans="3:28" ht="15.75" customHeight="1" x14ac:dyDescent="0.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spans="3:28" ht="15.75" customHeight="1" x14ac:dyDescent="0.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spans="3:28" ht="15.75" customHeight="1" x14ac:dyDescent="0.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spans="3:28" ht="15.75" customHeight="1" x14ac:dyDescent="0.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spans="3:28" ht="15.75" customHeight="1" x14ac:dyDescent="0.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spans="3:28" ht="15.75" customHeight="1" x14ac:dyDescent="0.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spans="3:28" ht="15.75" customHeight="1" x14ac:dyDescent="0.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spans="3:28" ht="15.75" customHeight="1" x14ac:dyDescent="0.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spans="3:28" ht="15.75" customHeight="1" x14ac:dyDescent="0.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spans="3:28" ht="15.75" customHeight="1" x14ac:dyDescent="0.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spans="3:28" ht="15.75" customHeight="1" x14ac:dyDescent="0.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spans="3:28" ht="15.75" customHeight="1" x14ac:dyDescent="0.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spans="3:28" ht="15.75" customHeight="1" x14ac:dyDescent="0.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spans="3:28" ht="15.75" customHeight="1" x14ac:dyDescent="0.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spans="3:28" ht="15.75" customHeight="1" x14ac:dyDescent="0.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spans="3:28" ht="15.75" customHeight="1" x14ac:dyDescent="0.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spans="3:28" ht="15.75" customHeight="1" x14ac:dyDescent="0.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spans="3:28" ht="15.75" customHeight="1" x14ac:dyDescent="0.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spans="3:28" ht="15.75" customHeight="1" x14ac:dyDescent="0.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spans="3:28" ht="15.75" customHeight="1" x14ac:dyDescent="0.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spans="3:28" ht="15.75" customHeight="1" x14ac:dyDescent="0.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spans="3:28" ht="15.75" customHeight="1" x14ac:dyDescent="0.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spans="3:28" ht="15.75" customHeight="1" x14ac:dyDescent="0.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spans="3:28" ht="15.75" customHeight="1" x14ac:dyDescent="0.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spans="3:28" ht="15.75" customHeight="1" x14ac:dyDescent="0.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spans="3:28" ht="15.75" customHeight="1" x14ac:dyDescent="0.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spans="3:28" ht="15.75" customHeight="1" x14ac:dyDescent="0.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spans="3:28" ht="15.75" customHeight="1" x14ac:dyDescent="0.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spans="3:28" ht="15.75" customHeight="1" x14ac:dyDescent="0.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spans="3:28" ht="15.75" customHeight="1" x14ac:dyDescent="0.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spans="3:28" ht="15.75" customHeight="1" x14ac:dyDescent="0.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spans="3:28" ht="15.75" customHeight="1" x14ac:dyDescent="0.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spans="3:28" ht="15.75" customHeight="1" x14ac:dyDescent="0.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spans="3:28" ht="15.75" customHeight="1" x14ac:dyDescent="0.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spans="3:28" ht="15.75" customHeight="1" x14ac:dyDescent="0.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spans="3:28" ht="15.75" customHeight="1" x14ac:dyDescent="0.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spans="3:28" ht="15.75" customHeight="1" x14ac:dyDescent="0.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spans="3:28" ht="15.75" customHeight="1" x14ac:dyDescent="0.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spans="3:28" ht="15.75" customHeight="1" x14ac:dyDescent="0.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spans="3:28" ht="15.75" customHeight="1" x14ac:dyDescent="0.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spans="3:28" ht="15.75" customHeight="1" x14ac:dyDescent="0.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spans="3:28" ht="15.75" customHeight="1" x14ac:dyDescent="0.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spans="3:28" ht="15.75" customHeight="1" x14ac:dyDescent="0.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spans="3:28" ht="15.75" customHeight="1" x14ac:dyDescent="0.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spans="3:28" ht="15.75" customHeight="1" x14ac:dyDescent="0.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spans="3:28" ht="15.75" customHeight="1" x14ac:dyDescent="0.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spans="3:28" ht="15.75" customHeight="1" x14ac:dyDescent="0.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spans="3:28" ht="15.75" customHeight="1" x14ac:dyDescent="0.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spans="3:28" ht="15.75" customHeight="1" x14ac:dyDescent="0.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spans="3:28" ht="15.75" customHeight="1" x14ac:dyDescent="0.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spans="3:28" ht="15.75" customHeight="1" x14ac:dyDescent="0.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spans="3:28" ht="15.75" customHeight="1" x14ac:dyDescent="0.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spans="3:28" ht="15.75" customHeight="1" x14ac:dyDescent="0.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spans="3:28" ht="15.75" customHeight="1" x14ac:dyDescent="0.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spans="3:28" ht="15.75" customHeight="1" x14ac:dyDescent="0.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spans="3:28" ht="15.75" customHeight="1" x14ac:dyDescent="0.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spans="3:28" ht="15.75" customHeight="1" x14ac:dyDescent="0.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spans="3:28" ht="15.75" customHeight="1" x14ac:dyDescent="0.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spans="3:28" ht="15.75" customHeight="1" x14ac:dyDescent="0.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spans="3:28" ht="15.75" customHeight="1" x14ac:dyDescent="0.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spans="3:28" ht="15.75" customHeight="1" x14ac:dyDescent="0.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spans="3:28" ht="15.75" customHeight="1" x14ac:dyDescent="0.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spans="3:28" ht="15.75" customHeight="1" x14ac:dyDescent="0.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spans="3:28" ht="15.75" customHeight="1" x14ac:dyDescent="0.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spans="3:28" ht="15.75" customHeight="1" x14ac:dyDescent="0.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spans="3:28" ht="15.75" customHeight="1" x14ac:dyDescent="0.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spans="3:28" ht="15.75" customHeight="1" x14ac:dyDescent="0.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spans="3:28" ht="15.75" customHeight="1" x14ac:dyDescent="0.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spans="3:28" ht="15.75" customHeight="1" x14ac:dyDescent="0.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spans="3:28" ht="15.75" customHeight="1" x14ac:dyDescent="0.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spans="3:28" ht="15.75" customHeight="1" x14ac:dyDescent="0.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spans="3:28" ht="15.75" customHeight="1" x14ac:dyDescent="0.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spans="3:28" ht="15.75" customHeight="1" x14ac:dyDescent="0.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spans="3:28" ht="15.75" customHeight="1" x14ac:dyDescent="0.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spans="3:28" ht="15.75" customHeight="1" x14ac:dyDescent="0.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spans="3:28" ht="15.75" customHeight="1" x14ac:dyDescent="0.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spans="3:28" ht="15.75" customHeight="1" x14ac:dyDescent="0.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spans="3:28" ht="15.75" customHeight="1" x14ac:dyDescent="0.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spans="3:28" ht="15.75" customHeight="1" x14ac:dyDescent="0.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spans="3:28" ht="15.75" customHeight="1" x14ac:dyDescent="0.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spans="3:28" ht="15.75" customHeight="1" x14ac:dyDescent="0.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spans="3:28" ht="15.75" customHeight="1" x14ac:dyDescent="0.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spans="3:28" ht="15.75" customHeight="1" x14ac:dyDescent="0.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spans="3:28" ht="15.75" customHeight="1" x14ac:dyDescent="0.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spans="3:28" ht="15.75" customHeight="1" x14ac:dyDescent="0.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spans="3:28" ht="15.75" customHeight="1" x14ac:dyDescent="0.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spans="3:28" ht="15.75" customHeight="1" x14ac:dyDescent="0.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spans="3:28" ht="15.75" customHeight="1" x14ac:dyDescent="0.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spans="3:28" ht="15.75" customHeight="1" x14ac:dyDescent="0.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spans="3:28" ht="15.75" customHeight="1" x14ac:dyDescent="0.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spans="3:28" ht="15.75" customHeight="1" x14ac:dyDescent="0.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spans="3:28" ht="15.75" customHeight="1" x14ac:dyDescent="0.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spans="3:28" ht="15.75" customHeight="1" x14ac:dyDescent="0.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spans="3:28" ht="15.75" customHeight="1" x14ac:dyDescent="0.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spans="3:28" ht="15.75" customHeight="1" x14ac:dyDescent="0.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spans="3:28" ht="15.75" customHeight="1" x14ac:dyDescent="0.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spans="3:28" ht="15.75" customHeight="1" x14ac:dyDescent="0.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spans="3:28" ht="15.75" customHeight="1" x14ac:dyDescent="0.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spans="3:28" ht="15.75" customHeight="1" x14ac:dyDescent="0.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spans="3:28" ht="15.75" customHeight="1" x14ac:dyDescent="0.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spans="3:28" ht="15.75" customHeight="1" x14ac:dyDescent="0.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spans="3:28" ht="15.75" customHeight="1" x14ac:dyDescent="0.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spans="3:28" ht="15.75" customHeight="1" x14ac:dyDescent="0.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spans="3:28" ht="15.75" customHeight="1" x14ac:dyDescent="0.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spans="3:28" ht="15.75" customHeight="1" x14ac:dyDescent="0.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spans="3:28" ht="15.75" customHeight="1" x14ac:dyDescent="0.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spans="3:28" ht="15.75" customHeight="1" x14ac:dyDescent="0.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spans="3:28" ht="15.75" customHeight="1" x14ac:dyDescent="0.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spans="3:28" ht="15.75" customHeight="1" x14ac:dyDescent="0.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spans="3:28" ht="15.75" customHeight="1" x14ac:dyDescent="0.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spans="3:28" ht="15.75" customHeight="1" x14ac:dyDescent="0.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spans="3:28" ht="15.75" customHeight="1" x14ac:dyDescent="0.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spans="3:28" ht="15.75" customHeight="1" x14ac:dyDescent="0.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spans="3:28" ht="15.75" customHeight="1" x14ac:dyDescent="0.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spans="3:28" ht="15.75" customHeight="1" x14ac:dyDescent="0.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spans="3:28" ht="15.75" customHeight="1" x14ac:dyDescent="0.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spans="3:28" ht="15.75" customHeight="1" x14ac:dyDescent="0.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spans="3:28" ht="15.75" customHeight="1" x14ac:dyDescent="0.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spans="3:28" ht="15.75" customHeight="1" x14ac:dyDescent="0.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spans="3:28" ht="15.75" customHeight="1" x14ac:dyDescent="0.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spans="3:28" ht="15.75" customHeight="1" x14ac:dyDescent="0.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spans="3:28" ht="15.75" customHeight="1" x14ac:dyDescent="0.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spans="3:28" ht="15.75" customHeight="1" x14ac:dyDescent="0.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spans="3:28" ht="15.75" customHeight="1" x14ac:dyDescent="0.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spans="3:28" ht="15.75" customHeight="1" x14ac:dyDescent="0.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spans="3:28" ht="15.75" customHeight="1" x14ac:dyDescent="0.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spans="3:28" ht="15.75" customHeight="1" x14ac:dyDescent="0.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spans="3:28" ht="15.75" customHeight="1" x14ac:dyDescent="0.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spans="3:28" ht="15.75" customHeight="1" x14ac:dyDescent="0.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spans="3:28" ht="15.75" customHeight="1" x14ac:dyDescent="0.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spans="3:28" ht="15.75" customHeight="1" x14ac:dyDescent="0.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spans="3:28" ht="15.75" customHeight="1" x14ac:dyDescent="0.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spans="3:28" ht="15.75" customHeight="1" x14ac:dyDescent="0.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spans="3:28" ht="15.75" customHeight="1" x14ac:dyDescent="0.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spans="3:28" ht="15.75" customHeight="1" x14ac:dyDescent="0.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spans="3:28" ht="15.75" customHeight="1" x14ac:dyDescent="0.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spans="3:28" ht="15.75" customHeight="1" x14ac:dyDescent="0.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spans="3:28" ht="15.75" customHeight="1" x14ac:dyDescent="0.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spans="3:28" ht="15.75" customHeight="1" x14ac:dyDescent="0.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spans="3:28" ht="15.75" customHeight="1" x14ac:dyDescent="0.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spans="3:28" ht="15.75" customHeight="1" x14ac:dyDescent="0.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spans="3:28" ht="15.75" customHeight="1" x14ac:dyDescent="0.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spans="3:28" ht="15.75" customHeight="1" x14ac:dyDescent="0.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spans="3:28" ht="15.75" customHeight="1" x14ac:dyDescent="0.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spans="3:28" ht="15.75" customHeight="1" x14ac:dyDescent="0.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spans="3:28" ht="15.75" customHeight="1" x14ac:dyDescent="0.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spans="3:28" ht="15.75" customHeight="1" x14ac:dyDescent="0.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spans="3:28" ht="15.75" customHeight="1" x14ac:dyDescent="0.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spans="3:28" ht="15.75" customHeight="1" x14ac:dyDescent="0.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spans="3:28" ht="15.75" customHeight="1" x14ac:dyDescent="0.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spans="3:28" ht="15.75" customHeight="1" x14ac:dyDescent="0.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spans="3:28" ht="15.75" customHeight="1" x14ac:dyDescent="0.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spans="3:28" ht="15.75" customHeight="1" x14ac:dyDescent="0.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spans="3:28" ht="15.75" customHeight="1" x14ac:dyDescent="0.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spans="3:28" ht="15.75" customHeight="1" x14ac:dyDescent="0.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spans="3:28" ht="15.75" customHeight="1" x14ac:dyDescent="0.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spans="3:28" ht="15.75" customHeight="1" x14ac:dyDescent="0.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spans="3:28" ht="15.75" customHeight="1" x14ac:dyDescent="0.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spans="3:28" ht="15.75" customHeight="1" x14ac:dyDescent="0.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spans="3:28" ht="15.75" customHeight="1" x14ac:dyDescent="0.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spans="3:28" ht="15.75" customHeight="1" x14ac:dyDescent="0.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spans="3:28" ht="15.75" customHeight="1" x14ac:dyDescent="0.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spans="3:28" ht="15.75" customHeight="1" x14ac:dyDescent="0.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spans="3:28" ht="15.75" customHeight="1" x14ac:dyDescent="0.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spans="3:28" ht="15.75" customHeight="1" x14ac:dyDescent="0.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spans="3:28" ht="15.75" customHeight="1" x14ac:dyDescent="0.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spans="3:28" ht="15.75" customHeight="1" x14ac:dyDescent="0.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spans="3:28" ht="15.75" customHeight="1" x14ac:dyDescent="0.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spans="3:28" ht="15.75" customHeight="1" x14ac:dyDescent="0.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spans="3:28" ht="15.75" customHeight="1" x14ac:dyDescent="0.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spans="3:28" ht="15.75" customHeight="1" x14ac:dyDescent="0.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spans="3:28" ht="15.75" customHeight="1" x14ac:dyDescent="0.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spans="3:28" ht="15.75" customHeight="1" x14ac:dyDescent="0.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spans="3:28" ht="15.75" customHeight="1" x14ac:dyDescent="0.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spans="3:28" ht="15.75" customHeight="1" x14ac:dyDescent="0.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spans="3:28" ht="15.75" customHeight="1" x14ac:dyDescent="0.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spans="3:28" ht="15.75" customHeight="1" x14ac:dyDescent="0.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spans="3:28" ht="15.75" customHeight="1" x14ac:dyDescent="0.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spans="3:28" ht="15.75" customHeight="1" x14ac:dyDescent="0.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spans="3:28" ht="15.75" customHeight="1" x14ac:dyDescent="0.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spans="3:28" ht="15.75" customHeight="1" x14ac:dyDescent="0.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spans="3:28" ht="15.75" customHeight="1" x14ac:dyDescent="0.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spans="3:28" ht="15.75" customHeight="1" x14ac:dyDescent="0.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spans="3:28" ht="15.75" customHeight="1" x14ac:dyDescent="0.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spans="3:28" ht="15.75" customHeight="1" x14ac:dyDescent="0.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spans="3:28" ht="15.75" customHeight="1" x14ac:dyDescent="0.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spans="3:28" ht="15.75" customHeight="1" x14ac:dyDescent="0.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spans="3:28" ht="15.75" customHeight="1" x14ac:dyDescent="0.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spans="3:28" ht="15.75" customHeight="1" x14ac:dyDescent="0.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spans="3:28" ht="15.75" customHeight="1" x14ac:dyDescent="0.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spans="3:28" ht="15.75" customHeight="1" x14ac:dyDescent="0.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spans="3:28" ht="15.75" customHeight="1" x14ac:dyDescent="0.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spans="3:28" ht="15.75" customHeight="1" x14ac:dyDescent="0.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spans="3:28" ht="15.75" customHeight="1" x14ac:dyDescent="0.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spans="3:28" ht="15.75" customHeight="1" x14ac:dyDescent="0.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spans="3:28" ht="15.75" customHeight="1" x14ac:dyDescent="0.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spans="3:28" ht="15.75" customHeight="1" x14ac:dyDescent="0.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spans="3:28" ht="15.75" customHeight="1" x14ac:dyDescent="0.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spans="3:28" ht="15.75" customHeight="1" x14ac:dyDescent="0.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spans="3:28" ht="15.75" customHeight="1" x14ac:dyDescent="0.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spans="3:28" ht="15.75" customHeight="1" x14ac:dyDescent="0.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spans="3:28" ht="15.75" customHeight="1" x14ac:dyDescent="0.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spans="3:28" ht="15.75" customHeight="1" x14ac:dyDescent="0.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spans="3:28" ht="15.75" customHeight="1" x14ac:dyDescent="0.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spans="3:28" ht="15.75" customHeight="1" x14ac:dyDescent="0.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spans="3:28" ht="15.75" customHeight="1" x14ac:dyDescent="0.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spans="3:28" ht="15.75" customHeight="1" x14ac:dyDescent="0.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spans="3:28" ht="15.75" customHeight="1" x14ac:dyDescent="0.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spans="3:28" ht="15.75" customHeight="1" x14ac:dyDescent="0.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spans="3:28" ht="15.75" customHeight="1" x14ac:dyDescent="0.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spans="3:28" ht="15.75" customHeight="1" x14ac:dyDescent="0.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spans="3:28" ht="15.75" customHeight="1" x14ac:dyDescent="0.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spans="3:28" ht="15.75" customHeight="1" x14ac:dyDescent="0.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spans="3:28" ht="15.75" customHeight="1" x14ac:dyDescent="0.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spans="3:28" ht="15.75" customHeight="1" x14ac:dyDescent="0.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spans="3:28" ht="15.75" customHeight="1" x14ac:dyDescent="0.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spans="3:28" ht="15.75" customHeight="1" x14ac:dyDescent="0.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spans="3:28" ht="15.75" customHeight="1" x14ac:dyDescent="0.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spans="3:28" ht="15.75" customHeight="1" x14ac:dyDescent="0.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spans="3:28" ht="15.75" customHeight="1" x14ac:dyDescent="0.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spans="3:28" ht="15.75" customHeight="1" x14ac:dyDescent="0.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spans="3:28" ht="15.75" customHeight="1" x14ac:dyDescent="0.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spans="3:28" ht="15.75" customHeight="1" x14ac:dyDescent="0.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spans="3:28" ht="15.75" customHeight="1" x14ac:dyDescent="0.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spans="3:28" ht="15.75" customHeight="1" x14ac:dyDescent="0.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spans="3:28" ht="15.75" customHeight="1" x14ac:dyDescent="0.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spans="3:28" ht="15.75" customHeight="1" x14ac:dyDescent="0.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spans="3:28" ht="15.75" customHeight="1" x14ac:dyDescent="0.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spans="3:28" ht="15.75" customHeight="1" x14ac:dyDescent="0.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spans="3:28" ht="15.75" customHeight="1" x14ac:dyDescent="0.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spans="3:28" ht="15.75" customHeight="1" x14ac:dyDescent="0.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spans="3:28" ht="15.75" customHeight="1" x14ac:dyDescent="0.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spans="3:28" ht="15.75" customHeight="1" x14ac:dyDescent="0.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spans="3:28" ht="15.75" customHeight="1" x14ac:dyDescent="0.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spans="3:28" ht="15.75" customHeight="1" x14ac:dyDescent="0.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spans="3:28" ht="15.75" customHeight="1" x14ac:dyDescent="0.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sheetData>
  <mergeCells count="35">
    <mergeCell ref="O16:R16"/>
    <mergeCell ref="I17:K18"/>
    <mergeCell ref="C32:H32"/>
    <mergeCell ref="E33:E34"/>
    <mergeCell ref="F33:H34"/>
    <mergeCell ref="O20:O28"/>
    <mergeCell ref="C29:O29"/>
    <mergeCell ref="C30:C31"/>
    <mergeCell ref="D30:D31"/>
    <mergeCell ref="E30:E31"/>
    <mergeCell ref="F30:H31"/>
    <mergeCell ref="C19:N19"/>
    <mergeCell ref="C11:N11"/>
    <mergeCell ref="H12:H18"/>
    <mergeCell ref="I12:J12"/>
    <mergeCell ref="L12:N12"/>
    <mergeCell ref="I13:J13"/>
    <mergeCell ref="L13:N13"/>
    <mergeCell ref="I14:J14"/>
    <mergeCell ref="L14:N14"/>
    <mergeCell ref="I15:J15"/>
    <mergeCell ref="L15:N15"/>
    <mergeCell ref="I16:J16"/>
    <mergeCell ref="L16:N16"/>
    <mergeCell ref="C2:G2"/>
    <mergeCell ref="I2:N2"/>
    <mergeCell ref="D4:G4"/>
    <mergeCell ref="H4:H9"/>
    <mergeCell ref="D5:G5"/>
    <mergeCell ref="L5:N9"/>
    <mergeCell ref="D6:G6"/>
    <mergeCell ref="D7:G7"/>
    <mergeCell ref="C8:C10"/>
    <mergeCell ref="D8:G10"/>
    <mergeCell ref="L10:N10"/>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5">
        <x14:dataValidation type="list" allowBlank="1" showErrorMessage="1" xr:uid="{D8CF6189-538C-2A47-B149-79980B29F8B1}">
          <x14:formula1>
            <xm:f>Lists!$J$2:$J$25</xm:f>
          </x14:formula1>
          <xm:sqref>D4</xm:sqref>
        </x14:dataValidation>
        <x14:dataValidation type="list" allowBlank="1" showInputMessage="1" showErrorMessage="1" xr:uid="{39F84240-EA8C-4449-9929-678F71B6EBB5}">
          <x14:formula1>
            <xm:f>Lists!$E$2:$E$10</xm:f>
          </x14:formula1>
          <xm:sqref>F13:F18</xm:sqref>
        </x14:dataValidation>
        <x14:dataValidation type="list" allowBlank="1" showInputMessage="1" showErrorMessage="1" xr:uid="{C25B8CA9-0533-4C4E-BC50-DC8D223B2FDE}">
          <x14:formula1>
            <xm:f>Lists!$G$2:$G$9</xm:f>
          </x14:formula1>
          <xm:sqref>C13:C18</xm:sqref>
        </x14:dataValidation>
        <x14:dataValidation type="list" allowBlank="1" showInputMessage="1" showErrorMessage="1" xr:uid="{75AE68A0-98F2-3246-9B45-5CC65471B637}">
          <x14:formula1>
            <xm:f>Lists!$B$2:$B$21</xm:f>
          </x14:formula1>
          <xm:sqref>D13:D17</xm:sqref>
        </x14:dataValidation>
        <x14:dataValidation type="list" allowBlank="1" showInputMessage="1" showErrorMessage="1" xr:uid="{9814DF3E-4310-4E49-A588-824579DC15B5}">
          <x14:formula1>
            <xm:f>Lists!$M$2:$M$97</xm:f>
          </x14:formula1>
          <xm:sqref>E18 G18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C426A-3AC8-2848-9DD8-5920A8B5796F}">
  <sheetPr codeName="Sheet6"/>
  <dimension ref="B2:AB912"/>
  <sheetViews>
    <sheetView topLeftCell="A4" zoomScale="44" zoomScaleNormal="75" workbookViewId="0">
      <selection activeCell="L21" sqref="L21:M25"/>
    </sheetView>
  </sheetViews>
  <sheetFormatPr baseColWidth="10" defaultColWidth="10.140625" defaultRowHeight="15" customHeight="1" x14ac:dyDescent="0.2"/>
  <cols>
    <col min="1" max="1" width="2.28515625" customWidth="1"/>
    <col min="2" max="2" width="5.42578125" customWidth="1"/>
    <col min="3" max="3" width="25" customWidth="1"/>
    <col min="4" max="7" width="25.7109375" customWidth="1"/>
    <col min="8" max="14" width="25.5703125" customWidth="1"/>
    <col min="15" max="25" width="26" customWidth="1"/>
    <col min="26" max="28" width="11.42578125" customWidth="1"/>
  </cols>
  <sheetData>
    <row r="2" spans="2:28" ht="83" customHeight="1" x14ac:dyDescent="0.2">
      <c r="C2" s="130" t="s">
        <v>272</v>
      </c>
      <c r="D2" s="131"/>
      <c r="E2" s="131"/>
      <c r="F2" s="131"/>
      <c r="G2" s="132"/>
      <c r="I2" s="130" t="s">
        <v>273</v>
      </c>
      <c r="J2" s="131"/>
      <c r="K2" s="131"/>
      <c r="L2" s="131"/>
      <c r="M2" s="131"/>
      <c r="N2" s="132"/>
    </row>
    <row r="3" spans="2:28" ht="15" customHeight="1" thickBot="1" x14ac:dyDescent="0.25"/>
    <row r="4" spans="2:28" ht="65" customHeight="1" x14ac:dyDescent="0.2">
      <c r="C4" s="21" t="s">
        <v>100</v>
      </c>
      <c r="D4" s="133" t="s">
        <v>68</v>
      </c>
      <c r="E4" s="133"/>
      <c r="F4" s="133"/>
      <c r="G4" s="134"/>
      <c r="H4" s="135"/>
      <c r="I4" s="115" t="s">
        <v>264</v>
      </c>
      <c r="J4" s="116" t="s">
        <v>262</v>
      </c>
      <c r="K4" s="60" t="s">
        <v>263</v>
      </c>
      <c r="L4" s="107"/>
      <c r="M4" s="107"/>
      <c r="N4" s="107"/>
      <c r="O4" s="108"/>
      <c r="P4" s="108"/>
      <c r="Q4" s="108"/>
      <c r="R4" s="1"/>
      <c r="S4" s="1"/>
      <c r="T4" s="1"/>
      <c r="U4" s="1"/>
      <c r="V4" s="1"/>
      <c r="W4" s="1"/>
      <c r="X4" s="1"/>
      <c r="Y4" s="1"/>
      <c r="Z4" s="1"/>
      <c r="AA4" s="1"/>
      <c r="AB4" s="1"/>
    </row>
    <row r="5" spans="2:28" ht="34" customHeight="1" x14ac:dyDescent="0.2">
      <c r="C5" s="22" t="s">
        <v>101</v>
      </c>
      <c r="D5" s="136" t="s">
        <v>10</v>
      </c>
      <c r="E5" s="136"/>
      <c r="F5" s="136"/>
      <c r="G5" s="137"/>
      <c r="H5" s="135"/>
      <c r="I5" s="68">
        <f>$D$7 - $D$6 - SUM(I6:I9)</f>
        <v>2</v>
      </c>
      <c r="J5" s="59" t="s">
        <v>219</v>
      </c>
      <c r="K5" s="47">
        <f>(I10*$D$30*$D$34)-SUM(K6:K9)</f>
        <v>0</v>
      </c>
      <c r="L5" s="138" t="s">
        <v>274</v>
      </c>
      <c r="M5" s="139"/>
      <c r="N5" s="140"/>
      <c r="O5" s="108"/>
      <c r="P5" s="108"/>
      <c r="Q5" s="108"/>
      <c r="R5" s="1"/>
      <c r="S5" s="1"/>
      <c r="T5" s="1"/>
      <c r="U5" s="1"/>
      <c r="V5" s="1"/>
      <c r="W5" s="1"/>
      <c r="X5" s="1"/>
      <c r="Y5" s="1"/>
      <c r="Z5" s="1"/>
      <c r="AA5" s="1"/>
      <c r="AB5" s="1"/>
    </row>
    <row r="6" spans="2:28" ht="34" customHeight="1" x14ac:dyDescent="0.2">
      <c r="C6" s="22" t="s">
        <v>247</v>
      </c>
      <c r="D6" s="144">
        <v>5</v>
      </c>
      <c r="E6" s="144"/>
      <c r="F6" s="144"/>
      <c r="G6" s="145"/>
      <c r="H6" s="135"/>
      <c r="I6" s="68">
        <f>IF(Metadata!C8="Digital PCR (dPCR)",$D$7/4,$D$7/2)</f>
        <v>10</v>
      </c>
      <c r="J6" s="59" t="s">
        <v>220</v>
      </c>
      <c r="K6" s="47">
        <f>ROUNDUP(I6*$D$30*$D$34,0)</f>
        <v>0</v>
      </c>
      <c r="L6" s="141"/>
      <c r="M6" s="142"/>
      <c r="N6" s="143"/>
      <c r="O6" s="109"/>
      <c r="P6" s="109"/>
      <c r="Q6" s="109"/>
      <c r="R6" s="109"/>
      <c r="S6" s="1"/>
      <c r="T6" s="1"/>
      <c r="U6" s="1"/>
      <c r="V6" s="1"/>
      <c r="W6" s="1"/>
      <c r="X6" s="1"/>
      <c r="Y6" s="1"/>
      <c r="Z6" s="1"/>
      <c r="AA6" s="1"/>
      <c r="AB6" s="1"/>
    </row>
    <row r="7" spans="2:28" ht="34" customHeight="1" x14ac:dyDescent="0.2">
      <c r="C7" s="22" t="s">
        <v>245</v>
      </c>
      <c r="D7" s="136">
        <v>20</v>
      </c>
      <c r="E7" s="136"/>
      <c r="F7" s="136"/>
      <c r="G7" s="137"/>
      <c r="H7" s="135"/>
      <c r="I7" s="68">
        <f>IF(Metadata!C8="Digital PCR (dPCR)",$D$7/100,$D$7/10)</f>
        <v>2</v>
      </c>
      <c r="J7" s="59" t="s">
        <v>231</v>
      </c>
      <c r="K7" s="47">
        <f>ROUNDUP(I7*$D$30*$D$34,1)</f>
        <v>0</v>
      </c>
      <c r="L7" s="141"/>
      <c r="M7" s="142"/>
      <c r="N7" s="143"/>
      <c r="O7" s="109"/>
      <c r="P7" s="109"/>
      <c r="Q7" s="109"/>
      <c r="R7" s="109"/>
      <c r="S7" s="1"/>
      <c r="T7" s="1"/>
      <c r="U7" s="1"/>
      <c r="V7" s="1"/>
      <c r="W7" s="1"/>
      <c r="X7" s="1"/>
      <c r="Y7" s="1"/>
      <c r="Z7" s="1"/>
      <c r="AA7" s="1"/>
      <c r="AB7" s="1"/>
    </row>
    <row r="8" spans="2:28" ht="39" customHeight="1" x14ac:dyDescent="0.2">
      <c r="C8" s="146" t="s">
        <v>246</v>
      </c>
      <c r="D8" s="148"/>
      <c r="E8" s="148"/>
      <c r="F8" s="148"/>
      <c r="G8" s="149"/>
      <c r="H8" s="135"/>
      <c r="I8" s="68">
        <f>IF(Metadata!C8="Digital PCR (dPCR)",$D$7/20,$D$7/20)</f>
        <v>1</v>
      </c>
      <c r="J8" s="59" t="s">
        <v>221</v>
      </c>
      <c r="K8" s="47">
        <f>ROUNDUP(I8*$D$30*$D$34,1)</f>
        <v>0</v>
      </c>
      <c r="L8" s="141"/>
      <c r="M8" s="142"/>
      <c r="N8" s="143"/>
      <c r="O8" s="109"/>
      <c r="P8" s="109"/>
      <c r="Q8" s="109"/>
      <c r="R8" s="109"/>
      <c r="S8" s="1"/>
      <c r="T8" s="1"/>
      <c r="U8" s="1"/>
      <c r="V8" s="1"/>
      <c r="W8" s="1"/>
      <c r="X8" s="1"/>
      <c r="Y8" s="1"/>
      <c r="Z8" s="1"/>
      <c r="AA8" s="1"/>
      <c r="AB8" s="1"/>
    </row>
    <row r="9" spans="2:28" ht="39" customHeight="1" x14ac:dyDescent="0.2">
      <c r="C9" s="146"/>
      <c r="D9" s="148"/>
      <c r="E9" s="148"/>
      <c r="F9" s="148"/>
      <c r="G9" s="149"/>
      <c r="H9" s="135"/>
      <c r="I9" s="122">
        <v>0</v>
      </c>
      <c r="J9" s="123" t="s">
        <v>265</v>
      </c>
      <c r="K9" s="117">
        <f>ROUNDUP(I9*$D$30*$D$34,1)</f>
        <v>0</v>
      </c>
      <c r="L9" s="141"/>
      <c r="M9" s="142"/>
      <c r="N9" s="143"/>
      <c r="O9" s="109"/>
      <c r="P9" s="109"/>
      <c r="Q9" s="109"/>
      <c r="R9" s="109"/>
      <c r="S9" s="1"/>
      <c r="T9" s="1"/>
      <c r="U9" s="1"/>
      <c r="V9" s="1"/>
      <c r="W9" s="1"/>
      <c r="X9" s="1"/>
      <c r="Y9" s="1"/>
      <c r="Z9" s="1"/>
      <c r="AA9" s="1"/>
      <c r="AB9" s="1"/>
    </row>
    <row r="10" spans="2:28" ht="39" customHeight="1" thickBot="1" x14ac:dyDescent="0.25">
      <c r="C10" s="147"/>
      <c r="D10" s="150"/>
      <c r="E10" s="150"/>
      <c r="F10" s="150"/>
      <c r="G10" s="151"/>
      <c r="H10" s="103"/>
      <c r="I10" s="69">
        <f>SUM(I5:I8)</f>
        <v>15</v>
      </c>
      <c r="J10" s="118" t="s">
        <v>232</v>
      </c>
      <c r="K10" s="119">
        <f>ROUNDUP(I10*$D$30*$D$34,0)</f>
        <v>0</v>
      </c>
      <c r="L10" s="152" t="s">
        <v>257</v>
      </c>
      <c r="M10" s="153"/>
      <c r="N10" s="154"/>
      <c r="O10" s="109"/>
      <c r="P10" s="109"/>
      <c r="Q10" s="109"/>
      <c r="R10" s="109"/>
      <c r="S10" s="1"/>
      <c r="T10" s="1"/>
      <c r="U10" s="1"/>
      <c r="V10" s="1"/>
      <c r="W10" s="1"/>
      <c r="X10" s="1"/>
      <c r="Y10" s="1"/>
      <c r="Z10" s="1"/>
      <c r="AA10" s="1"/>
      <c r="AB10" s="1"/>
    </row>
    <row r="11" spans="2:28" ht="22" customHeight="1" thickBot="1" x14ac:dyDescent="0.25">
      <c r="B11" s="67"/>
      <c r="C11" s="135"/>
      <c r="D11" s="135"/>
      <c r="E11" s="135"/>
      <c r="F11" s="135"/>
      <c r="G11" s="135"/>
      <c r="H11" s="135"/>
      <c r="I11" s="135"/>
      <c r="J11" s="135"/>
      <c r="K11" s="135"/>
      <c r="L11" s="135"/>
      <c r="M11" s="135"/>
      <c r="N11" s="135"/>
      <c r="O11" s="109"/>
      <c r="P11" s="109"/>
      <c r="Q11" s="109"/>
      <c r="R11" s="109"/>
      <c r="S11" s="1"/>
      <c r="T11" s="1"/>
      <c r="U11" s="1"/>
      <c r="V11" s="1"/>
      <c r="W11" s="1"/>
      <c r="X11" s="1"/>
      <c r="Y11" s="1"/>
      <c r="Z11" s="1"/>
      <c r="AA11" s="1"/>
      <c r="AB11" s="1"/>
    </row>
    <row r="12" spans="2:28" s="19" customFormat="1" ht="40" customHeight="1" x14ac:dyDescent="0.2">
      <c r="C12" s="27" t="s">
        <v>121</v>
      </c>
      <c r="D12" s="28" t="s">
        <v>15</v>
      </c>
      <c r="E12" s="29" t="s">
        <v>118</v>
      </c>
      <c r="F12" s="30" t="s">
        <v>119</v>
      </c>
      <c r="G12" s="31" t="s">
        <v>120</v>
      </c>
      <c r="H12" s="155"/>
      <c r="I12" s="156" t="s">
        <v>261</v>
      </c>
      <c r="J12" s="157"/>
      <c r="K12" s="46" t="s">
        <v>258</v>
      </c>
      <c r="L12" s="158"/>
      <c r="M12" s="158"/>
      <c r="N12" s="158"/>
      <c r="O12" s="109"/>
      <c r="P12" s="109"/>
      <c r="Q12" s="109"/>
      <c r="R12" s="109"/>
    </row>
    <row r="13" spans="2:28" s="20" customFormat="1" ht="47" customHeight="1" x14ac:dyDescent="0.2">
      <c r="C13" s="23" t="s">
        <v>14</v>
      </c>
      <c r="D13" s="121" t="s">
        <v>115</v>
      </c>
      <c r="E13" s="48" t="s">
        <v>180</v>
      </c>
      <c r="F13" s="114" t="s">
        <v>97</v>
      </c>
      <c r="G13" s="48" t="s">
        <v>181</v>
      </c>
      <c r="H13" s="155"/>
      <c r="I13" s="159" t="s">
        <v>225</v>
      </c>
      <c r="J13" s="160"/>
      <c r="K13" s="70">
        <f>I10*$D$33</f>
        <v>16.5</v>
      </c>
      <c r="L13" s="161" t="s">
        <v>275</v>
      </c>
      <c r="M13" s="162"/>
      <c r="N13" s="163"/>
      <c r="O13" s="108"/>
      <c r="P13" s="108"/>
      <c r="Q13" s="108"/>
    </row>
    <row r="14" spans="2:28" s="20" customFormat="1" ht="46" customHeight="1" x14ac:dyDescent="0.2">
      <c r="C14" s="23" t="s">
        <v>23</v>
      </c>
      <c r="D14" s="121"/>
      <c r="E14" s="48"/>
      <c r="F14" s="114"/>
      <c r="G14" s="48"/>
      <c r="H14" s="155"/>
      <c r="I14" s="159" t="s">
        <v>32</v>
      </c>
      <c r="J14" s="160"/>
      <c r="K14" s="70">
        <f>D6*$D$33</f>
        <v>5.5</v>
      </c>
      <c r="L14" s="164" t="s">
        <v>276</v>
      </c>
      <c r="M14" s="165"/>
      <c r="N14" s="166"/>
      <c r="O14" s="108"/>
      <c r="P14" s="108"/>
      <c r="Q14" s="108"/>
    </row>
    <row r="15" spans="2:28" s="20" customFormat="1" ht="46" customHeight="1" x14ac:dyDescent="0.2">
      <c r="C15" s="23" t="s">
        <v>55</v>
      </c>
      <c r="D15" s="121"/>
      <c r="E15" s="48"/>
      <c r="F15" s="114"/>
      <c r="G15" s="48"/>
      <c r="H15" s="155"/>
      <c r="I15" s="167" t="s">
        <v>260</v>
      </c>
      <c r="J15" s="168"/>
      <c r="K15" s="120">
        <f>SUM(K13:K14)</f>
        <v>22</v>
      </c>
      <c r="L15" s="169" t="s">
        <v>251</v>
      </c>
      <c r="M15" s="170"/>
      <c r="N15" s="171"/>
      <c r="O15" s="44"/>
    </row>
    <row r="16" spans="2:28" s="20" customFormat="1" ht="46" customHeight="1" thickBot="1" x14ac:dyDescent="0.25">
      <c r="C16" s="23" t="s">
        <v>59</v>
      </c>
      <c r="D16" s="121"/>
      <c r="E16" s="48"/>
      <c r="F16" s="114"/>
      <c r="G16" s="48"/>
      <c r="H16" s="155"/>
      <c r="I16" s="172" t="s">
        <v>259</v>
      </c>
      <c r="J16" s="173"/>
      <c r="K16" s="72">
        <f>D7</f>
        <v>20</v>
      </c>
      <c r="L16" s="174" t="s">
        <v>277</v>
      </c>
      <c r="M16" s="175"/>
      <c r="N16" s="176"/>
      <c r="O16" s="177" t="s">
        <v>250</v>
      </c>
      <c r="P16" s="177"/>
      <c r="Q16" s="177"/>
      <c r="R16" s="177"/>
    </row>
    <row r="17" spans="2:28" s="20" customFormat="1" ht="47" customHeight="1" x14ac:dyDescent="0.2">
      <c r="C17" s="23" t="s">
        <v>61</v>
      </c>
      <c r="D17" s="121"/>
      <c r="E17" s="48"/>
      <c r="F17" s="114"/>
      <c r="G17" s="48"/>
      <c r="H17" s="155"/>
      <c r="I17" s="178"/>
      <c r="J17" s="178"/>
      <c r="K17" s="178"/>
      <c r="L17" s="71"/>
      <c r="O17" s="44"/>
    </row>
    <row r="18" spans="2:28" s="20" customFormat="1" ht="8" customHeight="1" thickBot="1" x14ac:dyDescent="0.25">
      <c r="C18" s="24"/>
      <c r="D18" s="32"/>
      <c r="E18" s="32"/>
      <c r="F18" s="25"/>
      <c r="G18" s="26"/>
      <c r="H18" s="155"/>
      <c r="I18" s="179"/>
      <c r="J18" s="179"/>
      <c r="K18" s="179"/>
    </row>
    <row r="19" spans="2:28" ht="50" customHeight="1" thickBot="1" x14ac:dyDescent="0.25">
      <c r="C19" s="192"/>
      <c r="D19" s="192"/>
      <c r="E19" s="192"/>
      <c r="F19" s="192"/>
      <c r="G19" s="192"/>
      <c r="H19" s="192"/>
      <c r="I19" s="192"/>
      <c r="J19" s="192"/>
      <c r="K19" s="192"/>
      <c r="L19" s="192"/>
      <c r="M19" s="192"/>
      <c r="N19" s="192"/>
      <c r="O19" s="1"/>
      <c r="P19" s="1"/>
      <c r="Q19" s="1"/>
      <c r="R19" s="1"/>
      <c r="S19" s="1"/>
      <c r="T19" s="1"/>
      <c r="U19" s="1"/>
      <c r="V19" s="1"/>
      <c r="W19" s="1"/>
      <c r="X19" s="1"/>
      <c r="Y19" s="1"/>
      <c r="Z19" s="1"/>
      <c r="AA19" s="1"/>
      <c r="AB19" s="1"/>
    </row>
    <row r="20" spans="2:28" ht="21" customHeight="1" x14ac:dyDescent="0.2">
      <c r="B20" s="33"/>
      <c r="C20" s="34">
        <v>1</v>
      </c>
      <c r="D20" s="34">
        <v>2</v>
      </c>
      <c r="E20" s="34">
        <v>3</v>
      </c>
      <c r="F20" s="34">
        <v>4</v>
      </c>
      <c r="G20" s="34">
        <v>5</v>
      </c>
      <c r="H20" s="34">
        <v>6</v>
      </c>
      <c r="I20" s="34">
        <v>7</v>
      </c>
      <c r="J20" s="34">
        <v>8</v>
      </c>
      <c r="K20" s="34">
        <v>9</v>
      </c>
      <c r="L20" s="34">
        <v>10</v>
      </c>
      <c r="M20" s="34">
        <v>11</v>
      </c>
      <c r="N20" s="35">
        <v>12</v>
      </c>
      <c r="O20" s="155"/>
      <c r="P20" s="1"/>
      <c r="Q20" s="1"/>
      <c r="R20" s="1"/>
      <c r="S20" s="1"/>
      <c r="T20" s="1"/>
      <c r="U20" s="1"/>
      <c r="V20" s="1"/>
      <c r="W20" s="1"/>
      <c r="X20" s="1"/>
      <c r="Y20" s="1"/>
      <c r="Z20" s="1"/>
      <c r="AA20" s="1"/>
      <c r="AB20" s="1"/>
    </row>
    <row r="21" spans="2:28" ht="66" customHeight="1" x14ac:dyDescent="0.2">
      <c r="B21" s="36" t="s">
        <v>24</v>
      </c>
      <c r="C21" s="104"/>
      <c r="D21" s="110"/>
      <c r="E21" s="4"/>
      <c r="F21" s="5"/>
      <c r="G21" s="4"/>
      <c r="H21" s="5"/>
      <c r="I21" s="4"/>
      <c r="J21" s="5"/>
      <c r="K21" s="4"/>
      <c r="L21" s="5"/>
      <c r="M21" s="4"/>
      <c r="N21" s="37"/>
      <c r="O21" s="155"/>
      <c r="P21" s="1"/>
      <c r="Q21" s="1"/>
      <c r="R21" s="1"/>
      <c r="S21" s="1"/>
      <c r="T21" s="1"/>
      <c r="U21" s="1"/>
      <c r="V21" s="1"/>
      <c r="W21" s="1"/>
      <c r="X21" s="1"/>
      <c r="Y21" s="1"/>
      <c r="Z21" s="1"/>
      <c r="AA21" s="1"/>
      <c r="AB21" s="1"/>
    </row>
    <row r="22" spans="2:28" ht="66" customHeight="1" x14ac:dyDescent="0.2">
      <c r="B22" s="36" t="s">
        <v>25</v>
      </c>
      <c r="C22" s="110"/>
      <c r="D22" s="104"/>
      <c r="E22" s="5"/>
      <c r="F22" s="4"/>
      <c r="G22" s="5"/>
      <c r="H22" s="4"/>
      <c r="I22" s="5"/>
      <c r="J22" s="4"/>
      <c r="K22" s="5"/>
      <c r="L22" s="4"/>
      <c r="M22" s="5"/>
      <c r="N22" s="38"/>
      <c r="O22" s="155"/>
      <c r="P22" s="1"/>
      <c r="Q22" s="1"/>
      <c r="R22" s="1"/>
      <c r="S22" s="1"/>
      <c r="T22" s="1"/>
      <c r="U22" s="1"/>
      <c r="V22" s="1"/>
      <c r="W22" s="1"/>
      <c r="X22" s="1"/>
      <c r="Y22" s="1"/>
      <c r="Z22" s="1"/>
      <c r="AA22" s="1"/>
      <c r="AB22" s="1"/>
    </row>
    <row r="23" spans="2:28" ht="66" customHeight="1" x14ac:dyDescent="0.2">
      <c r="B23" s="36" t="s">
        <v>26</v>
      </c>
      <c r="C23" s="104"/>
      <c r="D23" s="110"/>
      <c r="E23" s="4"/>
      <c r="F23" s="5"/>
      <c r="G23" s="4"/>
      <c r="H23" s="5"/>
      <c r="I23" s="4"/>
      <c r="J23" s="5"/>
      <c r="K23" s="4"/>
      <c r="L23" s="5"/>
      <c r="M23" s="4"/>
      <c r="N23" s="37"/>
      <c r="O23" s="155"/>
      <c r="P23" s="1"/>
      <c r="Q23" s="1"/>
      <c r="R23" s="1"/>
      <c r="S23" s="1"/>
      <c r="T23" s="1"/>
      <c r="U23" s="1"/>
      <c r="V23" s="1"/>
      <c r="W23" s="1"/>
      <c r="X23" s="1"/>
      <c r="Y23" s="1"/>
      <c r="Z23" s="1"/>
      <c r="AA23" s="1"/>
      <c r="AB23" s="1"/>
    </row>
    <row r="24" spans="2:28" ht="66" customHeight="1" x14ac:dyDescent="0.2">
      <c r="B24" s="36" t="s">
        <v>27</v>
      </c>
      <c r="C24" s="110"/>
      <c r="D24" s="104"/>
      <c r="E24" s="5"/>
      <c r="F24" s="4"/>
      <c r="G24" s="5"/>
      <c r="H24" s="4"/>
      <c r="I24" s="5"/>
      <c r="J24" s="4"/>
      <c r="K24" s="5"/>
      <c r="L24" s="4"/>
      <c r="M24" s="5"/>
      <c r="N24" s="38"/>
      <c r="O24" s="155"/>
      <c r="P24" s="1"/>
      <c r="Q24" s="1"/>
      <c r="R24" s="1"/>
      <c r="S24" s="1"/>
      <c r="T24" s="1"/>
      <c r="U24" s="1"/>
      <c r="V24" s="1"/>
      <c r="W24" s="1"/>
      <c r="X24" s="1"/>
      <c r="Y24" s="1"/>
      <c r="Z24" s="1"/>
      <c r="AA24" s="1"/>
      <c r="AB24" s="1"/>
    </row>
    <row r="25" spans="2:28" ht="66" customHeight="1" x14ac:dyDescent="0.2">
      <c r="B25" s="36" t="s">
        <v>28</v>
      </c>
      <c r="C25" s="104"/>
      <c r="D25" s="110"/>
      <c r="E25" s="4"/>
      <c r="F25" s="5"/>
      <c r="G25" s="4"/>
      <c r="H25" s="5"/>
      <c r="I25" s="4"/>
      <c r="J25" s="5"/>
      <c r="K25" s="4"/>
      <c r="L25" s="5"/>
      <c r="M25" s="4"/>
      <c r="N25" s="37"/>
      <c r="O25" s="155"/>
      <c r="P25" s="1"/>
      <c r="Q25" s="1"/>
      <c r="R25" s="1"/>
      <c r="S25" s="1"/>
      <c r="T25" s="1"/>
      <c r="U25" s="1"/>
      <c r="V25" s="1"/>
      <c r="W25" s="1"/>
      <c r="X25" s="1"/>
      <c r="Y25" s="1"/>
      <c r="Z25" s="1"/>
      <c r="AA25" s="1"/>
      <c r="AB25" s="1"/>
    </row>
    <row r="26" spans="2:28" ht="66" customHeight="1" x14ac:dyDescent="0.2">
      <c r="B26" s="36" t="s">
        <v>29</v>
      </c>
      <c r="C26" s="110"/>
      <c r="D26" s="104"/>
      <c r="E26" s="5"/>
      <c r="F26" s="4"/>
      <c r="G26" s="5"/>
      <c r="H26" s="4"/>
      <c r="I26" s="5"/>
      <c r="J26" s="4"/>
      <c r="K26" s="5"/>
      <c r="L26" s="4"/>
      <c r="M26" s="5"/>
      <c r="N26" s="38"/>
      <c r="O26" s="155"/>
      <c r="P26" s="1"/>
      <c r="Q26" s="1"/>
      <c r="R26" s="1"/>
      <c r="S26" s="1"/>
      <c r="T26" s="1"/>
      <c r="U26" s="1"/>
      <c r="V26" s="1"/>
      <c r="W26" s="1"/>
      <c r="X26" s="1"/>
      <c r="Y26" s="1"/>
      <c r="Z26" s="1"/>
      <c r="AA26" s="1"/>
      <c r="AB26" s="1"/>
    </row>
    <row r="27" spans="2:28" ht="66" customHeight="1" x14ac:dyDescent="0.2">
      <c r="B27" s="36" t="s">
        <v>30</v>
      </c>
      <c r="C27" s="104"/>
      <c r="D27" s="110"/>
      <c r="E27" s="4"/>
      <c r="F27" s="5"/>
      <c r="G27" s="4"/>
      <c r="H27" s="5"/>
      <c r="I27" s="4"/>
      <c r="J27" s="5"/>
      <c r="K27" s="4"/>
      <c r="L27" s="5"/>
      <c r="M27" s="4"/>
      <c r="N27" s="37"/>
      <c r="O27" s="155"/>
      <c r="P27" s="1"/>
      <c r="Q27" s="1"/>
      <c r="R27" s="1"/>
      <c r="S27" s="1"/>
      <c r="T27" s="1"/>
      <c r="U27" s="1"/>
      <c r="V27" s="1"/>
      <c r="W27" s="1"/>
      <c r="X27" s="1"/>
      <c r="Y27" s="1"/>
      <c r="Z27" s="1"/>
      <c r="AA27" s="1"/>
      <c r="AB27" s="1"/>
    </row>
    <row r="28" spans="2:28" ht="66" customHeight="1" thickBot="1" x14ac:dyDescent="0.25">
      <c r="B28" s="39" t="s">
        <v>31</v>
      </c>
      <c r="C28" s="111"/>
      <c r="D28" s="106"/>
      <c r="E28" s="40"/>
      <c r="F28" s="41"/>
      <c r="G28" s="40"/>
      <c r="H28" s="41"/>
      <c r="I28" s="40"/>
      <c r="J28" s="41"/>
      <c r="K28" s="40"/>
      <c r="L28" s="41"/>
      <c r="M28" s="40"/>
      <c r="N28" s="42"/>
      <c r="O28" s="155"/>
      <c r="P28" s="1"/>
      <c r="Q28" s="1"/>
      <c r="R28" s="1"/>
      <c r="S28" s="1"/>
      <c r="T28" s="1"/>
      <c r="U28" s="1"/>
      <c r="V28" s="1"/>
      <c r="W28" s="1"/>
      <c r="X28" s="1"/>
      <c r="Y28" s="1"/>
      <c r="Z28" s="1"/>
      <c r="AA28" s="1"/>
      <c r="AB28" s="1"/>
    </row>
    <row r="29" spans="2:28" ht="21" customHeight="1" thickBot="1" x14ac:dyDescent="0.25">
      <c r="C29" s="135"/>
      <c r="D29" s="135"/>
      <c r="E29" s="135"/>
      <c r="F29" s="135"/>
      <c r="G29" s="135"/>
      <c r="H29" s="135"/>
      <c r="I29" s="135"/>
      <c r="J29" s="135"/>
      <c r="K29" s="135"/>
      <c r="L29" s="135"/>
      <c r="M29" s="135"/>
      <c r="N29" s="135"/>
      <c r="O29" s="135"/>
      <c r="P29" s="1"/>
      <c r="Q29" s="1"/>
      <c r="R29" s="1"/>
      <c r="S29" s="1"/>
      <c r="T29" s="1"/>
      <c r="U29" s="1"/>
      <c r="V29" s="1"/>
      <c r="W29" s="1"/>
      <c r="X29" s="1"/>
      <c r="Y29" s="1"/>
      <c r="Z29" s="1"/>
      <c r="AA29" s="1"/>
      <c r="AB29" s="1"/>
    </row>
    <row r="30" spans="2:28" ht="25" customHeight="1" x14ac:dyDescent="0.2">
      <c r="C30" s="187" t="s">
        <v>278</v>
      </c>
      <c r="D30" s="189">
        <f>COUNTIF(C21:N28,"&lt;&gt;"&amp;"")</f>
        <v>0</v>
      </c>
      <c r="E30" s="181" t="s">
        <v>235</v>
      </c>
      <c r="F30" s="183" t="s">
        <v>249</v>
      </c>
      <c r="G30" s="183"/>
      <c r="H30" s="184"/>
      <c r="I30" s="1"/>
      <c r="J30" s="1"/>
      <c r="K30" s="1"/>
      <c r="L30" s="1"/>
      <c r="M30" s="1"/>
      <c r="N30" s="1"/>
      <c r="O30" s="1"/>
      <c r="P30" s="1"/>
      <c r="Q30" s="1"/>
      <c r="R30" s="1"/>
      <c r="S30" s="1"/>
      <c r="T30" s="1"/>
      <c r="U30" s="1"/>
      <c r="V30" s="1"/>
      <c r="W30" s="1"/>
      <c r="X30" s="1"/>
      <c r="Y30" s="1"/>
      <c r="Z30" s="1"/>
      <c r="AA30" s="1"/>
      <c r="AB30" s="1"/>
    </row>
    <row r="31" spans="2:28" ht="25" customHeight="1" thickBot="1" x14ac:dyDescent="0.25">
      <c r="C31" s="188"/>
      <c r="D31" s="190"/>
      <c r="E31" s="191"/>
      <c r="F31" s="185"/>
      <c r="G31" s="185"/>
      <c r="H31" s="186"/>
      <c r="I31" s="1"/>
      <c r="J31" s="1"/>
      <c r="K31" s="1"/>
      <c r="L31" s="1"/>
      <c r="M31" s="1"/>
      <c r="N31" s="1"/>
      <c r="O31" s="1"/>
      <c r="P31" s="1"/>
      <c r="Q31" s="1"/>
      <c r="R31" s="1"/>
      <c r="S31" s="1"/>
      <c r="T31" s="1"/>
      <c r="U31" s="1"/>
      <c r="V31" s="1"/>
      <c r="W31" s="1"/>
      <c r="X31" s="1"/>
      <c r="Y31" s="1"/>
      <c r="Z31" s="1"/>
      <c r="AA31" s="1"/>
      <c r="AB31" s="1"/>
    </row>
    <row r="32" spans="2:28" ht="21" customHeight="1" thickBot="1" x14ac:dyDescent="0.25">
      <c r="C32" s="180"/>
      <c r="D32" s="180"/>
      <c r="E32" s="180"/>
      <c r="F32" s="180"/>
      <c r="G32" s="180"/>
      <c r="H32" s="180"/>
      <c r="I32" s="1"/>
      <c r="J32" s="1"/>
      <c r="K32" s="1"/>
      <c r="L32" s="1"/>
      <c r="M32" s="1"/>
      <c r="N32" s="1"/>
      <c r="O32" s="1"/>
      <c r="P32" s="1"/>
      <c r="Q32" s="1"/>
      <c r="R32" s="1"/>
      <c r="S32" s="1"/>
      <c r="T32" s="1"/>
      <c r="U32" s="1"/>
      <c r="V32" s="1"/>
      <c r="W32" s="1"/>
      <c r="X32" s="1"/>
      <c r="Y32" s="1"/>
      <c r="Z32" s="1"/>
      <c r="AA32" s="1"/>
      <c r="AB32" s="1"/>
    </row>
    <row r="33" spans="3:28" ht="31" customHeight="1" x14ac:dyDescent="0.2">
      <c r="C33" s="63" t="s">
        <v>237</v>
      </c>
      <c r="D33" s="64">
        <v>1.1000000000000001</v>
      </c>
      <c r="E33" s="181" t="s">
        <v>235</v>
      </c>
      <c r="F33" s="183" t="s">
        <v>236</v>
      </c>
      <c r="G33" s="183"/>
      <c r="H33" s="184"/>
      <c r="I33" s="1"/>
      <c r="J33" s="1"/>
      <c r="K33" s="1"/>
      <c r="L33" s="1"/>
      <c r="M33" s="1"/>
      <c r="N33" s="1"/>
      <c r="O33" s="1"/>
      <c r="P33" s="1"/>
      <c r="Q33" s="1"/>
      <c r="R33" s="1"/>
      <c r="S33" s="1"/>
      <c r="T33" s="1"/>
      <c r="U33" s="1"/>
      <c r="V33" s="1"/>
      <c r="W33" s="1"/>
      <c r="X33" s="1"/>
      <c r="Y33" s="1"/>
      <c r="Z33" s="1"/>
      <c r="AA33" s="1"/>
      <c r="AB33" s="1"/>
    </row>
    <row r="34" spans="3:28" ht="31" customHeight="1" thickBot="1" x14ac:dyDescent="0.25">
      <c r="C34" s="65" t="s">
        <v>238</v>
      </c>
      <c r="D34" s="66">
        <v>1.1499999999999999</v>
      </c>
      <c r="E34" s="182"/>
      <c r="F34" s="185"/>
      <c r="G34" s="185"/>
      <c r="H34" s="186"/>
      <c r="I34" s="1"/>
      <c r="J34" s="1"/>
      <c r="K34" s="1"/>
      <c r="L34" s="1"/>
      <c r="M34" s="1"/>
      <c r="N34" s="1"/>
      <c r="O34" s="1"/>
      <c r="P34" s="1"/>
      <c r="Q34" s="1"/>
      <c r="R34" s="1"/>
      <c r="S34" s="1"/>
      <c r="T34" s="1"/>
      <c r="U34" s="1"/>
      <c r="V34" s="1"/>
      <c r="W34" s="1"/>
      <c r="X34" s="1"/>
      <c r="Y34" s="1"/>
      <c r="Z34" s="1"/>
      <c r="AA34" s="1"/>
      <c r="AB34" s="1"/>
    </row>
    <row r="35" spans="3:28" ht="21" customHeight="1" x14ac:dyDescent="0.2">
      <c r="D35" s="1"/>
      <c r="E35" s="1"/>
      <c r="F35" s="1"/>
      <c r="G35" s="1"/>
      <c r="H35" s="1"/>
      <c r="I35" s="1"/>
      <c r="J35" s="1"/>
      <c r="K35" s="1"/>
      <c r="L35" s="1"/>
      <c r="M35" s="1"/>
      <c r="N35" s="1"/>
      <c r="O35" s="1"/>
      <c r="P35" s="1"/>
      <c r="Q35" s="1"/>
      <c r="R35" s="1"/>
      <c r="S35" s="1"/>
      <c r="T35" s="1"/>
      <c r="U35" s="1"/>
      <c r="V35" s="1"/>
      <c r="W35" s="1"/>
      <c r="X35" s="1"/>
      <c r="Y35" s="1"/>
      <c r="Z35" s="1"/>
      <c r="AA35" s="1"/>
      <c r="AB35" s="1"/>
    </row>
    <row r="36" spans="3:28" ht="21" customHeight="1" x14ac:dyDescent="0.2">
      <c r="D36" s="1"/>
      <c r="E36" s="1"/>
      <c r="F36" s="1"/>
      <c r="G36" s="1"/>
      <c r="H36" s="1"/>
      <c r="I36" s="1"/>
      <c r="J36" s="1"/>
      <c r="K36" s="1"/>
      <c r="L36" s="1"/>
      <c r="M36" s="1"/>
      <c r="N36" s="1"/>
      <c r="O36" s="1"/>
      <c r="P36" s="1"/>
      <c r="Q36" s="1"/>
      <c r="R36" s="1"/>
      <c r="S36" s="1"/>
      <c r="T36" s="1"/>
      <c r="U36" s="1"/>
      <c r="V36" s="1"/>
      <c r="W36" s="1"/>
      <c r="X36" s="1"/>
      <c r="Y36" s="1"/>
      <c r="Z36" s="1"/>
      <c r="AA36" s="1"/>
      <c r="AB36" s="1"/>
    </row>
    <row r="37" spans="3:28" ht="21" customHeight="1" x14ac:dyDescent="0.2">
      <c r="D37" s="1"/>
      <c r="E37" s="1"/>
      <c r="F37" s="1"/>
      <c r="G37" s="1"/>
      <c r="H37" s="1"/>
      <c r="I37" s="1"/>
      <c r="J37" s="1"/>
      <c r="K37" s="1"/>
      <c r="L37" s="1"/>
      <c r="M37" s="1"/>
      <c r="N37" s="1"/>
      <c r="O37" s="1"/>
      <c r="P37" s="1"/>
      <c r="Q37" s="1"/>
      <c r="R37" s="1"/>
      <c r="S37" s="1"/>
      <c r="T37" s="1"/>
      <c r="U37" s="1"/>
      <c r="V37" s="1"/>
      <c r="W37" s="1"/>
      <c r="X37" s="1"/>
      <c r="Y37" s="1"/>
      <c r="Z37" s="1"/>
      <c r="AA37" s="1"/>
      <c r="AB37" s="1"/>
    </row>
    <row r="38" spans="3:28" ht="21" customHeight="1" x14ac:dyDescent="0.2">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3:28" ht="21" customHeight="1" x14ac:dyDescent="0.2">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3:28" ht="21" customHeight="1" x14ac:dyDescent="0.2">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3:28" ht="21" customHeight="1" x14ac:dyDescent="0.2">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3:28" ht="21" customHeight="1" x14ac:dyDescent="0.2">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3:28" ht="21" customHeight="1" x14ac:dyDescent="0.2">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3:28" ht="21" customHeight="1" x14ac:dyDescent="0.2">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3:28" ht="21" customHeight="1" x14ac:dyDescent="0.2">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3:28" ht="21" customHeight="1" x14ac:dyDescent="0.2">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3:28" ht="21" customHeight="1" x14ac:dyDescent="0.2">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3:28" ht="21" customHeight="1" x14ac:dyDescent="0.2">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3:28" ht="21" customHeight="1" x14ac:dyDescent="0.2">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3:28" ht="21" customHeight="1" x14ac:dyDescent="0.2">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3:28" ht="21" customHeight="1" x14ac:dyDescent="0.2">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3:28" ht="21" customHeight="1" x14ac:dyDescent="0.2">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3:28" ht="21" customHeight="1" x14ac:dyDescent="0.2">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3:28" ht="21" customHeight="1" x14ac:dyDescent="0.2">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3:28" ht="21" customHeight="1" x14ac:dyDescent="0.2">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3:28" ht="21" customHeight="1" x14ac:dyDescent="0.2">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3:28" ht="21" customHeight="1" x14ac:dyDescent="0.2">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3:28" ht="21" customHeight="1" x14ac:dyDescent="0.2">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3:28" ht="21" customHeight="1" x14ac:dyDescent="0.2">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3:28" ht="21" customHeight="1" x14ac:dyDescent="0.2">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3:28" ht="21" customHeight="1" x14ac:dyDescent="0.2">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3:28" ht="21" customHeight="1" x14ac:dyDescent="0.2">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3:28" ht="21" customHeight="1" x14ac:dyDescent="0.2">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3:28" ht="21" customHeight="1" x14ac:dyDescent="0.2">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3:28" ht="21" customHeight="1" x14ac:dyDescent="0.2">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3:28" ht="21" customHeight="1" x14ac:dyDescent="0.2">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3:28" ht="21" customHeight="1" x14ac:dyDescent="0.2">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3:28" ht="21" customHeight="1" x14ac:dyDescent="0.2">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3:28" ht="21" customHeight="1" x14ac:dyDescent="0.2">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3:28" ht="21" customHeight="1" x14ac:dyDescent="0.2">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3:28" ht="21" customHeight="1" x14ac:dyDescent="0.2">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3:28" ht="21" customHeight="1" x14ac:dyDescent="0.2">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3:28" ht="21" customHeight="1" x14ac:dyDescent="0.2">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3:28" ht="21" customHeight="1" x14ac:dyDescent="0.2">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3:28" ht="21" customHeight="1" x14ac:dyDescent="0.2">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3:28" ht="21" customHeight="1" x14ac:dyDescent="0.2">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3:28" ht="21" customHeight="1" x14ac:dyDescent="0.2">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3:28" ht="21" customHeight="1" x14ac:dyDescent="0.2">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3:28" ht="21" customHeight="1" x14ac:dyDescent="0.2">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3:28" ht="21" customHeight="1" x14ac:dyDescent="0.2">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3:28" ht="21" customHeight="1" x14ac:dyDescent="0.2">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3:28" ht="21" customHeight="1" x14ac:dyDescent="0.2">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3:28" ht="21" customHeight="1" x14ac:dyDescent="0.2">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3:28" ht="21" customHeight="1" x14ac:dyDescent="0.2">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3:28" ht="21" customHeight="1" x14ac:dyDescent="0.2">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3:28" ht="21" customHeight="1" x14ac:dyDescent="0.2">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3:28" ht="21" customHeight="1" x14ac:dyDescent="0.2">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3:28" ht="21" customHeight="1" x14ac:dyDescent="0.2">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3:28" ht="21" customHeight="1" x14ac:dyDescent="0.2">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3:28" ht="21" customHeight="1" x14ac:dyDescent="0.2">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3:28" ht="21" customHeight="1" x14ac:dyDescent="0.2">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3:28" ht="21" customHeight="1" x14ac:dyDescent="0.2">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3:28" ht="21" customHeight="1" x14ac:dyDescent="0.2">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3:28" ht="21" customHeight="1" x14ac:dyDescent="0.2">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3:28" ht="21" customHeight="1" x14ac:dyDescent="0.2">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3:28" ht="21" customHeight="1" x14ac:dyDescent="0.2">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3:28" ht="21" customHeight="1" x14ac:dyDescent="0.2">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3:28" ht="21" customHeight="1" x14ac:dyDescent="0.2">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3:28" ht="21" customHeight="1" x14ac:dyDescent="0.2">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3:28" ht="21" customHeight="1" x14ac:dyDescent="0.2">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3:28" ht="21" customHeight="1" x14ac:dyDescent="0.2">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3:28" ht="21" customHeight="1" x14ac:dyDescent="0.2">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3:28" ht="21" customHeight="1" x14ac:dyDescent="0.2">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3:28" ht="21" customHeight="1" x14ac:dyDescent="0.2">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3:28" ht="21" customHeight="1" x14ac:dyDescent="0.2">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3:28" ht="21" customHeight="1" x14ac:dyDescent="0.2">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3:28" ht="21" customHeight="1" x14ac:dyDescent="0.2">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3:28" ht="21" customHeight="1" x14ac:dyDescent="0.2">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3:28" ht="21" customHeight="1" x14ac:dyDescent="0.2">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3:28" ht="21" customHeight="1" x14ac:dyDescent="0.2">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3:28" ht="21" customHeight="1" x14ac:dyDescent="0.2">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3:28" ht="21" customHeight="1" x14ac:dyDescent="0.2">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3:28" ht="21" customHeight="1" x14ac:dyDescent="0.2">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3:28" ht="21" customHeight="1" x14ac:dyDescent="0.2">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3:28" ht="21" customHeight="1" x14ac:dyDescent="0.2">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3:28" ht="21" customHeight="1" x14ac:dyDescent="0.2">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3:28" ht="21" customHeight="1" x14ac:dyDescent="0.2">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3:28" ht="21" customHeight="1" x14ac:dyDescent="0.2">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3:28" ht="21" customHeight="1" x14ac:dyDescent="0.2">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3:28" ht="21" customHeight="1" x14ac:dyDescent="0.2">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3:28" ht="21" customHeight="1" x14ac:dyDescent="0.2">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3:28" ht="21" customHeight="1" x14ac:dyDescent="0.2">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3:28" ht="21" customHeight="1" x14ac:dyDescent="0.2">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3:28" ht="21" customHeight="1" x14ac:dyDescent="0.2">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3:28" ht="21" customHeight="1" x14ac:dyDescent="0.2">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3:28" ht="21" customHeight="1" x14ac:dyDescent="0.2">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3:28" ht="21" customHeight="1" x14ac:dyDescent="0.2">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3:28" ht="21" customHeight="1" x14ac:dyDescent="0.2">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3:28" ht="21" customHeight="1" x14ac:dyDescent="0.2">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3:28" ht="21" customHeight="1" x14ac:dyDescent="0.2">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3:28" ht="21" customHeight="1" x14ac:dyDescent="0.2">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3:28" ht="21" customHeight="1" x14ac:dyDescent="0.2">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3:28" ht="21" customHeight="1" x14ac:dyDescent="0.2">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3:28" ht="21" customHeight="1" x14ac:dyDescent="0.2">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3:28" ht="21" customHeight="1" x14ac:dyDescent="0.2">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3:28" ht="21" customHeight="1" x14ac:dyDescent="0.2">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3:28" ht="21" customHeight="1" x14ac:dyDescent="0.2">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3:28" ht="21" customHeight="1" x14ac:dyDescent="0.2">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3:28" ht="21" customHeight="1" x14ac:dyDescent="0.2">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3:28" ht="21" customHeight="1" x14ac:dyDescent="0.2">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3:28" ht="21" customHeight="1" x14ac:dyDescent="0.2">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3:28" ht="21" customHeight="1" x14ac:dyDescent="0.2">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3:28" ht="21" customHeight="1" x14ac:dyDescent="0.2">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3:28" ht="21" customHeight="1" x14ac:dyDescent="0.2">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3:28" ht="21" customHeight="1" x14ac:dyDescent="0.2">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3:28" ht="21" customHeight="1" x14ac:dyDescent="0.2">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3:28" ht="21" customHeight="1" x14ac:dyDescent="0.2">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3:28" ht="21" customHeight="1" x14ac:dyDescent="0.2">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3:28" ht="21" customHeight="1" x14ac:dyDescent="0.2">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3:28" ht="21" customHeight="1" x14ac:dyDescent="0.2">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3:28" ht="21" customHeight="1" x14ac:dyDescent="0.2">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3:28" ht="21" customHeight="1" x14ac:dyDescent="0.2">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3:28" ht="21" customHeight="1" x14ac:dyDescent="0.2">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3:28" ht="21" customHeight="1" x14ac:dyDescent="0.2">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3:28" ht="21" customHeight="1" x14ac:dyDescent="0.2">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3:28" ht="21" customHeight="1" x14ac:dyDescent="0.2">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3:28" ht="21" customHeight="1" x14ac:dyDescent="0.2">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3:28" ht="21" customHeight="1" x14ac:dyDescent="0.2">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3:28" ht="21" customHeight="1" x14ac:dyDescent="0.2">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3:28" ht="21" customHeight="1" x14ac:dyDescent="0.2">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3:28" ht="21" customHeight="1" x14ac:dyDescent="0.2">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3:28" ht="21" customHeight="1" x14ac:dyDescent="0.2">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3:28" ht="21" customHeight="1" x14ac:dyDescent="0.2">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3:28" ht="21" customHeight="1" x14ac:dyDescent="0.2">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3:28" ht="21" customHeight="1" x14ac:dyDescent="0.2">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3:28" ht="21" customHeight="1" x14ac:dyDescent="0.2">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3:28" ht="21" customHeight="1" x14ac:dyDescent="0.2">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3:28" ht="21" customHeight="1" x14ac:dyDescent="0.2">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3:28" ht="21" customHeight="1" x14ac:dyDescent="0.2">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3:28" ht="21" customHeight="1" x14ac:dyDescent="0.2">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3:28" ht="21" customHeight="1" x14ac:dyDescent="0.2">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3:28" ht="21" customHeight="1" x14ac:dyDescent="0.2">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3:28" ht="21" customHeight="1" x14ac:dyDescent="0.2">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3:28" ht="15.75" customHeight="1" x14ac:dyDescent="0.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spans="3:28" ht="15.75" customHeight="1" x14ac:dyDescent="0.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spans="3:28" ht="15.75" customHeight="1" x14ac:dyDescent="0.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spans="3:28" ht="15.75" customHeight="1" x14ac:dyDescent="0.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spans="3:28" ht="15.75" customHeight="1" x14ac:dyDescent="0.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spans="3:28" ht="15.75" customHeight="1" x14ac:dyDescent="0.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spans="3:28" ht="15.75" customHeight="1" x14ac:dyDescent="0.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spans="3:28" ht="15.75" customHeight="1" x14ac:dyDescent="0.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spans="3:28" ht="15.75" customHeight="1" x14ac:dyDescent="0.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spans="3:28" ht="15.75" customHeight="1" x14ac:dyDescent="0.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spans="3:28" ht="15.75" customHeight="1" x14ac:dyDescent="0.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spans="3:28" ht="15.75" customHeight="1" x14ac:dyDescent="0.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spans="3:28" ht="15.75" customHeight="1" x14ac:dyDescent="0.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spans="3:28" ht="15.75" customHeight="1" x14ac:dyDescent="0.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spans="3:28" ht="15.75" customHeight="1" x14ac:dyDescent="0.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spans="3:28" ht="15.75" customHeight="1" x14ac:dyDescent="0.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spans="3:28" ht="15.75" customHeight="1" x14ac:dyDescent="0.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spans="3:28" ht="15.75" customHeight="1" x14ac:dyDescent="0.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spans="3:28" ht="15.75" customHeight="1" x14ac:dyDescent="0.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spans="3:28" ht="15.75" customHeight="1" x14ac:dyDescent="0.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spans="3:28" ht="15.75" customHeight="1" x14ac:dyDescent="0.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spans="3:28" ht="15.75" customHeight="1" x14ac:dyDescent="0.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spans="3:28" ht="15.75" customHeight="1" x14ac:dyDescent="0.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spans="3:28" ht="15.75" customHeight="1" x14ac:dyDescent="0.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spans="3:28" ht="15.75" customHeight="1" x14ac:dyDescent="0.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spans="3:28" ht="15.75" customHeight="1" x14ac:dyDescent="0.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spans="3:28" ht="15.75" customHeight="1" x14ac:dyDescent="0.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spans="3:28" ht="15.75" customHeight="1" x14ac:dyDescent="0.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spans="3:28" ht="15.75" customHeight="1" x14ac:dyDescent="0.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spans="3:28" ht="15.75" customHeight="1" x14ac:dyDescent="0.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spans="3:28" ht="15.75" customHeight="1" x14ac:dyDescent="0.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spans="3:28" ht="15.75" customHeight="1" x14ac:dyDescent="0.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spans="3:28" ht="15.75" customHeight="1" x14ac:dyDescent="0.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spans="3:28" ht="15.75" customHeight="1" x14ac:dyDescent="0.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spans="3:28" ht="15.75" customHeight="1" x14ac:dyDescent="0.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spans="3:28" ht="15.75" customHeight="1" x14ac:dyDescent="0.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spans="3:28" ht="15.75" customHeight="1" x14ac:dyDescent="0.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spans="3:28" ht="15.75" customHeight="1" x14ac:dyDescent="0.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spans="3:28" ht="15.75" customHeight="1" x14ac:dyDescent="0.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spans="3:28" ht="15.75" customHeight="1" x14ac:dyDescent="0.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spans="3:28" ht="15.75" customHeight="1" x14ac:dyDescent="0.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spans="3:28" ht="15.75" customHeight="1" x14ac:dyDescent="0.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spans="3:28" ht="15.75" customHeight="1" x14ac:dyDescent="0.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spans="3:28" ht="15.75" customHeight="1" x14ac:dyDescent="0.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spans="3:28" ht="15.75" customHeight="1" x14ac:dyDescent="0.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spans="3:28" ht="15.75" customHeight="1" x14ac:dyDescent="0.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spans="3:28" ht="15.75" customHeight="1" x14ac:dyDescent="0.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spans="3:28" ht="15.75" customHeight="1" x14ac:dyDescent="0.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spans="3:28" ht="15.75" customHeight="1" x14ac:dyDescent="0.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spans="3:28" ht="15.75" customHeight="1" x14ac:dyDescent="0.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spans="3:28" ht="15.75" customHeight="1" x14ac:dyDescent="0.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spans="3:28" ht="15.75" customHeight="1" x14ac:dyDescent="0.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spans="3:28" ht="15.75" customHeight="1" x14ac:dyDescent="0.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spans="3:28" ht="15.75" customHeight="1" x14ac:dyDescent="0.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spans="3:28" ht="15.75" customHeight="1" x14ac:dyDescent="0.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spans="3:28" ht="15.75" customHeight="1" x14ac:dyDescent="0.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spans="3:28" ht="15.75" customHeight="1" x14ac:dyDescent="0.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spans="3:28" ht="15.75" customHeight="1" x14ac:dyDescent="0.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spans="3:28" ht="15.75" customHeight="1" x14ac:dyDescent="0.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spans="3:28" ht="15.75" customHeight="1" x14ac:dyDescent="0.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spans="3:28" ht="15.75" customHeight="1" x14ac:dyDescent="0.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spans="3:28" ht="15.75" customHeight="1" x14ac:dyDescent="0.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spans="3:28" ht="15.75" customHeight="1" x14ac:dyDescent="0.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spans="3:28" ht="15.75" customHeight="1" x14ac:dyDescent="0.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spans="3:28" ht="15.75" customHeight="1" x14ac:dyDescent="0.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spans="3:28" ht="15.75" customHeight="1" x14ac:dyDescent="0.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spans="3:28" ht="15.75" customHeight="1" x14ac:dyDescent="0.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spans="3:28" ht="15.75" customHeight="1" x14ac:dyDescent="0.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spans="3:28" ht="15.75" customHeight="1" x14ac:dyDescent="0.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spans="3:28" ht="15.75" customHeight="1" x14ac:dyDescent="0.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spans="3:28" ht="15.75" customHeight="1" x14ac:dyDescent="0.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spans="3:28" ht="15.75" customHeight="1" x14ac:dyDescent="0.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spans="3:28" ht="15.75" customHeight="1" x14ac:dyDescent="0.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spans="3:28" ht="15.75" customHeight="1" x14ac:dyDescent="0.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spans="3:28" ht="15.75" customHeight="1" x14ac:dyDescent="0.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spans="3:28" ht="15.75" customHeight="1" x14ac:dyDescent="0.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spans="3:28" ht="15.75" customHeight="1" x14ac:dyDescent="0.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spans="3:28" ht="15.75" customHeight="1" x14ac:dyDescent="0.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spans="3:28" ht="15.75" customHeight="1" x14ac:dyDescent="0.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spans="3:28" ht="15.75" customHeight="1" x14ac:dyDescent="0.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spans="3:28" ht="15.75" customHeight="1" x14ac:dyDescent="0.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spans="3:28" ht="15.75" customHeight="1" x14ac:dyDescent="0.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spans="3:28" ht="15.75" customHeight="1" x14ac:dyDescent="0.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spans="3:28" ht="15.75" customHeight="1" x14ac:dyDescent="0.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spans="3:28" ht="15.75" customHeight="1" x14ac:dyDescent="0.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spans="3:28" ht="15.75" customHeight="1" x14ac:dyDescent="0.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spans="3:28" ht="15.75" customHeight="1" x14ac:dyDescent="0.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spans="3:28" ht="15.75" customHeight="1" x14ac:dyDescent="0.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spans="3:28" ht="15.75" customHeight="1" x14ac:dyDescent="0.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spans="3:28" ht="15.75" customHeight="1" x14ac:dyDescent="0.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spans="3:28" ht="15.75" customHeight="1" x14ac:dyDescent="0.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spans="3:28" ht="15.75" customHeight="1" x14ac:dyDescent="0.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spans="3:28" ht="15.75" customHeight="1" x14ac:dyDescent="0.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spans="3:28" ht="15.75" customHeight="1" x14ac:dyDescent="0.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spans="3:28" ht="15.75" customHeight="1" x14ac:dyDescent="0.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spans="3:28" ht="15.75" customHeight="1" x14ac:dyDescent="0.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spans="3:28" ht="15.75" customHeight="1" x14ac:dyDescent="0.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spans="3:28" ht="15.75" customHeight="1" x14ac:dyDescent="0.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spans="3:28" ht="15.75" customHeight="1" x14ac:dyDescent="0.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spans="3:28" ht="15.75" customHeight="1" x14ac:dyDescent="0.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spans="3:28" ht="15.75" customHeight="1" x14ac:dyDescent="0.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spans="3:28" ht="15.75" customHeight="1" x14ac:dyDescent="0.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spans="3:28" ht="15.75" customHeight="1" x14ac:dyDescent="0.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spans="3:28" ht="15.75" customHeight="1" x14ac:dyDescent="0.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spans="3:28" ht="15.75" customHeight="1" x14ac:dyDescent="0.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spans="3:28" ht="15.75" customHeight="1" x14ac:dyDescent="0.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spans="3:28" ht="15.75" customHeight="1" x14ac:dyDescent="0.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spans="3:28" ht="15.75" customHeight="1" x14ac:dyDescent="0.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spans="3:28" ht="15.75" customHeight="1" x14ac:dyDescent="0.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spans="3:28" ht="15.75" customHeight="1" x14ac:dyDescent="0.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spans="3:28" ht="15.75" customHeight="1" x14ac:dyDescent="0.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spans="3:28" ht="15.75" customHeight="1" x14ac:dyDescent="0.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spans="3:28" ht="15.75" customHeight="1" x14ac:dyDescent="0.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spans="3:28" ht="15.75" customHeight="1" x14ac:dyDescent="0.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spans="3:28" ht="15.75" customHeight="1" x14ac:dyDescent="0.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spans="3:28" ht="15.75" customHeight="1" x14ac:dyDescent="0.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spans="3:28" ht="15.75" customHeight="1" x14ac:dyDescent="0.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spans="3:28" ht="15.75" customHeight="1" x14ac:dyDescent="0.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spans="3:28" ht="15.75" customHeight="1" x14ac:dyDescent="0.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spans="3:28" ht="15.75" customHeight="1" x14ac:dyDescent="0.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spans="3:28" ht="15.75" customHeight="1" x14ac:dyDescent="0.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spans="3:28" ht="15.75" customHeight="1" x14ac:dyDescent="0.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spans="3:28" ht="15.75" customHeight="1" x14ac:dyDescent="0.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spans="3:28" ht="15.75" customHeight="1" x14ac:dyDescent="0.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spans="3:28" ht="15.75" customHeight="1" x14ac:dyDescent="0.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spans="3:28" ht="15.75" customHeight="1" x14ac:dyDescent="0.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spans="3:28" ht="15.75" customHeight="1" x14ac:dyDescent="0.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spans="3:28" ht="15.75" customHeight="1" x14ac:dyDescent="0.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spans="3:28" ht="15.75" customHeight="1" x14ac:dyDescent="0.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spans="3:28" ht="15.75" customHeight="1" x14ac:dyDescent="0.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spans="3:28" ht="15.75" customHeight="1" x14ac:dyDescent="0.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spans="3:28" ht="15.75" customHeight="1" x14ac:dyDescent="0.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spans="3:28" ht="15.75" customHeight="1" x14ac:dyDescent="0.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spans="3:28" ht="15.75" customHeight="1" x14ac:dyDescent="0.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spans="3:28" ht="15.75" customHeight="1" x14ac:dyDescent="0.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spans="3:28" ht="15.75" customHeight="1" x14ac:dyDescent="0.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spans="3:28" ht="15.75" customHeight="1" x14ac:dyDescent="0.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spans="3:28" ht="15.75" customHeight="1" x14ac:dyDescent="0.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spans="3:28" ht="15.75" customHeight="1" x14ac:dyDescent="0.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spans="3:28" ht="15.75" customHeight="1" x14ac:dyDescent="0.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spans="3:28" ht="15.75" customHeight="1" x14ac:dyDescent="0.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spans="3:28" ht="15.75" customHeight="1" x14ac:dyDescent="0.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spans="3:28" ht="15.75" customHeight="1" x14ac:dyDescent="0.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spans="3:28" ht="15.75" customHeight="1" x14ac:dyDescent="0.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spans="3:28" ht="15.75" customHeight="1" x14ac:dyDescent="0.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spans="3:28" ht="15.75" customHeight="1" x14ac:dyDescent="0.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spans="3:28" ht="15.75" customHeight="1" x14ac:dyDescent="0.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spans="3:28" ht="15.75" customHeight="1" x14ac:dyDescent="0.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spans="3:28" ht="15.75" customHeight="1" x14ac:dyDescent="0.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spans="3:28" ht="15.75" customHeight="1" x14ac:dyDescent="0.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spans="3:28" ht="15.75" customHeight="1" x14ac:dyDescent="0.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spans="3:28" ht="15.75" customHeight="1" x14ac:dyDescent="0.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spans="3:28" ht="15.75" customHeight="1" x14ac:dyDescent="0.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spans="3:28" ht="15.75" customHeight="1" x14ac:dyDescent="0.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spans="3:28" ht="15.75" customHeight="1" x14ac:dyDescent="0.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spans="3:28" ht="15.75" customHeight="1" x14ac:dyDescent="0.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spans="3:28" ht="15.75" customHeight="1" x14ac:dyDescent="0.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spans="3:28" ht="15.75" customHeight="1" x14ac:dyDescent="0.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spans="3:28" ht="15.75" customHeight="1" x14ac:dyDescent="0.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spans="3:28" ht="15.75" customHeight="1" x14ac:dyDescent="0.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spans="3:28" ht="15.75" customHeight="1" x14ac:dyDescent="0.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spans="3:28" ht="15.75" customHeight="1" x14ac:dyDescent="0.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spans="3:28" ht="15.75" customHeight="1" x14ac:dyDescent="0.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spans="3:28" ht="15.75" customHeight="1" x14ac:dyDescent="0.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spans="3:28" ht="15.75" customHeight="1" x14ac:dyDescent="0.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spans="3:28" ht="15.75" customHeight="1" x14ac:dyDescent="0.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spans="3:28" ht="15.75" customHeight="1" x14ac:dyDescent="0.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spans="3:28" ht="15.75" customHeight="1" x14ac:dyDescent="0.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spans="3:28" ht="15.75" customHeight="1" x14ac:dyDescent="0.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spans="3:28" ht="15.75" customHeight="1" x14ac:dyDescent="0.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spans="3:28" ht="15.75" customHeight="1" x14ac:dyDescent="0.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spans="3:28" ht="15.75" customHeight="1" x14ac:dyDescent="0.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spans="3:28" ht="15.75" customHeight="1" x14ac:dyDescent="0.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spans="3:28" ht="15.75" customHeight="1" x14ac:dyDescent="0.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spans="3:28" ht="15.75" customHeight="1" x14ac:dyDescent="0.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spans="3:28" ht="15.75" customHeight="1" x14ac:dyDescent="0.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spans="3:28" ht="15.75" customHeight="1" x14ac:dyDescent="0.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spans="3:28" ht="15.75" customHeight="1" x14ac:dyDescent="0.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spans="3:28" ht="15.75" customHeight="1" x14ac:dyDescent="0.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spans="3:28" ht="15.75" customHeight="1" x14ac:dyDescent="0.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spans="3:28" ht="15.75" customHeight="1" x14ac:dyDescent="0.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spans="3:28" ht="15.75" customHeight="1" x14ac:dyDescent="0.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spans="3:28" ht="15.75" customHeight="1" x14ac:dyDescent="0.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spans="3:28" ht="15.75" customHeight="1" x14ac:dyDescent="0.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spans="3:28" ht="15.75" customHeight="1" x14ac:dyDescent="0.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spans="3:28" ht="15.75" customHeight="1" x14ac:dyDescent="0.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spans="3:28" ht="15.75" customHeight="1" x14ac:dyDescent="0.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spans="3:28" ht="15.75" customHeight="1" x14ac:dyDescent="0.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spans="3:28" ht="15.75" customHeight="1" x14ac:dyDescent="0.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spans="3:28" ht="15.75" customHeight="1" x14ac:dyDescent="0.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spans="3:28" ht="15.75" customHeight="1" x14ac:dyDescent="0.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spans="3:28" ht="15.75" customHeight="1" x14ac:dyDescent="0.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spans="3:28" ht="15.75" customHeight="1" x14ac:dyDescent="0.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spans="3:28" ht="15.75" customHeight="1" x14ac:dyDescent="0.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spans="3:28" ht="15.75" customHeight="1" x14ac:dyDescent="0.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spans="3:28" ht="15.75" customHeight="1" x14ac:dyDescent="0.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spans="3:28" ht="15.75" customHeight="1" x14ac:dyDescent="0.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spans="3:28" ht="15.75" customHeight="1" x14ac:dyDescent="0.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spans="3:28" ht="15.75" customHeight="1" x14ac:dyDescent="0.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spans="3:28" ht="15.75" customHeight="1" x14ac:dyDescent="0.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spans="3:28" ht="15.75" customHeight="1" x14ac:dyDescent="0.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spans="3:28" ht="15.75" customHeight="1" x14ac:dyDescent="0.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spans="3:28" ht="15.75" customHeight="1" x14ac:dyDescent="0.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spans="3:28" ht="15.75" customHeight="1" x14ac:dyDescent="0.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spans="3:28" ht="15.75" customHeight="1" x14ac:dyDescent="0.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spans="3:28" ht="15.75" customHeight="1" x14ac:dyDescent="0.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spans="3:28" ht="15.75" customHeight="1" x14ac:dyDescent="0.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spans="3:28" ht="15.75" customHeight="1" x14ac:dyDescent="0.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spans="3:28" ht="15.75" customHeight="1" x14ac:dyDescent="0.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spans="3:28" ht="15.75" customHeight="1" x14ac:dyDescent="0.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spans="3:28" ht="15.75" customHeight="1" x14ac:dyDescent="0.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spans="3:28" ht="15.75" customHeight="1" x14ac:dyDescent="0.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spans="3:28" ht="15.75" customHeight="1" x14ac:dyDescent="0.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spans="3:28" ht="15.75" customHeight="1" x14ac:dyDescent="0.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spans="3:28" ht="15.75" customHeight="1" x14ac:dyDescent="0.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spans="3:28" ht="15.75" customHeight="1" x14ac:dyDescent="0.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spans="3:28" ht="15.75" customHeight="1" x14ac:dyDescent="0.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spans="3:28" ht="15.75" customHeight="1" x14ac:dyDescent="0.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spans="3:28" ht="15.75" customHeight="1" x14ac:dyDescent="0.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spans="3:28" ht="15.75" customHeight="1" x14ac:dyDescent="0.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spans="3:28" ht="15.75" customHeight="1" x14ac:dyDescent="0.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spans="3:28" ht="15.75" customHeight="1" x14ac:dyDescent="0.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spans="3:28" ht="15.75" customHeight="1" x14ac:dyDescent="0.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spans="3:28" ht="15.75" customHeight="1" x14ac:dyDescent="0.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spans="3:28" ht="15.75" customHeight="1" x14ac:dyDescent="0.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spans="3:28" ht="15.75" customHeight="1" x14ac:dyDescent="0.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spans="3:28" ht="15.75" customHeight="1" x14ac:dyDescent="0.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spans="3:28" ht="15.75" customHeight="1" x14ac:dyDescent="0.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spans="3:28" ht="15.75" customHeight="1" x14ac:dyDescent="0.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spans="3:28" ht="15.75" customHeight="1" x14ac:dyDescent="0.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spans="3:28" ht="15.75" customHeight="1" x14ac:dyDescent="0.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spans="3:28" ht="15.75" customHeight="1" x14ac:dyDescent="0.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spans="3:28" ht="15.75" customHeight="1" x14ac:dyDescent="0.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spans="3:28" ht="15.75" customHeight="1" x14ac:dyDescent="0.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spans="3:28" ht="15.75" customHeight="1" x14ac:dyDescent="0.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spans="3:28" ht="15.75" customHeight="1" x14ac:dyDescent="0.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spans="3:28" ht="15.75" customHeight="1" x14ac:dyDescent="0.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spans="3:28" ht="15.75" customHeight="1" x14ac:dyDescent="0.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spans="3:28" ht="15.75" customHeight="1" x14ac:dyDescent="0.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spans="3:28" ht="15.75" customHeight="1" x14ac:dyDescent="0.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spans="3:28" ht="15.75" customHeight="1" x14ac:dyDescent="0.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spans="3:28" ht="15.75" customHeight="1" x14ac:dyDescent="0.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spans="3:28" ht="15.75" customHeight="1" x14ac:dyDescent="0.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spans="3:28" ht="15.75" customHeight="1" x14ac:dyDescent="0.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spans="3:28" ht="15.75" customHeight="1" x14ac:dyDescent="0.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spans="3:28" ht="15.75" customHeight="1" x14ac:dyDescent="0.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spans="3:28" ht="15.75" customHeight="1" x14ac:dyDescent="0.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spans="3:28" ht="15.75" customHeight="1" x14ac:dyDescent="0.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spans="3:28" ht="15.75" customHeight="1" x14ac:dyDescent="0.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spans="3:28" ht="15.75" customHeight="1" x14ac:dyDescent="0.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spans="3:28" ht="15.75" customHeight="1" x14ac:dyDescent="0.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spans="3:28" ht="15.75" customHeight="1" x14ac:dyDescent="0.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spans="3:28" ht="15.75" customHeight="1" x14ac:dyDescent="0.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spans="3:28" ht="15.75" customHeight="1" x14ac:dyDescent="0.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spans="3:28" ht="15.75" customHeight="1" x14ac:dyDescent="0.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spans="3:28" ht="15.75" customHeight="1" x14ac:dyDescent="0.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spans="3:28" ht="15.75" customHeight="1" x14ac:dyDescent="0.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spans="3:28" ht="15.75" customHeight="1" x14ac:dyDescent="0.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spans="3:28" ht="15.75" customHeight="1" x14ac:dyDescent="0.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spans="3:28" ht="15.75" customHeight="1" x14ac:dyDescent="0.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spans="3:28" ht="15.75" customHeight="1" x14ac:dyDescent="0.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spans="3:28" ht="15.75" customHeight="1" x14ac:dyDescent="0.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spans="3:28" ht="15.75" customHeight="1" x14ac:dyDescent="0.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spans="3:28" ht="15.75" customHeight="1" x14ac:dyDescent="0.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spans="3:28" ht="15.75" customHeight="1" x14ac:dyDescent="0.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spans="3:28" ht="15.75" customHeight="1" x14ac:dyDescent="0.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spans="3:28" ht="15.75" customHeight="1" x14ac:dyDescent="0.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spans="3:28" ht="15.75" customHeight="1" x14ac:dyDescent="0.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spans="3:28" ht="15.75" customHeight="1" x14ac:dyDescent="0.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spans="3:28" ht="15.75" customHeight="1" x14ac:dyDescent="0.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spans="3:28" ht="15.75" customHeight="1" x14ac:dyDescent="0.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spans="3:28" ht="15.75" customHeight="1" x14ac:dyDescent="0.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spans="3:28" ht="15.75" customHeight="1" x14ac:dyDescent="0.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spans="3:28" ht="15.75" customHeight="1" x14ac:dyDescent="0.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spans="3:28" ht="15.75" customHeight="1" x14ac:dyDescent="0.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spans="3:28" ht="15.75" customHeight="1" x14ac:dyDescent="0.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spans="3:28" ht="15.75" customHeight="1" x14ac:dyDescent="0.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spans="3:28" ht="15.75" customHeight="1" x14ac:dyDescent="0.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spans="3:28" ht="15.75" customHeight="1" x14ac:dyDescent="0.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spans="3:28" ht="15.75" customHeight="1" x14ac:dyDescent="0.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spans="3:28" ht="15.75" customHeight="1" x14ac:dyDescent="0.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spans="3:28" ht="15.75" customHeight="1" x14ac:dyDescent="0.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spans="3:28" ht="15.75" customHeight="1" x14ac:dyDescent="0.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spans="3:28" ht="15.75" customHeight="1" x14ac:dyDescent="0.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spans="3:28" ht="15.75" customHeight="1" x14ac:dyDescent="0.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spans="3:28" ht="15.75" customHeight="1" x14ac:dyDescent="0.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spans="3:28" ht="15.75" customHeight="1" x14ac:dyDescent="0.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spans="3:28" ht="15.75" customHeight="1" x14ac:dyDescent="0.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spans="3:28" ht="15.75" customHeight="1" x14ac:dyDescent="0.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spans="3:28" ht="15.75" customHeight="1" x14ac:dyDescent="0.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spans="3:28" ht="15.75" customHeight="1" x14ac:dyDescent="0.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spans="3:28" ht="15.75" customHeight="1" x14ac:dyDescent="0.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spans="3:28" ht="15.75" customHeight="1" x14ac:dyDescent="0.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spans="3:28" ht="15.75" customHeight="1" x14ac:dyDescent="0.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spans="3:28" ht="15.75" customHeight="1" x14ac:dyDescent="0.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spans="3:28" ht="15.75" customHeight="1" x14ac:dyDescent="0.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spans="3:28" ht="15.75" customHeight="1" x14ac:dyDescent="0.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spans="3:28" ht="15.75" customHeight="1" x14ac:dyDescent="0.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spans="3:28" ht="15.75" customHeight="1" x14ac:dyDescent="0.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spans="3:28" ht="15.75" customHeight="1" x14ac:dyDescent="0.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spans="3:28" ht="15.75" customHeight="1" x14ac:dyDescent="0.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spans="3:28" ht="15.75" customHeight="1" x14ac:dyDescent="0.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spans="3:28" ht="15.75" customHeight="1" x14ac:dyDescent="0.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spans="3:28" ht="15.75" customHeight="1" x14ac:dyDescent="0.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spans="3:28" ht="15.75" customHeight="1" x14ac:dyDescent="0.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spans="3:28" ht="15.75" customHeight="1" x14ac:dyDescent="0.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spans="3:28" ht="15.75" customHeight="1" x14ac:dyDescent="0.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spans="3:28" ht="15.75" customHeight="1" x14ac:dyDescent="0.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spans="3:28" ht="15.75" customHeight="1" x14ac:dyDescent="0.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spans="3:28" ht="15.75" customHeight="1" x14ac:dyDescent="0.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spans="3:28" ht="15.75" customHeight="1" x14ac:dyDescent="0.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spans="3:28" ht="15.75" customHeight="1" x14ac:dyDescent="0.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spans="3:28" ht="15.75" customHeight="1" x14ac:dyDescent="0.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spans="3:28" ht="15.75" customHeight="1" x14ac:dyDescent="0.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spans="3:28" ht="15.75" customHeight="1" x14ac:dyDescent="0.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spans="3:28" ht="15.75" customHeight="1" x14ac:dyDescent="0.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spans="3:28" ht="15.75" customHeight="1" x14ac:dyDescent="0.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spans="3:28" ht="15.75" customHeight="1" x14ac:dyDescent="0.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spans="3:28" ht="15.75" customHeight="1" x14ac:dyDescent="0.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spans="3:28" ht="15.75" customHeight="1" x14ac:dyDescent="0.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spans="3:28" ht="15.75" customHeight="1" x14ac:dyDescent="0.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spans="3:28" ht="15.75" customHeight="1" x14ac:dyDescent="0.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spans="3:28" ht="15.75" customHeight="1" x14ac:dyDescent="0.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spans="3:28" ht="15.75" customHeight="1" x14ac:dyDescent="0.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spans="3:28" ht="15.75" customHeight="1" x14ac:dyDescent="0.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spans="3:28" ht="15.75" customHeight="1" x14ac:dyDescent="0.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spans="3:28" ht="15.75" customHeight="1" x14ac:dyDescent="0.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spans="3:28" ht="15.75" customHeight="1" x14ac:dyDescent="0.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spans="3:28" ht="15.75" customHeight="1" x14ac:dyDescent="0.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spans="3:28" ht="15.75" customHeight="1" x14ac:dyDescent="0.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spans="3:28" ht="15.75" customHeight="1" x14ac:dyDescent="0.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spans="3:28" ht="15.75" customHeight="1" x14ac:dyDescent="0.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spans="3:28" ht="15.75" customHeight="1" x14ac:dyDescent="0.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spans="3:28" ht="15.75" customHeight="1" x14ac:dyDescent="0.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spans="3:28" ht="15.75" customHeight="1" x14ac:dyDescent="0.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spans="3:28" ht="15.75" customHeight="1" x14ac:dyDescent="0.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spans="3:28" ht="15.75" customHeight="1" x14ac:dyDescent="0.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spans="3:28" ht="15.75" customHeight="1" x14ac:dyDescent="0.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spans="3:28" ht="15.75" customHeight="1" x14ac:dyDescent="0.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spans="3:28" ht="15.75" customHeight="1" x14ac:dyDescent="0.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spans="3:28" ht="15.75" customHeight="1" x14ac:dyDescent="0.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spans="3:28" ht="15.75" customHeight="1" x14ac:dyDescent="0.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spans="3:28" ht="15.75" customHeight="1" x14ac:dyDescent="0.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spans="3:28" ht="15.75" customHeight="1" x14ac:dyDescent="0.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spans="3:28" ht="15.75" customHeight="1" x14ac:dyDescent="0.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spans="3:28" ht="15.75" customHeight="1" x14ac:dyDescent="0.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spans="3:28" ht="15.75" customHeight="1" x14ac:dyDescent="0.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spans="3:28" ht="15.75" customHeight="1" x14ac:dyDescent="0.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spans="3:28" ht="15.75" customHeight="1" x14ac:dyDescent="0.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spans="3:28" ht="15.75" customHeight="1" x14ac:dyDescent="0.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spans="3:28" ht="15.75" customHeight="1" x14ac:dyDescent="0.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spans="3:28" ht="15.75" customHeight="1" x14ac:dyDescent="0.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spans="3:28" ht="15.75" customHeight="1" x14ac:dyDescent="0.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spans="3:28" ht="15.75" customHeight="1" x14ac:dyDescent="0.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spans="3:28" ht="15.75" customHeight="1" x14ac:dyDescent="0.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spans="3:28" ht="15.75" customHeight="1" x14ac:dyDescent="0.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spans="3:28" ht="15.75" customHeight="1" x14ac:dyDescent="0.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spans="3:28" ht="15.75" customHeight="1" x14ac:dyDescent="0.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spans="3:28" ht="15.75" customHeight="1" x14ac:dyDescent="0.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spans="3:28" ht="15.75" customHeight="1" x14ac:dyDescent="0.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spans="3:28" ht="15.75" customHeight="1" x14ac:dyDescent="0.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spans="3:28" ht="15.75" customHeight="1" x14ac:dyDescent="0.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spans="3:28" ht="15.75" customHeight="1" x14ac:dyDescent="0.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spans="3:28" ht="15.75" customHeight="1" x14ac:dyDescent="0.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spans="3:28" ht="15.75" customHeight="1" x14ac:dyDescent="0.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spans="3:28" ht="15.75" customHeight="1" x14ac:dyDescent="0.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spans="3:28" ht="15.75" customHeight="1" x14ac:dyDescent="0.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spans="3:28" ht="15.75" customHeight="1" x14ac:dyDescent="0.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spans="3:28" ht="15.75" customHeight="1" x14ac:dyDescent="0.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spans="3:28" ht="15.75" customHeight="1" x14ac:dyDescent="0.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spans="3:28" ht="15.75" customHeight="1" x14ac:dyDescent="0.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spans="3:28" ht="15.75" customHeight="1" x14ac:dyDescent="0.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spans="3:28" ht="15.75" customHeight="1" x14ac:dyDescent="0.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spans="3:28" ht="15.75" customHeight="1" x14ac:dyDescent="0.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spans="3:28" ht="15.75" customHeight="1" x14ac:dyDescent="0.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spans="3:28" ht="15.75" customHeight="1" x14ac:dyDescent="0.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spans="3:28" ht="15.75" customHeight="1" x14ac:dyDescent="0.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spans="3:28" ht="15.75" customHeight="1" x14ac:dyDescent="0.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spans="3:28" ht="15.75" customHeight="1" x14ac:dyDescent="0.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spans="3:28" ht="15.75" customHeight="1" x14ac:dyDescent="0.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spans="3:28" ht="15.75" customHeight="1" x14ac:dyDescent="0.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spans="3:28" ht="15.75" customHeight="1" x14ac:dyDescent="0.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spans="3:28" ht="15.75" customHeight="1" x14ac:dyDescent="0.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spans="3:28" ht="15.75" customHeight="1" x14ac:dyDescent="0.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spans="3:28" ht="15.75" customHeight="1" x14ac:dyDescent="0.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spans="3:28" ht="15.75" customHeight="1" x14ac:dyDescent="0.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spans="3:28" ht="15.75" customHeight="1" x14ac:dyDescent="0.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spans="3:28" ht="15.75" customHeight="1" x14ac:dyDescent="0.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spans="3:28" ht="15.75" customHeight="1" x14ac:dyDescent="0.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spans="3:28" ht="15.75" customHeight="1" x14ac:dyDescent="0.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spans="3:28" ht="15.75" customHeight="1" x14ac:dyDescent="0.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spans="3:28" ht="15.75" customHeight="1" x14ac:dyDescent="0.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spans="3:28" ht="15.75" customHeight="1" x14ac:dyDescent="0.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spans="3:28" ht="15.75" customHeight="1" x14ac:dyDescent="0.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spans="3:28" ht="15.75" customHeight="1" x14ac:dyDescent="0.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spans="3:28" ht="15.75" customHeight="1" x14ac:dyDescent="0.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spans="3:28" ht="15.75" customHeight="1" x14ac:dyDescent="0.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spans="3:28" ht="15.75" customHeight="1" x14ac:dyDescent="0.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spans="3:28" ht="15.75" customHeight="1" x14ac:dyDescent="0.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spans="3:28" ht="15.75" customHeight="1" x14ac:dyDescent="0.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spans="3:28" ht="15.75" customHeight="1" x14ac:dyDescent="0.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spans="3:28" ht="15.75" customHeight="1" x14ac:dyDescent="0.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spans="3:28" ht="15.75" customHeight="1" x14ac:dyDescent="0.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spans="3:28" ht="15.75" customHeight="1" x14ac:dyDescent="0.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spans="3:28" ht="15.75" customHeight="1" x14ac:dyDescent="0.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spans="3:28" ht="15.75" customHeight="1" x14ac:dyDescent="0.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spans="3:28" ht="15.75" customHeight="1" x14ac:dyDescent="0.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spans="3:28" ht="15.75" customHeight="1" x14ac:dyDescent="0.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spans="3:28" ht="15.75" customHeight="1" x14ac:dyDescent="0.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spans="3:28" ht="15.75" customHeight="1" x14ac:dyDescent="0.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spans="3:28" ht="15.75" customHeight="1" x14ac:dyDescent="0.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spans="3:28" ht="15.75" customHeight="1" x14ac:dyDescent="0.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spans="3:28" ht="15.75" customHeight="1" x14ac:dyDescent="0.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spans="3:28" ht="15.75" customHeight="1" x14ac:dyDescent="0.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spans="3:28" ht="15.75" customHeight="1" x14ac:dyDescent="0.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spans="3:28" ht="15.75" customHeight="1" x14ac:dyDescent="0.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spans="3:28" ht="15.75" customHeight="1" x14ac:dyDescent="0.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spans="3:28" ht="15.75" customHeight="1" x14ac:dyDescent="0.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spans="3:28" ht="15.75" customHeight="1" x14ac:dyDescent="0.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spans="3:28" ht="15.75" customHeight="1" x14ac:dyDescent="0.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spans="3:28" ht="15.75" customHeight="1" x14ac:dyDescent="0.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spans="3:28" ht="15.75" customHeight="1" x14ac:dyDescent="0.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spans="3:28" ht="15.75" customHeight="1" x14ac:dyDescent="0.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spans="3:28" ht="15.75" customHeight="1" x14ac:dyDescent="0.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spans="3:28" ht="15.75" customHeight="1" x14ac:dyDescent="0.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spans="3:28" ht="15.75" customHeight="1" x14ac:dyDescent="0.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spans="3:28" ht="15.75" customHeight="1" x14ac:dyDescent="0.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spans="3:28" ht="15.75" customHeight="1" x14ac:dyDescent="0.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spans="3:28" ht="15.75" customHeight="1" x14ac:dyDescent="0.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spans="3:28" ht="15.75" customHeight="1" x14ac:dyDescent="0.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spans="3:28" ht="15.75" customHeight="1" x14ac:dyDescent="0.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spans="3:28" ht="15.75" customHeight="1" x14ac:dyDescent="0.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spans="3:28" ht="15.75" customHeight="1" x14ac:dyDescent="0.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spans="3:28" ht="15.75" customHeight="1" x14ac:dyDescent="0.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spans="3:28" ht="15.75" customHeight="1" x14ac:dyDescent="0.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spans="3:28" ht="15.75" customHeight="1" x14ac:dyDescent="0.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spans="3:28" ht="15.75" customHeight="1" x14ac:dyDescent="0.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spans="3:28" ht="15.75" customHeight="1" x14ac:dyDescent="0.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spans="3:28" ht="15.75" customHeight="1" x14ac:dyDescent="0.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spans="3:28" ht="15.75" customHeight="1" x14ac:dyDescent="0.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spans="3:28" ht="15.75" customHeight="1" x14ac:dyDescent="0.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spans="3:28" ht="15.75" customHeight="1" x14ac:dyDescent="0.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spans="3:28" ht="15.75" customHeight="1" x14ac:dyDescent="0.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spans="3:28" ht="15.75" customHeight="1" x14ac:dyDescent="0.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spans="3:28" ht="15.75" customHeight="1" x14ac:dyDescent="0.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spans="3:28" ht="15.75" customHeight="1" x14ac:dyDescent="0.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spans="3:28" ht="15.75" customHeight="1" x14ac:dyDescent="0.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spans="3:28" ht="15.75" customHeight="1" x14ac:dyDescent="0.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spans="3:28" ht="15.75" customHeight="1" x14ac:dyDescent="0.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spans="3:28" ht="15.75" customHeight="1" x14ac:dyDescent="0.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spans="3:28" ht="15.75" customHeight="1" x14ac:dyDescent="0.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spans="3:28" ht="15.75" customHeight="1" x14ac:dyDescent="0.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spans="3:28" ht="15.75" customHeight="1" x14ac:dyDescent="0.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spans="3:28" ht="15.75" customHeight="1" x14ac:dyDescent="0.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spans="3:28" ht="15.75" customHeight="1" x14ac:dyDescent="0.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spans="3:28" ht="15.75" customHeight="1" x14ac:dyDescent="0.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spans="3:28" ht="15.75" customHeight="1" x14ac:dyDescent="0.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spans="3:28" ht="15.75" customHeight="1" x14ac:dyDescent="0.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spans="3:28" ht="15.75" customHeight="1" x14ac:dyDescent="0.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spans="3:28" ht="15.75" customHeight="1" x14ac:dyDescent="0.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spans="3:28" ht="15.75" customHeight="1" x14ac:dyDescent="0.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spans="3:28" ht="15.75" customHeight="1" x14ac:dyDescent="0.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spans="3:28" ht="15.75" customHeight="1" x14ac:dyDescent="0.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spans="3:28" ht="15.75" customHeight="1" x14ac:dyDescent="0.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spans="3:28" ht="15.75" customHeight="1" x14ac:dyDescent="0.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spans="3:28" ht="15.75" customHeight="1" x14ac:dyDescent="0.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spans="3:28" ht="15.75" customHeight="1" x14ac:dyDescent="0.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spans="3:28" ht="15.75" customHeight="1" x14ac:dyDescent="0.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spans="3:28" ht="15.75" customHeight="1" x14ac:dyDescent="0.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spans="3:28" ht="15.75" customHeight="1" x14ac:dyDescent="0.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spans="3:28" ht="15.75" customHeight="1" x14ac:dyDescent="0.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spans="3:28" ht="15.75" customHeight="1" x14ac:dyDescent="0.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spans="3:28" ht="15.75" customHeight="1" x14ac:dyDescent="0.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spans="3:28" ht="15.75" customHeight="1" x14ac:dyDescent="0.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spans="3:28" ht="15.75" customHeight="1" x14ac:dyDescent="0.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spans="3:28" ht="15.75" customHeight="1" x14ac:dyDescent="0.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spans="3:28" ht="15.75" customHeight="1" x14ac:dyDescent="0.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spans="3:28" ht="15.75" customHeight="1" x14ac:dyDescent="0.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spans="3:28" ht="15.75" customHeight="1" x14ac:dyDescent="0.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spans="3:28" ht="15.75" customHeight="1" x14ac:dyDescent="0.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spans="3:28" ht="15.75" customHeight="1" x14ac:dyDescent="0.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spans="3:28" ht="15.75" customHeight="1" x14ac:dyDescent="0.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spans="3:28" ht="15.75" customHeight="1" x14ac:dyDescent="0.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spans="3:28" ht="15.75" customHeight="1" x14ac:dyDescent="0.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spans="3:28" ht="15.75" customHeight="1" x14ac:dyDescent="0.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spans="3:28" ht="15.75" customHeight="1" x14ac:dyDescent="0.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spans="3:28" ht="15.75" customHeight="1" x14ac:dyDescent="0.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spans="3:28" ht="15.75" customHeight="1" x14ac:dyDescent="0.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spans="3:28" ht="15.75" customHeight="1" x14ac:dyDescent="0.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spans="3:28" ht="15.75" customHeight="1" x14ac:dyDescent="0.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spans="3:28" ht="15.75" customHeight="1" x14ac:dyDescent="0.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spans="3:28" ht="15.75" customHeight="1" x14ac:dyDescent="0.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spans="3:28" ht="15.75" customHeight="1" x14ac:dyDescent="0.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spans="3:28" ht="15.75" customHeight="1" x14ac:dyDescent="0.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spans="3:28" ht="15.75" customHeight="1" x14ac:dyDescent="0.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spans="3:28" ht="15.75" customHeight="1" x14ac:dyDescent="0.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spans="3:28" ht="15.75" customHeight="1" x14ac:dyDescent="0.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spans="3:28" ht="15.75" customHeight="1" x14ac:dyDescent="0.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spans="3:28" ht="15.75" customHeight="1" x14ac:dyDescent="0.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spans="3:28" ht="15.75" customHeight="1" x14ac:dyDescent="0.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spans="3:28" ht="15.75" customHeight="1" x14ac:dyDescent="0.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spans="3:28" ht="15.75" customHeight="1" x14ac:dyDescent="0.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spans="3:28" ht="15.75" customHeight="1" x14ac:dyDescent="0.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spans="3:28" ht="15.75" customHeight="1" x14ac:dyDescent="0.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spans="3:28" ht="15.75" customHeight="1" x14ac:dyDescent="0.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spans="3:28" ht="15.75" customHeight="1" x14ac:dyDescent="0.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spans="3:28" ht="15.75" customHeight="1" x14ac:dyDescent="0.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spans="3:28" ht="15.75" customHeight="1" x14ac:dyDescent="0.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spans="3:28" ht="15.75" customHeight="1" x14ac:dyDescent="0.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spans="3:28" ht="15.75" customHeight="1" x14ac:dyDescent="0.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spans="3:28" ht="15.75" customHeight="1" x14ac:dyDescent="0.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spans="3:28" ht="15.75" customHeight="1" x14ac:dyDescent="0.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spans="3:28" ht="15.75" customHeight="1" x14ac:dyDescent="0.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spans="3:28" ht="15.75" customHeight="1" x14ac:dyDescent="0.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spans="3:28" ht="15.75" customHeight="1" x14ac:dyDescent="0.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spans="3:28" ht="15.75" customHeight="1" x14ac:dyDescent="0.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spans="3:28" ht="15.75" customHeight="1" x14ac:dyDescent="0.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spans="3:28" ht="15.75" customHeight="1" x14ac:dyDescent="0.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spans="3:28" ht="15.75" customHeight="1" x14ac:dyDescent="0.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spans="3:28" ht="15.75" customHeight="1" x14ac:dyDescent="0.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spans="3:28" ht="15.75" customHeight="1" x14ac:dyDescent="0.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spans="3:28" ht="15.75" customHeight="1" x14ac:dyDescent="0.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spans="3:28" ht="15.75" customHeight="1" x14ac:dyDescent="0.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spans="3:28" ht="15.75" customHeight="1" x14ac:dyDescent="0.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spans="3:28" ht="15.75" customHeight="1" x14ac:dyDescent="0.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spans="3:28" ht="15.75" customHeight="1" x14ac:dyDescent="0.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spans="3:28" ht="15.75" customHeight="1" x14ac:dyDescent="0.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spans="3:28" ht="15.75" customHeight="1" x14ac:dyDescent="0.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spans="3:28" ht="15.75" customHeight="1" x14ac:dyDescent="0.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spans="3:28" ht="15.75" customHeight="1" x14ac:dyDescent="0.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spans="3:28" ht="15.75" customHeight="1" x14ac:dyDescent="0.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spans="3:28" ht="15.75" customHeight="1" x14ac:dyDescent="0.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spans="3:28" ht="15.75" customHeight="1" x14ac:dyDescent="0.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spans="3:28" ht="15.75" customHeight="1" x14ac:dyDescent="0.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spans="3:28" ht="15.75" customHeight="1" x14ac:dyDescent="0.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spans="3:28" ht="15.75" customHeight="1" x14ac:dyDescent="0.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spans="3:28" ht="15.75" customHeight="1" x14ac:dyDescent="0.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spans="3:28" ht="15.75" customHeight="1" x14ac:dyDescent="0.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spans="3:28" ht="15.75" customHeight="1" x14ac:dyDescent="0.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spans="3:28" ht="15.75" customHeight="1" x14ac:dyDescent="0.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spans="3:28" ht="15.75" customHeight="1" x14ac:dyDescent="0.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spans="3:28" ht="15.75" customHeight="1" x14ac:dyDescent="0.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spans="3:28" ht="15.75" customHeight="1" x14ac:dyDescent="0.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spans="3:28" ht="15.75" customHeight="1" x14ac:dyDescent="0.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spans="3:28" ht="15.75" customHeight="1" x14ac:dyDescent="0.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spans="3:28" ht="15.75" customHeight="1" x14ac:dyDescent="0.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spans="3:28" ht="15.75" customHeight="1" x14ac:dyDescent="0.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spans="3:28" ht="15.75" customHeight="1" x14ac:dyDescent="0.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spans="3:28" ht="15.75" customHeight="1" x14ac:dyDescent="0.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spans="3:28" ht="15.75" customHeight="1" x14ac:dyDescent="0.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spans="3:28" ht="15.75" customHeight="1" x14ac:dyDescent="0.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spans="3:28" ht="15.75" customHeight="1" x14ac:dyDescent="0.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spans="3:28" ht="15.75" customHeight="1" x14ac:dyDescent="0.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spans="3:28" ht="15.75" customHeight="1" x14ac:dyDescent="0.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spans="3:28" ht="15.75" customHeight="1" x14ac:dyDescent="0.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spans="3:28" ht="15.75" customHeight="1" x14ac:dyDescent="0.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spans="3:28" ht="15.75" customHeight="1" x14ac:dyDescent="0.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spans="3:28" ht="15.75" customHeight="1" x14ac:dyDescent="0.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spans="3:28" ht="15.75" customHeight="1" x14ac:dyDescent="0.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spans="3:28" ht="15.75" customHeight="1" x14ac:dyDescent="0.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spans="3:28" ht="15.75" customHeight="1" x14ac:dyDescent="0.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spans="3:28" ht="15.75" customHeight="1" x14ac:dyDescent="0.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spans="3:28" ht="15.75" customHeight="1" x14ac:dyDescent="0.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spans="3:28" ht="15.75" customHeight="1" x14ac:dyDescent="0.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spans="3:28" ht="15.75" customHeight="1" x14ac:dyDescent="0.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spans="3:28" ht="15.75" customHeight="1" x14ac:dyDescent="0.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spans="3:28" ht="15.75" customHeight="1" x14ac:dyDescent="0.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spans="3:28" ht="15.75" customHeight="1" x14ac:dyDescent="0.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spans="3:28" ht="15.75" customHeight="1" x14ac:dyDescent="0.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spans="3:28" ht="15.75" customHeight="1" x14ac:dyDescent="0.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spans="3:28" ht="15.75" customHeight="1" x14ac:dyDescent="0.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spans="3:28" ht="15.75" customHeight="1" x14ac:dyDescent="0.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spans="3:28" ht="15.75" customHeight="1" x14ac:dyDescent="0.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spans="3:28" ht="15.75" customHeight="1" x14ac:dyDescent="0.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spans="3:28" ht="15.75" customHeight="1" x14ac:dyDescent="0.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spans="3:28" ht="15.75" customHeight="1" x14ac:dyDescent="0.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spans="3:28" ht="15.75" customHeight="1" x14ac:dyDescent="0.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spans="3:28" ht="15.75" customHeight="1" x14ac:dyDescent="0.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spans="3:28" ht="15.75" customHeight="1" x14ac:dyDescent="0.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spans="3:28" ht="15.75" customHeight="1" x14ac:dyDescent="0.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spans="3:28" ht="15.75" customHeight="1" x14ac:dyDescent="0.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spans="3:28" ht="15.75" customHeight="1" x14ac:dyDescent="0.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spans="3:28" ht="15.75" customHeight="1" x14ac:dyDescent="0.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spans="3:28" ht="15.75" customHeight="1" x14ac:dyDescent="0.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spans="3:28" ht="15.75" customHeight="1" x14ac:dyDescent="0.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spans="3:28" ht="15.75" customHeight="1" x14ac:dyDescent="0.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spans="3:28" ht="15.75" customHeight="1" x14ac:dyDescent="0.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spans="3:28" ht="15.75" customHeight="1" x14ac:dyDescent="0.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spans="3:28" ht="15.75" customHeight="1" x14ac:dyDescent="0.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spans="3:28" ht="15.75" customHeight="1" x14ac:dyDescent="0.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spans="3:28" ht="15.75" customHeight="1" x14ac:dyDescent="0.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spans="3:28" ht="15.75" customHeight="1" x14ac:dyDescent="0.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spans="3:28" ht="15.75" customHeight="1" x14ac:dyDescent="0.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spans="3:28" ht="15.75" customHeight="1" x14ac:dyDescent="0.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spans="3:28" ht="15.75" customHeight="1" x14ac:dyDescent="0.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spans="3:28" ht="15.75" customHeight="1" x14ac:dyDescent="0.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spans="3:28" ht="15.75" customHeight="1" x14ac:dyDescent="0.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spans="3:28" ht="15.75" customHeight="1" x14ac:dyDescent="0.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spans="3:28" ht="15.75" customHeight="1" x14ac:dyDescent="0.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spans="3:28" ht="15.75" customHeight="1" x14ac:dyDescent="0.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spans="3:28" ht="15.75" customHeight="1" x14ac:dyDescent="0.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spans="3:28" ht="15.75" customHeight="1" x14ac:dyDescent="0.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spans="3:28" ht="15.75" customHeight="1" x14ac:dyDescent="0.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spans="3:28" ht="15.75" customHeight="1" x14ac:dyDescent="0.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spans="3:28" ht="15.75" customHeight="1" x14ac:dyDescent="0.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spans="3:28" ht="15.75" customHeight="1" x14ac:dyDescent="0.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spans="3:28" ht="15.75" customHeight="1" x14ac:dyDescent="0.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spans="3:28" ht="15.75" customHeight="1" x14ac:dyDescent="0.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spans="3:28" ht="15.75" customHeight="1" x14ac:dyDescent="0.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spans="3:28" ht="15.75" customHeight="1" x14ac:dyDescent="0.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spans="3:28" ht="15.75" customHeight="1" x14ac:dyDescent="0.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spans="3:28" ht="15.75" customHeight="1" x14ac:dyDescent="0.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spans="3:28" ht="15.75" customHeight="1" x14ac:dyDescent="0.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spans="3:28" ht="15.75" customHeight="1" x14ac:dyDescent="0.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spans="3:28" ht="15.75" customHeight="1" x14ac:dyDescent="0.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spans="3:28" ht="15.75" customHeight="1" x14ac:dyDescent="0.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spans="3:28" ht="15.75" customHeight="1" x14ac:dyDescent="0.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spans="3:28" ht="15.75" customHeight="1" x14ac:dyDescent="0.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spans="3:28" ht="15.75" customHeight="1" x14ac:dyDescent="0.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spans="3:28" ht="15.75" customHeight="1" x14ac:dyDescent="0.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spans="3:28" ht="15.75" customHeight="1" x14ac:dyDescent="0.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spans="3:28" ht="15.75" customHeight="1" x14ac:dyDescent="0.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spans="3:28" ht="15.75" customHeight="1" x14ac:dyDescent="0.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spans="3:28" ht="15.75" customHeight="1" x14ac:dyDescent="0.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spans="3:28" ht="15.75" customHeight="1" x14ac:dyDescent="0.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spans="3:28" ht="15.75" customHeight="1" x14ac:dyDescent="0.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spans="3:28" ht="15.75" customHeight="1" x14ac:dyDescent="0.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spans="3:28" ht="15.75" customHeight="1" x14ac:dyDescent="0.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spans="3:28" ht="15.75" customHeight="1" x14ac:dyDescent="0.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spans="3:28" ht="15.75" customHeight="1" x14ac:dyDescent="0.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spans="3:28" ht="15.75" customHeight="1" x14ac:dyDescent="0.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spans="3:28" ht="15.75" customHeight="1" x14ac:dyDescent="0.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spans="3:28" ht="15.75" customHeight="1" x14ac:dyDescent="0.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spans="3:28" ht="15.75" customHeight="1" x14ac:dyDescent="0.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spans="3:28" ht="15.75" customHeight="1" x14ac:dyDescent="0.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spans="3:28" ht="15.75" customHeight="1" x14ac:dyDescent="0.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spans="3:28" ht="15.75" customHeight="1" x14ac:dyDescent="0.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spans="3:28" ht="15.75" customHeight="1" x14ac:dyDescent="0.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spans="3:28" ht="15.75" customHeight="1" x14ac:dyDescent="0.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spans="3:28" ht="15.75" customHeight="1" x14ac:dyDescent="0.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spans="3:28" ht="15.75" customHeight="1" x14ac:dyDescent="0.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spans="3:28" ht="15.75" customHeight="1" x14ac:dyDescent="0.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spans="3:28" ht="15.75" customHeight="1" x14ac:dyDescent="0.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spans="3:28" ht="15.75" customHeight="1" x14ac:dyDescent="0.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spans="3:28" ht="15.75" customHeight="1" x14ac:dyDescent="0.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spans="3:28" ht="15.75" customHeight="1" x14ac:dyDescent="0.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spans="3:28" ht="15.75" customHeight="1" x14ac:dyDescent="0.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spans="3:28" ht="15.75" customHeight="1" x14ac:dyDescent="0.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spans="3:28" ht="15.75" customHeight="1" x14ac:dyDescent="0.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spans="3:28" ht="15.75" customHeight="1" x14ac:dyDescent="0.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spans="3:28" ht="15.75" customHeight="1" x14ac:dyDescent="0.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spans="3:28" ht="15.75" customHeight="1" x14ac:dyDescent="0.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spans="3:28" ht="15.75" customHeight="1" x14ac:dyDescent="0.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spans="3:28" ht="15.75" customHeight="1" x14ac:dyDescent="0.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spans="3:28" ht="15.75" customHeight="1" x14ac:dyDescent="0.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spans="3:28" ht="15.75" customHeight="1" x14ac:dyDescent="0.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spans="3:28" ht="15.75" customHeight="1" x14ac:dyDescent="0.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spans="3:28" ht="15.75" customHeight="1" x14ac:dyDescent="0.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spans="3:28" ht="15.75" customHeight="1" x14ac:dyDescent="0.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spans="3:28" ht="15.75" customHeight="1" x14ac:dyDescent="0.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spans="3:28" ht="15.75" customHeight="1" x14ac:dyDescent="0.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spans="3:28" ht="15.75" customHeight="1" x14ac:dyDescent="0.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spans="3:28" ht="15.75" customHeight="1" x14ac:dyDescent="0.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spans="3:28" ht="15.75" customHeight="1" x14ac:dyDescent="0.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spans="3:28" ht="15.75" customHeight="1" x14ac:dyDescent="0.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spans="3:28" ht="15.75" customHeight="1" x14ac:dyDescent="0.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spans="3:28" ht="15.75" customHeight="1" x14ac:dyDescent="0.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spans="3:28" ht="15.75" customHeight="1" x14ac:dyDescent="0.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spans="3:28" ht="15.75" customHeight="1" x14ac:dyDescent="0.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spans="3:28" ht="15.75" customHeight="1" x14ac:dyDescent="0.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spans="3:28" ht="15.75" customHeight="1" x14ac:dyDescent="0.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spans="3:28" ht="15.75" customHeight="1" x14ac:dyDescent="0.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spans="3:28" ht="15.75" customHeight="1" x14ac:dyDescent="0.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spans="3:28" ht="15.75" customHeight="1" x14ac:dyDescent="0.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spans="3:28" ht="15.75" customHeight="1" x14ac:dyDescent="0.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spans="3:28" ht="15.75" customHeight="1" x14ac:dyDescent="0.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spans="3:28" ht="15.75" customHeight="1" x14ac:dyDescent="0.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spans="3:28" ht="15.75" customHeight="1" x14ac:dyDescent="0.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spans="3:28" ht="15.75" customHeight="1" x14ac:dyDescent="0.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spans="3:28" ht="15.75" customHeight="1" x14ac:dyDescent="0.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spans="3:28" ht="15.75" customHeight="1" x14ac:dyDescent="0.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spans="3:28" ht="15.75" customHeight="1" x14ac:dyDescent="0.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spans="3:28" ht="15.75" customHeight="1" x14ac:dyDescent="0.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spans="3:28" ht="15.75" customHeight="1" x14ac:dyDescent="0.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spans="3:28" ht="15.75" customHeight="1" x14ac:dyDescent="0.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spans="3:28" ht="15.75" customHeight="1" x14ac:dyDescent="0.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spans="3:28" ht="15.75" customHeight="1" x14ac:dyDescent="0.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spans="3:28" ht="15.75" customHeight="1" x14ac:dyDescent="0.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spans="3:28" ht="15.75" customHeight="1" x14ac:dyDescent="0.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spans="3:28" ht="15.75" customHeight="1" x14ac:dyDescent="0.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spans="3:28" ht="15.75" customHeight="1" x14ac:dyDescent="0.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spans="3:28" ht="15.75" customHeight="1" x14ac:dyDescent="0.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spans="3:28" ht="15.75" customHeight="1" x14ac:dyDescent="0.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spans="3:28" ht="15.75" customHeight="1" x14ac:dyDescent="0.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spans="3:28" ht="15.75" customHeight="1" x14ac:dyDescent="0.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spans="3:28" ht="15.75" customHeight="1" x14ac:dyDescent="0.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spans="3:28" ht="15.75" customHeight="1" x14ac:dyDescent="0.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spans="3:28" ht="15.75" customHeight="1" x14ac:dyDescent="0.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spans="3:28" ht="15.75" customHeight="1" x14ac:dyDescent="0.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spans="3:28" ht="15.75" customHeight="1" x14ac:dyDescent="0.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spans="3:28" ht="15.75" customHeight="1" x14ac:dyDescent="0.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spans="3:28" ht="15.75" customHeight="1" x14ac:dyDescent="0.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spans="3:28" ht="15.75" customHeight="1" x14ac:dyDescent="0.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spans="3:28" ht="15.75" customHeight="1" x14ac:dyDescent="0.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spans="3:28" ht="15.75" customHeight="1" x14ac:dyDescent="0.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spans="3:28" ht="15.75" customHeight="1" x14ac:dyDescent="0.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spans="3:28" ht="15.75" customHeight="1" x14ac:dyDescent="0.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spans="3:28" ht="15.75" customHeight="1" x14ac:dyDescent="0.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spans="3:28" ht="15.75" customHeight="1" x14ac:dyDescent="0.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spans="3:28" ht="15.75" customHeight="1" x14ac:dyDescent="0.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spans="3:28" ht="15.75" customHeight="1" x14ac:dyDescent="0.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spans="3:28" ht="15.75" customHeight="1" x14ac:dyDescent="0.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spans="3:28" ht="15.75" customHeight="1" x14ac:dyDescent="0.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spans="3:28" ht="15.75" customHeight="1" x14ac:dyDescent="0.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spans="3:28" ht="15.75" customHeight="1" x14ac:dyDescent="0.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spans="3:28" ht="15.75" customHeight="1" x14ac:dyDescent="0.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spans="3:28" ht="15.75" customHeight="1" x14ac:dyDescent="0.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spans="3:28" ht="15.75" customHeight="1" x14ac:dyDescent="0.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spans="3:28" ht="15.75" customHeight="1" x14ac:dyDescent="0.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spans="3:28" ht="15.75" customHeight="1" x14ac:dyDescent="0.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spans="3:28" ht="15.75" customHeight="1" x14ac:dyDescent="0.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spans="3:28" ht="15.75" customHeight="1" x14ac:dyDescent="0.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spans="3:28" ht="15.75" customHeight="1" x14ac:dyDescent="0.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spans="3:28" ht="15.75" customHeight="1" x14ac:dyDescent="0.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spans="3:28" ht="15.75" customHeight="1" x14ac:dyDescent="0.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spans="3:28" ht="15.75" customHeight="1" x14ac:dyDescent="0.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spans="3:28" ht="15.75" customHeight="1" x14ac:dyDescent="0.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spans="3:28" ht="15.75" customHeight="1" x14ac:dyDescent="0.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spans="3:28" ht="15.75" customHeight="1" x14ac:dyDescent="0.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spans="3:28" ht="15.75" customHeight="1" x14ac:dyDescent="0.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spans="3:28" ht="15.75" customHeight="1" x14ac:dyDescent="0.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spans="3:28" ht="15.75" customHeight="1" x14ac:dyDescent="0.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spans="3:28" ht="15.75" customHeight="1" x14ac:dyDescent="0.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spans="3:28" ht="15.75" customHeight="1" x14ac:dyDescent="0.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spans="3:28" ht="15.75" customHeight="1" x14ac:dyDescent="0.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spans="3:28" ht="15.75" customHeight="1" x14ac:dyDescent="0.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spans="3:28" ht="15.75" customHeight="1" x14ac:dyDescent="0.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spans="3:28" ht="15.75" customHeight="1" x14ac:dyDescent="0.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spans="3:28" ht="15.75" customHeight="1" x14ac:dyDescent="0.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sheetData>
  <mergeCells count="35">
    <mergeCell ref="O16:R16"/>
    <mergeCell ref="I17:K18"/>
    <mergeCell ref="C32:H32"/>
    <mergeCell ref="E33:E34"/>
    <mergeCell ref="F33:H34"/>
    <mergeCell ref="O20:O28"/>
    <mergeCell ref="C29:O29"/>
    <mergeCell ref="C30:C31"/>
    <mergeCell ref="D30:D31"/>
    <mergeCell ref="E30:E31"/>
    <mergeCell ref="F30:H31"/>
    <mergeCell ref="C19:N19"/>
    <mergeCell ref="C11:N11"/>
    <mergeCell ref="H12:H18"/>
    <mergeCell ref="I12:J12"/>
    <mergeCell ref="L12:N12"/>
    <mergeCell ref="I13:J13"/>
    <mergeCell ref="L13:N13"/>
    <mergeCell ref="I14:J14"/>
    <mergeCell ref="L14:N14"/>
    <mergeCell ref="I15:J15"/>
    <mergeCell ref="L15:N15"/>
    <mergeCell ref="I16:J16"/>
    <mergeCell ref="L16:N16"/>
    <mergeCell ref="C2:G2"/>
    <mergeCell ref="I2:N2"/>
    <mergeCell ref="D4:G4"/>
    <mergeCell ref="H4:H9"/>
    <mergeCell ref="D5:G5"/>
    <mergeCell ref="L5:N9"/>
    <mergeCell ref="D6:G6"/>
    <mergeCell ref="D7:G7"/>
    <mergeCell ref="C8:C10"/>
    <mergeCell ref="D8:G10"/>
    <mergeCell ref="L10:N10"/>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5">
        <x14:dataValidation type="list" allowBlank="1" showInputMessage="1" showErrorMessage="1" xr:uid="{EBA6445E-4EE4-5147-BB6F-E506812FB8CA}">
          <x14:formula1>
            <xm:f>Lists!$M$2:$M$97</xm:f>
          </x14:formula1>
          <xm:sqref>E18 G18</xm:sqref>
        </x14:dataValidation>
        <x14:dataValidation type="list" allowBlank="1" showInputMessage="1" showErrorMessage="1" xr:uid="{1F760E70-A890-A448-A670-12286FA6AFAF}">
          <x14:formula1>
            <xm:f>Lists!$B$2:$B$21</xm:f>
          </x14:formula1>
          <xm:sqref>D13:D17</xm:sqref>
        </x14:dataValidation>
        <x14:dataValidation type="list" allowBlank="1" showInputMessage="1" showErrorMessage="1" xr:uid="{2EF14499-B0F9-CA44-9539-5BC905ACCC33}">
          <x14:formula1>
            <xm:f>Lists!$G$2:$G$9</xm:f>
          </x14:formula1>
          <xm:sqref>C13:C18</xm:sqref>
        </x14:dataValidation>
        <x14:dataValidation type="list" allowBlank="1" showInputMessage="1" showErrorMessage="1" xr:uid="{7648F270-98EF-0B49-AA3F-8E77D17DAD80}">
          <x14:formula1>
            <xm:f>Lists!$E$2:$E$10</xm:f>
          </x14:formula1>
          <xm:sqref>F13:F18</xm:sqref>
        </x14:dataValidation>
        <x14:dataValidation type="list" allowBlank="1" showErrorMessage="1" xr:uid="{F0621587-7FCA-DF44-9333-60A8C43990B9}">
          <x14:formula1>
            <xm:f>Lists!$J$2:$J$25</xm:f>
          </x14:formula1>
          <xm:sqref>D4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715B0-4CDF-F94A-8B7F-1D35290837CD}">
  <sheetPr codeName="Sheet7"/>
  <dimension ref="B1:AB898"/>
  <sheetViews>
    <sheetView zoomScale="50" workbookViewId="0">
      <selection activeCell="C21" sqref="C21:H21"/>
    </sheetView>
  </sheetViews>
  <sheetFormatPr baseColWidth="10" defaultColWidth="10.140625" defaultRowHeight="15" customHeight="1" x14ac:dyDescent="0.2"/>
  <cols>
    <col min="1" max="1" width="3" customWidth="1"/>
    <col min="2" max="2" width="5.42578125" customWidth="1"/>
    <col min="3" max="3" width="25" customWidth="1"/>
    <col min="4" max="7" width="25.7109375" customWidth="1"/>
    <col min="8" max="14" width="25.5703125" customWidth="1"/>
    <col min="15" max="25" width="26" customWidth="1"/>
    <col min="26" max="28" width="11.42578125" customWidth="1"/>
  </cols>
  <sheetData>
    <row r="1" spans="2:28" ht="15" customHeight="1" thickBot="1" x14ac:dyDescent="0.25"/>
    <row r="2" spans="2:28" ht="33" customHeight="1" thickBot="1" x14ac:dyDescent="0.25">
      <c r="G2" s="212" t="s">
        <v>239</v>
      </c>
      <c r="H2" s="213"/>
      <c r="I2" s="213"/>
      <c r="J2" s="213"/>
      <c r="K2" s="213"/>
      <c r="L2" s="213"/>
      <c r="M2" s="214"/>
      <c r="N2" s="1"/>
      <c r="O2" s="1"/>
      <c r="P2" s="1"/>
      <c r="Q2" s="1"/>
      <c r="R2" s="1"/>
      <c r="S2" s="1"/>
      <c r="T2" s="1"/>
      <c r="U2" s="1"/>
      <c r="V2" s="1"/>
      <c r="W2" s="1"/>
      <c r="X2" s="1"/>
      <c r="Y2" s="1"/>
      <c r="Z2" s="1"/>
      <c r="AA2" s="1"/>
      <c r="AB2" s="1"/>
    </row>
    <row r="3" spans="2:28" ht="49" customHeight="1" x14ac:dyDescent="0.2">
      <c r="C3" s="230" t="s">
        <v>268</v>
      </c>
      <c r="D3" s="231"/>
      <c r="E3" s="232"/>
      <c r="G3" s="215" t="s">
        <v>248</v>
      </c>
      <c r="H3" s="216"/>
      <c r="I3" s="216"/>
      <c r="J3" s="216"/>
      <c r="K3" s="216"/>
      <c r="L3" s="216"/>
      <c r="M3" s="217"/>
      <c r="N3" s="1"/>
      <c r="O3" s="1"/>
      <c r="P3" s="1"/>
      <c r="Q3" s="1"/>
      <c r="R3" s="1"/>
      <c r="S3" s="1"/>
      <c r="T3" s="1"/>
      <c r="U3" s="1"/>
      <c r="V3" s="1"/>
      <c r="W3" s="1"/>
      <c r="X3" s="1"/>
      <c r="Y3" s="1"/>
      <c r="Z3" s="1"/>
      <c r="AA3" s="1"/>
      <c r="AB3" s="1"/>
    </row>
    <row r="4" spans="2:28" ht="49" customHeight="1" x14ac:dyDescent="0.2">
      <c r="C4" s="233"/>
      <c r="D4" s="234"/>
      <c r="E4" s="235"/>
      <c r="G4" s="218"/>
      <c r="H4" s="219"/>
      <c r="I4" s="219"/>
      <c r="J4" s="219"/>
      <c r="K4" s="219"/>
      <c r="L4" s="219"/>
      <c r="M4" s="220"/>
      <c r="N4" s="1"/>
      <c r="O4" s="1"/>
      <c r="P4" s="1"/>
      <c r="Q4" s="1"/>
      <c r="R4" s="1"/>
      <c r="S4" s="1"/>
      <c r="T4" s="1"/>
      <c r="U4" s="1"/>
      <c r="V4" s="1"/>
      <c r="W4" s="1"/>
      <c r="X4" s="1"/>
      <c r="Y4" s="1"/>
      <c r="Z4" s="1"/>
      <c r="AA4" s="1"/>
      <c r="AB4" s="1"/>
    </row>
    <row r="5" spans="2:28" ht="49" customHeight="1" thickBot="1" x14ac:dyDescent="0.25">
      <c r="C5" s="236"/>
      <c r="D5" s="237"/>
      <c r="E5" s="238"/>
      <c r="G5" s="221" t="s">
        <v>269</v>
      </c>
      <c r="H5" s="222"/>
      <c r="I5" s="222"/>
      <c r="J5" s="222"/>
      <c r="K5" s="222"/>
      <c r="L5" s="222"/>
      <c r="M5" s="223"/>
      <c r="N5" s="1"/>
      <c r="O5" s="1"/>
      <c r="P5" s="1"/>
      <c r="Q5" s="1"/>
      <c r="R5" s="1"/>
      <c r="S5" s="1"/>
      <c r="T5" s="1"/>
      <c r="U5" s="1"/>
      <c r="V5" s="1"/>
      <c r="W5" s="1"/>
      <c r="X5" s="1"/>
      <c r="Y5" s="1"/>
      <c r="Z5" s="1"/>
      <c r="AA5" s="1"/>
      <c r="AB5" s="1"/>
    </row>
    <row r="6" spans="2:28" ht="49" customHeight="1" thickBot="1" x14ac:dyDescent="0.25">
      <c r="C6" s="239" t="s">
        <v>270</v>
      </c>
      <c r="D6" s="240"/>
      <c r="E6" s="241"/>
      <c r="G6" s="224" t="s">
        <v>266</v>
      </c>
      <c r="H6" s="225"/>
      <c r="I6" s="225"/>
      <c r="J6" s="225"/>
      <c r="K6" s="225"/>
      <c r="L6" s="225"/>
      <c r="M6" s="226"/>
      <c r="N6" s="1"/>
      <c r="O6" s="1"/>
      <c r="P6" s="1"/>
      <c r="Q6" s="1"/>
      <c r="R6" s="1"/>
      <c r="S6" s="1"/>
      <c r="T6" s="1"/>
      <c r="U6" s="1"/>
      <c r="V6" s="1"/>
      <c r="W6" s="1"/>
      <c r="X6" s="1"/>
      <c r="Y6" s="1"/>
      <c r="Z6" s="1"/>
      <c r="AA6" s="1"/>
      <c r="AB6" s="1"/>
    </row>
    <row r="7" spans="2:28" ht="49" customHeight="1" thickBot="1" x14ac:dyDescent="0.25">
      <c r="G7" s="227"/>
      <c r="H7" s="228"/>
      <c r="I7" s="228"/>
      <c r="J7" s="228"/>
      <c r="K7" s="228"/>
      <c r="L7" s="228"/>
      <c r="M7" s="229"/>
      <c r="N7" s="1"/>
      <c r="O7" s="1"/>
      <c r="P7" s="1"/>
      <c r="Q7" s="1"/>
      <c r="R7" s="1"/>
      <c r="S7" s="1"/>
      <c r="T7" s="1"/>
      <c r="U7" s="1"/>
      <c r="V7" s="1"/>
      <c r="W7" s="1"/>
      <c r="X7" s="1"/>
      <c r="Y7" s="1"/>
      <c r="Z7" s="1"/>
      <c r="AA7" s="1"/>
      <c r="AB7" s="1"/>
    </row>
    <row r="8" spans="2:28" ht="36" customHeight="1" thickBot="1" x14ac:dyDescent="0.25"/>
    <row r="9" spans="2:28" ht="21" customHeight="1" x14ac:dyDescent="0.2">
      <c r="B9" s="33"/>
      <c r="C9" s="34">
        <v>1</v>
      </c>
      <c r="D9" s="34">
        <v>2</v>
      </c>
      <c r="E9" s="34">
        <v>3</v>
      </c>
      <c r="F9" s="34">
        <v>4</v>
      </c>
      <c r="G9" s="34">
        <v>5</v>
      </c>
      <c r="H9" s="34">
        <v>6</v>
      </c>
      <c r="I9" s="34">
        <v>7</v>
      </c>
      <c r="J9" s="34">
        <v>8</v>
      </c>
      <c r="K9" s="34">
        <v>9</v>
      </c>
      <c r="L9" s="34">
        <v>10</v>
      </c>
      <c r="M9" s="34">
        <v>11</v>
      </c>
      <c r="N9" s="35">
        <v>12</v>
      </c>
      <c r="O9" s="155"/>
      <c r="P9" s="1"/>
      <c r="Q9" s="1"/>
      <c r="R9" s="1"/>
      <c r="S9" s="1"/>
      <c r="T9" s="1"/>
      <c r="U9" s="1"/>
      <c r="V9" s="1"/>
      <c r="W9" s="1"/>
      <c r="X9" s="1"/>
      <c r="Y9" s="1"/>
      <c r="Z9" s="1"/>
      <c r="AA9" s="1"/>
      <c r="AB9" s="1"/>
    </row>
    <row r="10" spans="2:28" ht="66" customHeight="1" x14ac:dyDescent="0.2">
      <c r="B10" s="36" t="s">
        <v>24</v>
      </c>
      <c r="C10" s="104" t="str">
        <f>IF(OR(ISTEXT('ASSAY Respiratory Multiplex'!C21),ISTEXT('ASSAY Norovirus'!C21),ISTEXT('ASSAY Pertussis'!C21),ISTEXT('ASSAY Measles'!C21)),"YES", "")</f>
        <v>YES</v>
      </c>
      <c r="D10" s="110" t="str">
        <f>IF(OR(ISTEXT('ASSAY Respiratory Multiplex'!D21),ISTEXT('ASSAY Norovirus'!D21),ISTEXT('ASSAY Pertussis'!D21),ISTEXT('ASSAY Measles'!D21)),"YES", "")</f>
        <v>YES</v>
      </c>
      <c r="E10" s="104" t="str">
        <f>IF(OR(ISTEXT('ASSAY Respiratory Multiplex'!E21),ISTEXT('ASSAY Norovirus'!E21),ISTEXT('ASSAY Pertussis'!E21),ISTEXT('ASSAY Measles'!E21)),"YES", "")</f>
        <v/>
      </c>
      <c r="F10" s="110" t="str">
        <f>IF(OR(ISTEXT('ASSAY Respiratory Multiplex'!F21),ISTEXT('ASSAY Norovirus'!F21),ISTEXT('ASSAY Pertussis'!F21),ISTEXT('ASSAY Measles'!F21)),"YES", "")</f>
        <v>YES</v>
      </c>
      <c r="G10" s="104" t="str">
        <f>IF(OR(ISTEXT('ASSAY Respiratory Multiplex'!G21),ISTEXT('ASSAY Norovirus'!G21),ISTEXT('ASSAY Pertussis'!G21),ISTEXT('ASSAY Measles'!G21)),"YES", "")</f>
        <v>YES</v>
      </c>
      <c r="H10" s="110" t="str">
        <f>IF(OR(ISTEXT('ASSAY Respiratory Multiplex'!H21),ISTEXT('ASSAY Norovirus'!H21),ISTEXT('ASSAY Pertussis'!H21),ISTEXT('ASSAY Measles'!H21)),"YES", "")</f>
        <v/>
      </c>
      <c r="I10" s="104" t="str">
        <f>IF(OR(ISTEXT('ASSAY Respiratory Multiplex'!I21),ISTEXT('ASSAY Norovirus'!I21),ISTEXT('ASSAY Pertussis'!I21),ISTEXT('ASSAY Measles'!I21)),"YES", "")</f>
        <v/>
      </c>
      <c r="J10" s="110" t="str">
        <f>IF(OR(ISTEXT('ASSAY Respiratory Multiplex'!J21),ISTEXT('ASSAY Norovirus'!J21),ISTEXT('ASSAY Pertussis'!J21),ISTEXT('ASSAY Measles'!J21)),"YES", "")</f>
        <v/>
      </c>
      <c r="K10" s="104" t="str">
        <f>IF(OR(ISTEXT('ASSAY Respiratory Multiplex'!K21),ISTEXT('ASSAY Norovirus'!K21),ISTEXT('ASSAY Pertussis'!K21),ISTEXT('ASSAY Measles'!K21)),"YES", "")</f>
        <v/>
      </c>
      <c r="L10" s="110" t="str">
        <f>IF(OR(ISTEXT('ASSAY Respiratory Multiplex'!L21),ISTEXT('ASSAY Norovirus'!L21),ISTEXT('ASSAY Pertussis'!L21),ISTEXT('ASSAY Measles'!L21)),"YES", "")</f>
        <v/>
      </c>
      <c r="M10" s="104" t="str">
        <f>IF(OR(ISTEXT('ASSAY Respiratory Multiplex'!M21),ISTEXT('ASSAY Norovirus'!M21),ISTEXT('ASSAY Pertussis'!M21),ISTEXT('ASSAY Measles'!M21)),"YES", "")</f>
        <v/>
      </c>
      <c r="N10" s="113" t="str">
        <f>IF(OR(ISTEXT('ASSAY Respiratory Multiplex'!N21),ISTEXT('ASSAY Norovirus'!N21),ISTEXT('ASSAY Pertussis'!N21),ISTEXT('ASSAY Measles'!N21)),"YES", "")</f>
        <v/>
      </c>
      <c r="O10" s="155"/>
      <c r="P10" s="1"/>
      <c r="Q10" s="1"/>
      <c r="R10" s="1"/>
      <c r="S10" s="1"/>
      <c r="T10" s="1"/>
      <c r="U10" s="1"/>
      <c r="V10" s="1"/>
      <c r="W10" s="1"/>
      <c r="X10" s="1"/>
      <c r="Y10" s="1"/>
      <c r="Z10" s="1"/>
      <c r="AA10" s="1"/>
      <c r="AB10" s="1"/>
    </row>
    <row r="11" spans="2:28" ht="66" customHeight="1" x14ac:dyDescent="0.2">
      <c r="B11" s="36" t="s">
        <v>25</v>
      </c>
      <c r="C11" s="110" t="str">
        <f>IF(OR(ISTEXT('ASSAY Respiratory Multiplex'!C22),ISTEXT('ASSAY Norovirus'!C22),ISTEXT('ASSAY Pertussis'!C22),ISTEXT('ASSAY Measles'!C22)),"YES", "")</f>
        <v>YES</v>
      </c>
      <c r="D11" s="104" t="str">
        <f>IF(OR(ISTEXT('ASSAY Respiratory Multiplex'!D22),ISTEXT('ASSAY Norovirus'!D22),ISTEXT('ASSAY Pertussis'!D22),ISTEXT('ASSAY Measles'!D22)),"YES", "")</f>
        <v>YES</v>
      </c>
      <c r="E11" s="110" t="str">
        <f>IF(OR(ISTEXT('ASSAY Respiratory Multiplex'!E22),ISTEXT('ASSAY Norovirus'!E22),ISTEXT('ASSAY Pertussis'!E22),ISTEXT('ASSAY Measles'!E22)),"YES", "")</f>
        <v/>
      </c>
      <c r="F11" s="104" t="str">
        <f>IF(OR(ISTEXT('ASSAY Respiratory Multiplex'!F22),ISTEXT('ASSAY Norovirus'!F22),ISTEXT('ASSAY Pertussis'!F22),ISTEXT('ASSAY Measles'!F22)),"YES", "")</f>
        <v>YES</v>
      </c>
      <c r="G11" s="110" t="str">
        <f>IF(OR(ISTEXT('ASSAY Respiratory Multiplex'!G22),ISTEXT('ASSAY Norovirus'!G22),ISTEXT('ASSAY Pertussis'!G22),ISTEXT('ASSAY Measles'!G22)),"YES", "")</f>
        <v>YES</v>
      </c>
      <c r="H11" s="104" t="str">
        <f>IF(OR(ISTEXT('ASSAY Respiratory Multiplex'!H22),ISTEXT('ASSAY Norovirus'!H22),ISTEXT('ASSAY Pertussis'!H22),ISTEXT('ASSAY Measles'!H22)),"YES", "")</f>
        <v/>
      </c>
      <c r="I11" s="110" t="str">
        <f>IF(OR(ISTEXT('ASSAY Respiratory Multiplex'!I22),ISTEXT('ASSAY Norovirus'!I22),ISTEXT('ASSAY Pertussis'!I22),ISTEXT('ASSAY Measles'!I22)),"YES", "")</f>
        <v/>
      </c>
      <c r="J11" s="104" t="str">
        <f>IF(OR(ISTEXT('ASSAY Respiratory Multiplex'!J22),ISTEXT('ASSAY Norovirus'!J22),ISTEXT('ASSAY Pertussis'!J22),ISTEXT('ASSAY Measles'!J22)),"YES", "")</f>
        <v/>
      </c>
      <c r="K11" s="110" t="str">
        <f>IF(OR(ISTEXT('ASSAY Respiratory Multiplex'!K22),ISTEXT('ASSAY Norovirus'!K22),ISTEXT('ASSAY Pertussis'!K22),ISTEXT('ASSAY Measles'!K22)),"YES", "")</f>
        <v/>
      </c>
      <c r="L11" s="104" t="str">
        <f>IF(OR(ISTEXT('ASSAY Respiratory Multiplex'!L22),ISTEXT('ASSAY Norovirus'!L22),ISTEXT('ASSAY Pertussis'!L22),ISTEXT('ASSAY Measles'!L22)),"YES", "")</f>
        <v/>
      </c>
      <c r="M11" s="110" t="str">
        <f>IF(OR(ISTEXT('ASSAY Respiratory Multiplex'!M22),ISTEXT('ASSAY Norovirus'!M22),ISTEXT('ASSAY Pertussis'!M22),ISTEXT('ASSAY Measles'!M22)),"YES", "")</f>
        <v/>
      </c>
      <c r="N11" s="105" t="str">
        <f>IF(OR(ISTEXT('ASSAY Respiratory Multiplex'!N22),ISTEXT('ASSAY Norovirus'!N22),ISTEXT('ASSAY Pertussis'!N22),ISTEXT('ASSAY Measles'!N22)),"YES", "")</f>
        <v/>
      </c>
      <c r="O11" s="155"/>
      <c r="P11" s="1"/>
      <c r="Q11" s="1"/>
      <c r="R11" s="1"/>
      <c r="S11" s="1"/>
      <c r="T11" s="1"/>
      <c r="U11" s="1"/>
      <c r="V11" s="1"/>
      <c r="W11" s="1"/>
      <c r="X11" s="1"/>
      <c r="Y11" s="1"/>
      <c r="Z11" s="1"/>
      <c r="AA11" s="1"/>
      <c r="AB11" s="1"/>
    </row>
    <row r="12" spans="2:28" ht="66" customHeight="1" x14ac:dyDescent="0.2">
      <c r="B12" s="36" t="s">
        <v>26</v>
      </c>
      <c r="C12" s="104" t="str">
        <f>IF(OR(ISTEXT('ASSAY Respiratory Multiplex'!C23),ISTEXT('ASSAY Norovirus'!C23),ISTEXT('ASSAY Pertussis'!C23),ISTEXT('ASSAY Measles'!C23)),"YES", "")</f>
        <v>YES</v>
      </c>
      <c r="D12" s="110" t="str">
        <f>IF(OR(ISTEXT('ASSAY Respiratory Multiplex'!D23),ISTEXT('ASSAY Norovirus'!D23),ISTEXT('ASSAY Pertussis'!D23),ISTEXT('ASSAY Measles'!D23)),"YES", "")</f>
        <v/>
      </c>
      <c r="E12" s="104" t="str">
        <f>IF(OR(ISTEXT('ASSAY Respiratory Multiplex'!E23),ISTEXT('ASSAY Norovirus'!E23),ISTEXT('ASSAY Pertussis'!E23),ISTEXT('ASSAY Measles'!E23)),"YES", "")</f>
        <v/>
      </c>
      <c r="F12" s="110" t="str">
        <f>IF(OR(ISTEXT('ASSAY Respiratory Multiplex'!F23),ISTEXT('ASSAY Norovirus'!F23),ISTEXT('ASSAY Pertussis'!F23),ISTEXT('ASSAY Measles'!F23)),"YES", "")</f>
        <v>YES</v>
      </c>
      <c r="G12" s="104" t="str">
        <f>IF(OR(ISTEXT('ASSAY Respiratory Multiplex'!G23),ISTEXT('ASSAY Norovirus'!G23),ISTEXT('ASSAY Pertussis'!G23),ISTEXT('ASSAY Measles'!G23)),"YES", "")</f>
        <v/>
      </c>
      <c r="H12" s="110" t="str">
        <f>IF(OR(ISTEXT('ASSAY Respiratory Multiplex'!H23),ISTEXT('ASSAY Norovirus'!H23),ISTEXT('ASSAY Pertussis'!H23),ISTEXT('ASSAY Measles'!H23)),"YES", "")</f>
        <v/>
      </c>
      <c r="I12" s="104" t="str">
        <f>IF(OR(ISTEXT('ASSAY Respiratory Multiplex'!I23),ISTEXT('ASSAY Norovirus'!I23),ISTEXT('ASSAY Pertussis'!I23),ISTEXT('ASSAY Measles'!I23)),"YES", "")</f>
        <v/>
      </c>
      <c r="J12" s="110" t="str">
        <f>IF(OR(ISTEXT('ASSAY Respiratory Multiplex'!J23),ISTEXT('ASSAY Norovirus'!J23),ISTEXT('ASSAY Pertussis'!J23),ISTEXT('ASSAY Measles'!J23)),"YES", "")</f>
        <v/>
      </c>
      <c r="K12" s="104" t="str">
        <f>IF(OR(ISTEXT('ASSAY Respiratory Multiplex'!K23),ISTEXT('ASSAY Norovirus'!K23),ISTEXT('ASSAY Pertussis'!K23),ISTEXT('ASSAY Measles'!K23)),"YES", "")</f>
        <v/>
      </c>
      <c r="L12" s="110" t="str">
        <f>IF(OR(ISTEXT('ASSAY Respiratory Multiplex'!L23),ISTEXT('ASSAY Norovirus'!L23),ISTEXT('ASSAY Pertussis'!L23),ISTEXT('ASSAY Measles'!L23)),"YES", "")</f>
        <v/>
      </c>
      <c r="M12" s="104" t="str">
        <f>IF(OR(ISTEXT('ASSAY Respiratory Multiplex'!M23),ISTEXT('ASSAY Norovirus'!M23),ISTEXT('ASSAY Pertussis'!M23),ISTEXT('ASSAY Measles'!M23)),"YES", "")</f>
        <v/>
      </c>
      <c r="N12" s="113" t="str">
        <f>IF(OR(ISTEXT('ASSAY Respiratory Multiplex'!N23),ISTEXT('ASSAY Norovirus'!N23),ISTEXT('ASSAY Pertussis'!N23),ISTEXT('ASSAY Measles'!N23)),"YES", "")</f>
        <v/>
      </c>
      <c r="O12" s="155"/>
      <c r="P12" s="1"/>
      <c r="Q12" s="1"/>
      <c r="R12" s="1"/>
      <c r="S12" s="1"/>
      <c r="T12" s="1"/>
      <c r="U12" s="1"/>
      <c r="V12" s="1"/>
      <c r="W12" s="1"/>
      <c r="X12" s="1"/>
      <c r="Y12" s="1"/>
      <c r="Z12" s="1"/>
      <c r="AA12" s="1"/>
      <c r="AB12" s="1"/>
    </row>
    <row r="13" spans="2:28" ht="66" customHeight="1" x14ac:dyDescent="0.2">
      <c r="B13" s="36" t="s">
        <v>27</v>
      </c>
      <c r="C13" s="110" t="str">
        <f>IF(OR(ISTEXT('ASSAY Respiratory Multiplex'!C24),ISTEXT('ASSAY Norovirus'!C24),ISTEXT('ASSAY Pertussis'!C24),ISTEXT('ASSAY Measles'!C24)),"YES", "")</f>
        <v>YES</v>
      </c>
      <c r="D13" s="104" t="str">
        <f>IF(OR(ISTEXT('ASSAY Respiratory Multiplex'!D24),ISTEXT('ASSAY Norovirus'!D24),ISTEXT('ASSAY Pertussis'!D24),ISTEXT('ASSAY Measles'!D24)),"YES", "")</f>
        <v/>
      </c>
      <c r="E13" s="110" t="str">
        <f>IF(OR(ISTEXT('ASSAY Respiratory Multiplex'!E24),ISTEXT('ASSAY Norovirus'!E24),ISTEXT('ASSAY Pertussis'!E24),ISTEXT('ASSAY Measles'!E24)),"YES", "")</f>
        <v/>
      </c>
      <c r="F13" s="104" t="str">
        <f>IF(OR(ISTEXT('ASSAY Respiratory Multiplex'!F24),ISTEXT('ASSAY Norovirus'!F24),ISTEXT('ASSAY Pertussis'!F24),ISTEXT('ASSAY Measles'!F24)),"YES", "")</f>
        <v/>
      </c>
      <c r="G13" s="110" t="str">
        <f>IF(OR(ISTEXT('ASSAY Respiratory Multiplex'!G24),ISTEXT('ASSAY Norovirus'!G24),ISTEXT('ASSAY Pertussis'!G24),ISTEXT('ASSAY Measles'!G24)),"YES", "")</f>
        <v>YES</v>
      </c>
      <c r="H13" s="104" t="str">
        <f>IF(OR(ISTEXT('ASSAY Respiratory Multiplex'!H24),ISTEXT('ASSAY Norovirus'!H24),ISTEXT('ASSAY Pertussis'!H24),ISTEXT('ASSAY Measles'!H24)),"YES", "")</f>
        <v/>
      </c>
      <c r="I13" s="110" t="str">
        <f>IF(OR(ISTEXT('ASSAY Respiratory Multiplex'!I24),ISTEXT('ASSAY Norovirus'!I24),ISTEXT('ASSAY Pertussis'!I24),ISTEXT('ASSAY Measles'!I24)),"YES", "")</f>
        <v/>
      </c>
      <c r="J13" s="104" t="str">
        <f>IF(OR(ISTEXT('ASSAY Respiratory Multiplex'!J24),ISTEXT('ASSAY Norovirus'!J24),ISTEXT('ASSAY Pertussis'!J24),ISTEXT('ASSAY Measles'!J24)),"YES", "")</f>
        <v/>
      </c>
      <c r="K13" s="110" t="str">
        <f>IF(OR(ISTEXT('ASSAY Respiratory Multiplex'!K24),ISTEXT('ASSAY Norovirus'!K24),ISTEXT('ASSAY Pertussis'!K24),ISTEXT('ASSAY Measles'!K24)),"YES", "")</f>
        <v/>
      </c>
      <c r="L13" s="104" t="str">
        <f>IF(OR(ISTEXT('ASSAY Respiratory Multiplex'!L24),ISTEXT('ASSAY Norovirus'!L24),ISTEXT('ASSAY Pertussis'!L24),ISTEXT('ASSAY Measles'!L24)),"YES", "")</f>
        <v/>
      </c>
      <c r="M13" s="110" t="str">
        <f>IF(OR(ISTEXT('ASSAY Respiratory Multiplex'!M24),ISTEXT('ASSAY Norovirus'!M24),ISTEXT('ASSAY Pertussis'!M24),ISTEXT('ASSAY Measles'!M24)),"YES", "")</f>
        <v/>
      </c>
      <c r="N13" s="105" t="str">
        <f>IF(OR(ISTEXT('ASSAY Respiratory Multiplex'!N24),ISTEXT('ASSAY Norovirus'!N24),ISTEXT('ASSAY Pertussis'!N24),ISTEXT('ASSAY Measles'!N24)),"YES", "")</f>
        <v/>
      </c>
      <c r="O13" s="155"/>
      <c r="P13" s="1"/>
      <c r="Q13" s="1"/>
      <c r="R13" s="1"/>
      <c r="S13" s="1"/>
      <c r="T13" s="1"/>
      <c r="U13" s="1"/>
      <c r="V13" s="1"/>
      <c r="W13" s="1"/>
      <c r="X13" s="1"/>
      <c r="Y13" s="1"/>
      <c r="Z13" s="1"/>
      <c r="AA13" s="1"/>
      <c r="AB13" s="1"/>
    </row>
    <row r="14" spans="2:28" ht="66" customHeight="1" x14ac:dyDescent="0.2">
      <c r="B14" s="36" t="s">
        <v>28</v>
      </c>
      <c r="C14" s="104" t="str">
        <f>IF(OR(ISTEXT('ASSAY Respiratory Multiplex'!C25),ISTEXT('ASSAY Norovirus'!C25),ISTEXT('ASSAY Pertussis'!C25),ISTEXT('ASSAY Measles'!C25)),"YES", "")</f>
        <v>YES</v>
      </c>
      <c r="D14" s="110" t="str">
        <f>IF(OR(ISTEXT('ASSAY Respiratory Multiplex'!D25),ISTEXT('ASSAY Norovirus'!D25),ISTEXT('ASSAY Pertussis'!D25),ISTEXT('ASSAY Measles'!D25)),"YES", "")</f>
        <v>YES</v>
      </c>
      <c r="E14" s="104" t="str">
        <f>IF(OR(ISTEXT('ASSAY Respiratory Multiplex'!E25),ISTEXT('ASSAY Norovirus'!E25),ISTEXT('ASSAY Pertussis'!E25),ISTEXT('ASSAY Measles'!E25)),"YES", "")</f>
        <v/>
      </c>
      <c r="F14" s="110" t="str">
        <f>IF(OR(ISTEXT('ASSAY Respiratory Multiplex'!F25),ISTEXT('ASSAY Norovirus'!F25),ISTEXT('ASSAY Pertussis'!F25),ISTEXT('ASSAY Measles'!F25)),"YES", "")</f>
        <v>YES</v>
      </c>
      <c r="G14" s="104" t="str">
        <f>IF(OR(ISTEXT('ASSAY Respiratory Multiplex'!G25),ISTEXT('ASSAY Norovirus'!G25),ISTEXT('ASSAY Pertussis'!G25),ISTEXT('ASSAY Measles'!G25)),"YES", "")</f>
        <v>YES</v>
      </c>
      <c r="H14" s="110" t="str">
        <f>IF(OR(ISTEXT('ASSAY Respiratory Multiplex'!H25),ISTEXT('ASSAY Norovirus'!H25),ISTEXT('ASSAY Pertussis'!H25),ISTEXT('ASSAY Measles'!H25)),"YES", "")</f>
        <v/>
      </c>
      <c r="I14" s="104" t="str">
        <f>IF(OR(ISTEXT('ASSAY Respiratory Multiplex'!I25),ISTEXT('ASSAY Norovirus'!I25),ISTEXT('ASSAY Pertussis'!I25),ISTEXT('ASSAY Measles'!I25)),"YES", "")</f>
        <v/>
      </c>
      <c r="J14" s="110" t="str">
        <f>IF(OR(ISTEXT('ASSAY Respiratory Multiplex'!J25),ISTEXT('ASSAY Norovirus'!J25),ISTEXT('ASSAY Pertussis'!J25),ISTEXT('ASSAY Measles'!J25)),"YES", "")</f>
        <v/>
      </c>
      <c r="K14" s="104" t="str">
        <f>IF(OR(ISTEXT('ASSAY Respiratory Multiplex'!K25),ISTEXT('ASSAY Norovirus'!K25),ISTEXT('ASSAY Pertussis'!K25),ISTEXT('ASSAY Measles'!K25)),"YES", "")</f>
        <v/>
      </c>
      <c r="L14" s="110" t="str">
        <f>IF(OR(ISTEXT('ASSAY Respiratory Multiplex'!L25),ISTEXT('ASSAY Norovirus'!L25),ISTEXT('ASSAY Pertussis'!L25),ISTEXT('ASSAY Measles'!L25)),"YES", "")</f>
        <v/>
      </c>
      <c r="M14" s="104" t="str">
        <f>IF(OR(ISTEXT('ASSAY Respiratory Multiplex'!M25),ISTEXT('ASSAY Norovirus'!M25),ISTEXT('ASSAY Pertussis'!M25),ISTEXT('ASSAY Measles'!M25)),"YES", "")</f>
        <v/>
      </c>
      <c r="N14" s="113" t="str">
        <f>IF(OR(ISTEXT('ASSAY Respiratory Multiplex'!N25),ISTEXT('ASSAY Norovirus'!N25),ISTEXT('ASSAY Pertussis'!N25),ISTEXT('ASSAY Measles'!N25)),"YES", "")</f>
        <v/>
      </c>
      <c r="O14" s="155"/>
      <c r="P14" s="1"/>
      <c r="Q14" s="1"/>
      <c r="R14" s="1"/>
      <c r="S14" s="1"/>
      <c r="T14" s="1"/>
      <c r="U14" s="1"/>
      <c r="V14" s="1"/>
      <c r="W14" s="1"/>
      <c r="X14" s="1"/>
      <c r="Y14" s="1"/>
      <c r="Z14" s="1"/>
      <c r="AA14" s="1"/>
      <c r="AB14" s="1"/>
    </row>
    <row r="15" spans="2:28" ht="66" customHeight="1" x14ac:dyDescent="0.2">
      <c r="B15" s="36" t="s">
        <v>29</v>
      </c>
      <c r="C15" s="110" t="str">
        <f>IF(OR(ISTEXT('ASSAY Respiratory Multiplex'!C26),ISTEXT('ASSAY Norovirus'!C26),ISTEXT('ASSAY Pertussis'!C26),ISTEXT('ASSAY Measles'!C26)),"YES", "")</f>
        <v/>
      </c>
      <c r="D15" s="104" t="str">
        <f>IF(OR(ISTEXT('ASSAY Respiratory Multiplex'!D26),ISTEXT('ASSAY Norovirus'!D26),ISTEXT('ASSAY Pertussis'!D26),ISTEXT('ASSAY Measles'!D26)),"YES", "")</f>
        <v/>
      </c>
      <c r="E15" s="110" t="str">
        <f>IF(OR(ISTEXT('ASSAY Respiratory Multiplex'!E26),ISTEXT('ASSAY Norovirus'!E26),ISTEXT('ASSAY Pertussis'!E26),ISTEXT('ASSAY Measles'!E26)),"YES", "")</f>
        <v/>
      </c>
      <c r="F15" s="104" t="str">
        <f>IF(OR(ISTEXT('ASSAY Respiratory Multiplex'!F26),ISTEXT('ASSAY Norovirus'!F26),ISTEXT('ASSAY Pertussis'!F26),ISTEXT('ASSAY Measles'!F26)),"YES", "")</f>
        <v/>
      </c>
      <c r="G15" s="110" t="str">
        <f>IF(OR(ISTEXT('ASSAY Respiratory Multiplex'!G26),ISTEXT('ASSAY Norovirus'!G26),ISTEXT('ASSAY Pertussis'!G26),ISTEXT('ASSAY Measles'!G26)),"YES", "")</f>
        <v/>
      </c>
      <c r="H15" s="104" t="str">
        <f>IF(OR(ISTEXT('ASSAY Respiratory Multiplex'!H26),ISTEXT('ASSAY Norovirus'!H26),ISTEXT('ASSAY Pertussis'!H26),ISTEXT('ASSAY Measles'!H26)),"YES", "")</f>
        <v/>
      </c>
      <c r="I15" s="110" t="str">
        <f>IF(OR(ISTEXT('ASSAY Respiratory Multiplex'!I26),ISTEXT('ASSAY Norovirus'!I26),ISTEXT('ASSAY Pertussis'!I26),ISTEXT('ASSAY Measles'!I26)),"YES", "")</f>
        <v/>
      </c>
      <c r="J15" s="104" t="str">
        <f>IF(OR(ISTEXT('ASSAY Respiratory Multiplex'!J26),ISTEXT('ASSAY Norovirus'!J26),ISTEXT('ASSAY Pertussis'!J26),ISTEXT('ASSAY Measles'!J26)),"YES", "")</f>
        <v/>
      </c>
      <c r="K15" s="110" t="str">
        <f>IF(OR(ISTEXT('ASSAY Respiratory Multiplex'!K26),ISTEXT('ASSAY Norovirus'!K26),ISTEXT('ASSAY Pertussis'!K26),ISTEXT('ASSAY Measles'!K26)),"YES", "")</f>
        <v/>
      </c>
      <c r="L15" s="104" t="str">
        <f>IF(OR(ISTEXT('ASSAY Respiratory Multiplex'!L26),ISTEXT('ASSAY Norovirus'!L26),ISTEXT('ASSAY Pertussis'!L26),ISTEXT('ASSAY Measles'!L26)),"YES", "")</f>
        <v/>
      </c>
      <c r="M15" s="110" t="str">
        <f>IF(OR(ISTEXT('ASSAY Respiratory Multiplex'!M26),ISTEXT('ASSAY Norovirus'!M26),ISTEXT('ASSAY Pertussis'!M26),ISTEXT('ASSAY Measles'!M26)),"YES", "")</f>
        <v/>
      </c>
      <c r="N15" s="105" t="str">
        <f>IF(OR(ISTEXT('ASSAY Respiratory Multiplex'!N26),ISTEXT('ASSAY Norovirus'!N26),ISTEXT('ASSAY Pertussis'!N26),ISTEXT('ASSAY Measles'!N26)),"YES", "")</f>
        <v/>
      </c>
      <c r="O15" s="155"/>
      <c r="P15" s="1"/>
      <c r="Q15" s="1"/>
      <c r="R15" s="1"/>
      <c r="S15" s="1"/>
      <c r="T15" s="1"/>
      <c r="U15" s="1"/>
      <c r="V15" s="1"/>
      <c r="W15" s="1"/>
      <c r="X15" s="1"/>
      <c r="Y15" s="1"/>
      <c r="Z15" s="1"/>
      <c r="AA15" s="1"/>
      <c r="AB15" s="1"/>
    </row>
    <row r="16" spans="2:28" ht="66" customHeight="1" x14ac:dyDescent="0.2">
      <c r="B16" s="36" t="s">
        <v>30</v>
      </c>
      <c r="C16" s="104" t="str">
        <f>IF(OR(ISTEXT('ASSAY Respiratory Multiplex'!C27),ISTEXT('ASSAY Norovirus'!C27),ISTEXT('ASSAY Pertussis'!C27),ISTEXT('ASSAY Measles'!C27)),"YES", "")</f>
        <v/>
      </c>
      <c r="D16" s="110" t="str">
        <f>IF(OR(ISTEXT('ASSAY Respiratory Multiplex'!D27),ISTEXT('ASSAY Norovirus'!D27),ISTEXT('ASSAY Pertussis'!D27),ISTEXT('ASSAY Measles'!D27)),"YES", "")</f>
        <v/>
      </c>
      <c r="E16" s="104" t="str">
        <f>IF(OR(ISTEXT('ASSAY Respiratory Multiplex'!E27),ISTEXT('ASSAY Norovirus'!E27),ISTEXT('ASSAY Pertussis'!E27),ISTEXT('ASSAY Measles'!E27)),"YES", "")</f>
        <v/>
      </c>
      <c r="F16" s="110" t="str">
        <f>IF(OR(ISTEXT('ASSAY Respiratory Multiplex'!F27),ISTEXT('ASSAY Norovirus'!F27),ISTEXT('ASSAY Pertussis'!F27),ISTEXT('ASSAY Measles'!F27)),"YES", "")</f>
        <v/>
      </c>
      <c r="G16" s="104" t="str">
        <f>IF(OR(ISTEXT('ASSAY Respiratory Multiplex'!G27),ISTEXT('ASSAY Norovirus'!G27),ISTEXT('ASSAY Pertussis'!G27),ISTEXT('ASSAY Measles'!G27)),"YES", "")</f>
        <v/>
      </c>
      <c r="H16" s="110" t="str">
        <f>IF(OR(ISTEXT('ASSAY Respiratory Multiplex'!H27),ISTEXT('ASSAY Norovirus'!H27),ISTEXT('ASSAY Pertussis'!H27),ISTEXT('ASSAY Measles'!H27)),"YES", "")</f>
        <v/>
      </c>
      <c r="I16" s="104" t="str">
        <f>IF(OR(ISTEXT('ASSAY Respiratory Multiplex'!I27),ISTEXT('ASSAY Norovirus'!I27),ISTEXT('ASSAY Pertussis'!I27),ISTEXT('ASSAY Measles'!I27)),"YES", "")</f>
        <v/>
      </c>
      <c r="J16" s="110" t="str">
        <f>IF(OR(ISTEXT('ASSAY Respiratory Multiplex'!J27),ISTEXT('ASSAY Norovirus'!J27),ISTEXT('ASSAY Pertussis'!J27),ISTEXT('ASSAY Measles'!J27)),"YES", "")</f>
        <v/>
      </c>
      <c r="K16" s="104" t="str">
        <f>IF(OR(ISTEXT('ASSAY Respiratory Multiplex'!K27),ISTEXT('ASSAY Norovirus'!K27),ISTEXT('ASSAY Pertussis'!K27),ISTEXT('ASSAY Measles'!K27)),"YES", "")</f>
        <v/>
      </c>
      <c r="L16" s="110" t="str">
        <f>IF(OR(ISTEXT('ASSAY Respiratory Multiplex'!L27),ISTEXT('ASSAY Norovirus'!L27),ISTEXT('ASSAY Pertussis'!L27),ISTEXT('ASSAY Measles'!L27)),"YES", "")</f>
        <v/>
      </c>
      <c r="M16" s="104" t="str">
        <f>IF(OR(ISTEXT('ASSAY Respiratory Multiplex'!M27),ISTEXT('ASSAY Norovirus'!M27),ISTEXT('ASSAY Pertussis'!M27),ISTEXT('ASSAY Measles'!M27)),"YES", "")</f>
        <v/>
      </c>
      <c r="N16" s="113" t="str">
        <f>IF(OR(ISTEXT('ASSAY Respiratory Multiplex'!N27),ISTEXT('ASSAY Norovirus'!N27),ISTEXT('ASSAY Pertussis'!N27),ISTEXT('ASSAY Measles'!N27)),"YES", "")</f>
        <v/>
      </c>
      <c r="O16" s="155"/>
      <c r="P16" s="1"/>
      <c r="Q16" s="1"/>
      <c r="R16" s="1"/>
      <c r="S16" s="1"/>
      <c r="T16" s="1"/>
      <c r="U16" s="1"/>
      <c r="V16" s="1"/>
      <c r="W16" s="1"/>
      <c r="X16" s="1"/>
      <c r="Y16" s="1"/>
      <c r="Z16" s="1"/>
      <c r="AA16" s="1"/>
      <c r="AB16" s="1"/>
    </row>
    <row r="17" spans="2:28" ht="66" customHeight="1" thickBot="1" x14ac:dyDescent="0.25">
      <c r="B17" s="39" t="s">
        <v>31</v>
      </c>
      <c r="C17" s="111" t="str">
        <f>IF(OR(ISTEXT('ASSAY Respiratory Multiplex'!C28),ISTEXT('ASSAY Norovirus'!C28),ISTEXT('ASSAY Pertussis'!C28),ISTEXT('ASSAY Measles'!C28)),"YES", "")</f>
        <v/>
      </c>
      <c r="D17" s="106" t="str">
        <f>IF(OR(ISTEXT('ASSAY Respiratory Multiplex'!D28),ISTEXT('ASSAY Norovirus'!D28),ISTEXT('ASSAY Pertussis'!D28),ISTEXT('ASSAY Measles'!D28)),"YES", "")</f>
        <v/>
      </c>
      <c r="E17" s="111" t="str">
        <f>IF(OR(ISTEXT('ASSAY Respiratory Multiplex'!E28),ISTEXT('ASSAY Norovirus'!E28),ISTEXT('ASSAY Pertussis'!E28),ISTEXT('ASSAY Measles'!E28)),"YES", "")</f>
        <v/>
      </c>
      <c r="F17" s="106" t="str">
        <f>IF(OR(ISTEXT('ASSAY Respiratory Multiplex'!F28),ISTEXT('ASSAY Norovirus'!F28),ISTEXT('ASSAY Pertussis'!F28),ISTEXT('ASSAY Measles'!F28)),"YES", "")</f>
        <v/>
      </c>
      <c r="G17" s="111" t="str">
        <f>IF(OR(ISTEXT('ASSAY Respiratory Multiplex'!G28),ISTEXT('ASSAY Norovirus'!G28),ISTEXT('ASSAY Pertussis'!G28),ISTEXT('ASSAY Measles'!G28)),"YES", "")</f>
        <v/>
      </c>
      <c r="H17" s="106" t="str">
        <f>IF(OR(ISTEXT('ASSAY Respiratory Multiplex'!H28),ISTEXT('ASSAY Norovirus'!H28),ISTEXT('ASSAY Pertussis'!H28),ISTEXT('ASSAY Measles'!H28)),"YES", "")</f>
        <v/>
      </c>
      <c r="I17" s="111" t="str">
        <f>IF(OR(ISTEXT('ASSAY Respiratory Multiplex'!I28),ISTEXT('ASSAY Norovirus'!I28),ISTEXT('ASSAY Pertussis'!I28),ISTEXT('ASSAY Measles'!I28)),"YES", "")</f>
        <v/>
      </c>
      <c r="J17" s="106" t="str">
        <f>IF(OR(ISTEXT('ASSAY Respiratory Multiplex'!J28),ISTEXT('ASSAY Norovirus'!J28),ISTEXT('ASSAY Pertussis'!J28),ISTEXT('ASSAY Measles'!J28)),"YES", "")</f>
        <v/>
      </c>
      <c r="K17" s="111" t="str">
        <f>IF(OR(ISTEXT('ASSAY Respiratory Multiplex'!K28),ISTEXT('ASSAY Norovirus'!K28),ISTEXT('ASSAY Pertussis'!K28),ISTEXT('ASSAY Measles'!K28)),"YES", "")</f>
        <v/>
      </c>
      <c r="L17" s="106" t="str">
        <f>IF(OR(ISTEXT('ASSAY Respiratory Multiplex'!L28),ISTEXT('ASSAY Norovirus'!L28),ISTEXT('ASSAY Pertussis'!L28),ISTEXT('ASSAY Measles'!L28)),"YES", "")</f>
        <v/>
      </c>
      <c r="M17" s="111" t="str">
        <f>IF(OR(ISTEXT('ASSAY Respiratory Multiplex'!M28),ISTEXT('ASSAY Norovirus'!M28),ISTEXT('ASSAY Pertussis'!M28),ISTEXT('ASSAY Measles'!M28)),"YES", "")</f>
        <v/>
      </c>
      <c r="N17" s="112" t="str">
        <f>IF(OR(ISTEXT('ASSAY Respiratory Multiplex'!N28),ISTEXT('ASSAY Norovirus'!N28),ISTEXT('ASSAY Pertussis'!N28),ISTEXT('ASSAY Measles'!N28)),"YES", "")</f>
        <v/>
      </c>
      <c r="O17" s="155"/>
      <c r="P17" s="1"/>
      <c r="Q17" s="1"/>
      <c r="R17" s="1"/>
      <c r="S17" s="1"/>
      <c r="T17" s="1"/>
      <c r="U17" s="1"/>
      <c r="V17" s="1"/>
      <c r="W17" s="1"/>
      <c r="X17" s="1"/>
      <c r="Y17" s="1"/>
      <c r="Z17" s="1"/>
      <c r="AA17" s="1"/>
      <c r="AB17" s="1"/>
    </row>
    <row r="18" spans="2:28" ht="21" customHeight="1" thickBot="1" x14ac:dyDescent="0.25">
      <c r="C18" s="135"/>
      <c r="D18" s="135"/>
      <c r="E18" s="135"/>
      <c r="F18" s="135"/>
      <c r="G18" s="135"/>
      <c r="H18" s="135"/>
      <c r="I18" s="135"/>
      <c r="J18" s="135"/>
      <c r="K18" s="135"/>
      <c r="L18" s="135"/>
      <c r="M18" s="135"/>
      <c r="N18" s="135"/>
      <c r="O18" s="135"/>
      <c r="P18" s="1"/>
      <c r="Q18" s="1"/>
      <c r="R18" s="1"/>
      <c r="S18" s="1"/>
      <c r="T18" s="1"/>
      <c r="U18" s="1"/>
      <c r="V18" s="1"/>
      <c r="W18" s="1"/>
      <c r="X18" s="1"/>
      <c r="Y18" s="1"/>
      <c r="Z18" s="1"/>
      <c r="AA18" s="1"/>
      <c r="AB18" s="1"/>
    </row>
    <row r="19" spans="2:28" ht="25" customHeight="1" x14ac:dyDescent="0.2">
      <c r="C19" s="208" t="s">
        <v>279</v>
      </c>
      <c r="D19" s="189">
        <f>COUNTIF(C10:N17,"YES")</f>
        <v>16</v>
      </c>
      <c r="E19" s="210" t="s">
        <v>235</v>
      </c>
      <c r="F19" s="183" t="s">
        <v>267</v>
      </c>
      <c r="G19" s="183"/>
      <c r="H19" s="184"/>
      <c r="I19" s="1"/>
      <c r="J19" s="1"/>
      <c r="K19" s="1"/>
      <c r="L19" s="1"/>
      <c r="M19" s="1"/>
      <c r="N19" s="1"/>
      <c r="O19" s="1"/>
      <c r="P19" s="1"/>
      <c r="Q19" s="1"/>
      <c r="R19" s="1"/>
      <c r="S19" s="1"/>
      <c r="T19" s="1"/>
      <c r="U19" s="1"/>
      <c r="V19" s="1"/>
      <c r="W19" s="1"/>
      <c r="X19" s="1"/>
      <c r="Y19" s="1"/>
      <c r="Z19" s="1"/>
      <c r="AA19" s="1"/>
      <c r="AB19" s="1"/>
    </row>
    <row r="20" spans="2:28" ht="25" customHeight="1" thickBot="1" x14ac:dyDescent="0.25">
      <c r="C20" s="209"/>
      <c r="D20" s="190"/>
      <c r="E20" s="211"/>
      <c r="F20" s="185"/>
      <c r="G20" s="185"/>
      <c r="H20" s="186"/>
      <c r="I20" s="1"/>
      <c r="J20" s="1"/>
      <c r="K20" s="1"/>
      <c r="L20" s="1"/>
      <c r="M20" s="1"/>
      <c r="N20" s="1"/>
      <c r="O20" s="1"/>
      <c r="P20" s="1"/>
      <c r="Q20" s="1"/>
      <c r="R20" s="1"/>
      <c r="S20" s="1"/>
      <c r="T20" s="1"/>
      <c r="U20" s="1"/>
      <c r="V20" s="1"/>
      <c r="W20" s="1"/>
      <c r="X20" s="1"/>
      <c r="Y20" s="1"/>
      <c r="Z20" s="1"/>
      <c r="AA20" s="1"/>
      <c r="AB20" s="1"/>
    </row>
    <row r="21" spans="2:28" ht="21" customHeight="1" x14ac:dyDescent="0.2">
      <c r="C21" s="178"/>
      <c r="D21" s="178"/>
      <c r="E21" s="178"/>
      <c r="F21" s="178"/>
      <c r="G21" s="178"/>
      <c r="H21" s="178"/>
      <c r="I21" s="1"/>
      <c r="J21" s="1"/>
      <c r="K21" s="1"/>
      <c r="L21" s="1"/>
      <c r="M21" s="1"/>
      <c r="N21" s="1"/>
      <c r="O21" s="1"/>
      <c r="P21" s="1"/>
      <c r="Q21" s="1"/>
      <c r="R21" s="1"/>
      <c r="S21" s="1"/>
      <c r="T21" s="1"/>
      <c r="U21" s="1"/>
      <c r="V21" s="1"/>
      <c r="W21" s="1"/>
      <c r="X21" s="1"/>
      <c r="Y21" s="1"/>
      <c r="Z21" s="1"/>
      <c r="AA21" s="1"/>
      <c r="AB21" s="1"/>
    </row>
    <row r="22" spans="2:28" ht="21" customHeight="1" x14ac:dyDescent="0.2">
      <c r="C22" s="67"/>
      <c r="D22" s="73"/>
      <c r="E22" s="73"/>
      <c r="F22" s="73"/>
      <c r="G22" s="73"/>
      <c r="H22" s="73"/>
      <c r="I22" s="1"/>
      <c r="J22" s="1"/>
      <c r="K22" s="1"/>
      <c r="L22" s="1"/>
      <c r="M22" s="1"/>
      <c r="N22" s="1"/>
      <c r="O22" s="1"/>
      <c r="P22" s="1"/>
      <c r="Q22" s="1"/>
      <c r="R22" s="1"/>
      <c r="S22" s="1"/>
      <c r="T22" s="1"/>
      <c r="U22" s="1"/>
      <c r="V22" s="1"/>
      <c r="W22" s="1"/>
      <c r="X22" s="1"/>
      <c r="Y22" s="1"/>
      <c r="Z22" s="1"/>
      <c r="AA22" s="1"/>
      <c r="AB22" s="1"/>
    </row>
    <row r="23" spans="2:28" ht="33" customHeight="1" x14ac:dyDescent="0.2"/>
    <row r="24" spans="2:28" ht="49" customHeight="1" x14ac:dyDescent="0.2"/>
    <row r="25" spans="2:28" ht="49" customHeight="1" x14ac:dyDescent="0.2"/>
    <row r="26" spans="2:28" ht="49" customHeight="1" x14ac:dyDescent="0.2"/>
    <row r="27" spans="2:28" ht="49" customHeight="1" x14ac:dyDescent="0.2"/>
    <row r="28" spans="2:28" ht="49" customHeight="1" x14ac:dyDescent="0.2"/>
    <row r="29" spans="2:28" ht="21" customHeight="1" x14ac:dyDescent="0.2"/>
    <row r="30" spans="2:28" ht="21" customHeight="1" x14ac:dyDescent="0.2">
      <c r="C30" s="1"/>
      <c r="D30" s="1"/>
      <c r="E30" s="1"/>
      <c r="F30" s="1"/>
      <c r="G30" s="1"/>
      <c r="H30" s="1"/>
      <c r="I30" s="1"/>
      <c r="J30" s="1"/>
      <c r="K30" s="1"/>
      <c r="L30" s="1"/>
      <c r="M30" s="1"/>
      <c r="N30" s="1"/>
      <c r="O30" s="1"/>
      <c r="P30" s="1"/>
      <c r="Q30" s="1"/>
      <c r="R30" s="1"/>
      <c r="S30" s="1"/>
      <c r="T30" s="1"/>
      <c r="U30" s="1"/>
      <c r="V30" s="1"/>
      <c r="W30" s="1"/>
      <c r="X30" s="1"/>
      <c r="Y30" s="1"/>
      <c r="Z30" s="1"/>
      <c r="AA30" s="1"/>
      <c r="AB30" s="1"/>
    </row>
    <row r="31" spans="2:28" ht="21" customHeight="1" x14ac:dyDescent="0.2">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2:28" ht="21" customHeight="1" x14ac:dyDescent="0.2">
      <c r="C32" s="1"/>
      <c r="D32" s="1"/>
      <c r="E32" s="1"/>
      <c r="F32" s="1"/>
      <c r="G32" s="1"/>
      <c r="H32" s="1"/>
      <c r="I32" s="1"/>
      <c r="J32" s="1"/>
      <c r="K32" s="1"/>
      <c r="L32" s="1"/>
      <c r="M32" s="1"/>
      <c r="N32" s="1"/>
      <c r="O32" s="1"/>
      <c r="P32" s="1"/>
      <c r="Q32" s="1"/>
      <c r="R32" s="1"/>
      <c r="S32" s="1"/>
      <c r="T32" s="1"/>
      <c r="U32" s="1"/>
      <c r="V32" s="1"/>
      <c r="W32" s="1"/>
      <c r="X32" s="1"/>
      <c r="Y32" s="1"/>
      <c r="Z32" s="1"/>
      <c r="AA32" s="1"/>
      <c r="AB32" s="1"/>
    </row>
    <row r="33" spans="3:28" ht="21" customHeight="1" x14ac:dyDescent="0.2">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3:28" ht="21" customHeight="1" x14ac:dyDescent="0.2">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3:28" ht="21" customHeight="1" x14ac:dyDescent="0.2">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3:28" ht="21" customHeight="1" x14ac:dyDescent="0.2">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3:28" ht="21" customHeight="1" x14ac:dyDescent="0.2">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3:28" ht="21" customHeight="1" x14ac:dyDescent="0.2">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3:28" ht="21" customHeight="1" x14ac:dyDescent="0.2">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3:28" ht="21" customHeight="1" x14ac:dyDescent="0.2">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3:28" ht="21" customHeight="1" x14ac:dyDescent="0.2">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3:28" ht="21" customHeight="1" x14ac:dyDescent="0.2">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3:28" ht="21" customHeight="1" x14ac:dyDescent="0.2">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3:28" ht="21" customHeight="1" x14ac:dyDescent="0.2">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3:28" ht="21" customHeight="1" x14ac:dyDescent="0.2">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3:28" ht="21" customHeight="1" x14ac:dyDescent="0.2">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3:28" ht="21" customHeight="1" x14ac:dyDescent="0.2">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3:28" ht="21" customHeight="1" x14ac:dyDescent="0.2">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3:28" ht="21" customHeight="1" x14ac:dyDescent="0.2">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3:28" ht="21" customHeight="1" x14ac:dyDescent="0.2">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3:28" ht="21" customHeight="1" x14ac:dyDescent="0.2">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3:28" ht="21" customHeight="1" x14ac:dyDescent="0.2">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3:28" ht="21" customHeight="1" x14ac:dyDescent="0.2">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3:28" ht="21" customHeight="1" x14ac:dyDescent="0.2">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3:28" ht="21" customHeight="1" x14ac:dyDescent="0.2">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3:28" ht="21" customHeight="1" x14ac:dyDescent="0.2">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3:28" ht="21" customHeight="1" x14ac:dyDescent="0.2">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3:28" ht="21" customHeight="1" x14ac:dyDescent="0.2">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3:28" ht="21" customHeight="1" x14ac:dyDescent="0.2">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3:28" ht="21" customHeight="1" x14ac:dyDescent="0.2">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3:28" ht="21" customHeight="1" x14ac:dyDescent="0.2">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3:28" ht="21" customHeight="1" x14ac:dyDescent="0.2">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3:28" ht="21" customHeight="1" x14ac:dyDescent="0.2">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3:28" ht="21" customHeight="1" x14ac:dyDescent="0.2">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3:28" ht="21" customHeight="1" x14ac:dyDescent="0.2">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3:28" ht="21" customHeight="1" x14ac:dyDescent="0.2">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3:28" ht="21" customHeight="1" x14ac:dyDescent="0.2">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3:28" ht="21" customHeight="1" x14ac:dyDescent="0.2">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3:28" ht="21" customHeight="1" x14ac:dyDescent="0.2">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3:28" ht="21" customHeight="1" x14ac:dyDescent="0.2">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3:28" ht="21" customHeight="1" x14ac:dyDescent="0.2">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3:28" ht="21" customHeight="1" x14ac:dyDescent="0.2">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3:28" ht="21" customHeight="1" x14ac:dyDescent="0.2">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3:28" ht="21" customHeight="1" x14ac:dyDescent="0.2">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3:28" ht="21" customHeight="1" x14ac:dyDescent="0.2">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3:28" ht="21" customHeight="1" x14ac:dyDescent="0.2">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3:28" ht="21" customHeight="1" x14ac:dyDescent="0.2">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3:28" ht="21" customHeight="1" x14ac:dyDescent="0.2">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3:28" ht="21" customHeight="1" x14ac:dyDescent="0.2">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3:28" ht="21" customHeight="1" x14ac:dyDescent="0.2">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3:28" ht="21" customHeight="1" x14ac:dyDescent="0.2">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3:28" ht="21" customHeight="1" x14ac:dyDescent="0.2">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3:28" ht="21" customHeight="1" x14ac:dyDescent="0.2">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3:28" ht="21" customHeight="1" x14ac:dyDescent="0.2">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3:28" ht="21" customHeight="1" x14ac:dyDescent="0.2">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3:28" ht="21" customHeight="1" x14ac:dyDescent="0.2">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3:28" ht="21" customHeight="1" x14ac:dyDescent="0.2">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3:28" ht="21" customHeight="1" x14ac:dyDescent="0.2">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3:28" ht="21" customHeight="1" x14ac:dyDescent="0.2">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3:28" ht="21" customHeight="1" x14ac:dyDescent="0.2">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3:28" ht="21" customHeight="1" x14ac:dyDescent="0.2">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3:28" ht="21" customHeight="1" x14ac:dyDescent="0.2">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3:28" ht="21" customHeight="1" x14ac:dyDescent="0.2">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3:28" ht="21" customHeight="1" x14ac:dyDescent="0.2">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3:28" ht="21" customHeight="1" x14ac:dyDescent="0.2">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3:28" ht="21" customHeight="1" x14ac:dyDescent="0.2">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3:28" ht="21" customHeight="1" x14ac:dyDescent="0.2">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3:28" ht="21" customHeight="1" x14ac:dyDescent="0.2">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3:28" ht="21" customHeight="1" x14ac:dyDescent="0.2">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3:28" ht="21" customHeight="1" x14ac:dyDescent="0.2">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3:28" ht="21" customHeight="1" x14ac:dyDescent="0.2">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3:28" ht="21" customHeight="1" x14ac:dyDescent="0.2">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3:28" ht="21" customHeight="1" x14ac:dyDescent="0.2">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3:28" ht="21" customHeight="1" x14ac:dyDescent="0.2">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3:28" ht="21" customHeight="1" x14ac:dyDescent="0.2">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3:28" ht="21" customHeight="1" x14ac:dyDescent="0.2">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3:28" ht="21" customHeight="1" x14ac:dyDescent="0.2">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3:28" ht="21" customHeight="1" x14ac:dyDescent="0.2">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3:28" ht="21" customHeight="1" x14ac:dyDescent="0.2">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3:28" ht="21" customHeight="1" x14ac:dyDescent="0.2">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3:28" ht="21" customHeight="1" x14ac:dyDescent="0.2">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3:28" ht="21" customHeight="1" x14ac:dyDescent="0.2">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3:28" ht="21" customHeight="1" x14ac:dyDescent="0.2">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3:28" ht="21" customHeight="1" x14ac:dyDescent="0.2">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3:28" ht="21" customHeight="1" x14ac:dyDescent="0.2">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3:28" ht="21" customHeight="1" x14ac:dyDescent="0.2">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3:28" ht="21" customHeight="1" x14ac:dyDescent="0.2">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3:28" ht="21" customHeight="1" x14ac:dyDescent="0.2">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3:28" ht="21" customHeight="1" x14ac:dyDescent="0.2">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3:28" ht="21" customHeight="1" x14ac:dyDescent="0.2">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3:28" ht="21" customHeight="1" x14ac:dyDescent="0.2">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3:28" ht="21" customHeight="1" x14ac:dyDescent="0.2">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3:28" ht="21" customHeight="1" x14ac:dyDescent="0.2">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3:28" ht="21" customHeight="1" x14ac:dyDescent="0.2">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3:28" ht="21" customHeight="1" x14ac:dyDescent="0.2">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3:28" ht="21" customHeight="1" x14ac:dyDescent="0.2">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3:28" ht="21" customHeight="1" x14ac:dyDescent="0.2">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3:28" ht="21" customHeight="1" x14ac:dyDescent="0.2">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3:28" ht="21" customHeight="1" x14ac:dyDescent="0.2">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3:28" ht="21" customHeight="1" x14ac:dyDescent="0.2">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3:28" ht="21" customHeight="1" x14ac:dyDescent="0.2">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3:28" ht="21" customHeight="1" x14ac:dyDescent="0.2">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3:28" ht="21" customHeight="1" x14ac:dyDescent="0.2">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3:28" ht="21" customHeight="1" x14ac:dyDescent="0.2">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3:28" ht="21" customHeight="1" x14ac:dyDescent="0.2">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3:28" ht="21" customHeight="1" x14ac:dyDescent="0.2">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3:28" ht="21" customHeight="1" x14ac:dyDescent="0.2">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3:28" ht="21" customHeight="1" x14ac:dyDescent="0.2">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3:28" ht="21" customHeight="1" x14ac:dyDescent="0.2">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3:28" ht="21" customHeight="1" x14ac:dyDescent="0.2">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3:28" ht="21" customHeight="1" x14ac:dyDescent="0.2">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3:28" ht="21" customHeight="1" x14ac:dyDescent="0.2">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3:28" ht="21" customHeight="1" x14ac:dyDescent="0.2">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3:28" ht="21" customHeight="1" x14ac:dyDescent="0.2">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3:28" ht="21" customHeight="1" x14ac:dyDescent="0.2">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3:28" ht="21" customHeight="1" x14ac:dyDescent="0.2">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3:28" ht="21" customHeight="1" x14ac:dyDescent="0.2">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3:28" ht="21" customHeight="1" x14ac:dyDescent="0.2">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3:28" ht="21" customHeight="1" x14ac:dyDescent="0.2">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3:28" ht="21" customHeight="1" x14ac:dyDescent="0.2">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3:28" ht="21" customHeight="1" x14ac:dyDescent="0.2">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3:28" ht="21" customHeight="1" x14ac:dyDescent="0.2">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3:28" ht="21" customHeight="1" x14ac:dyDescent="0.2">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3:28" ht="21" customHeight="1" x14ac:dyDescent="0.2">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3:28" ht="21" customHeight="1" x14ac:dyDescent="0.2">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3:28" ht="21" customHeight="1" x14ac:dyDescent="0.2">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3:28" ht="21" customHeight="1" x14ac:dyDescent="0.2">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3:28" ht="21" customHeight="1" x14ac:dyDescent="0.2">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3:28" ht="21" customHeight="1" x14ac:dyDescent="0.2">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3:28" ht="15.75" customHeight="1" x14ac:dyDescent="0.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spans="3:28" ht="15.75" customHeight="1" x14ac:dyDescent="0.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spans="3:28" ht="15.75" customHeight="1" x14ac:dyDescent="0.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spans="3:28" ht="15.75" customHeight="1" x14ac:dyDescent="0.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spans="3:28" ht="15.75" customHeight="1" x14ac:dyDescent="0.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spans="3:28" ht="15.75" customHeight="1" x14ac:dyDescent="0.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spans="3:28" ht="15.75" customHeight="1" x14ac:dyDescent="0.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spans="3:28" ht="15.75" customHeight="1" x14ac:dyDescent="0.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spans="3:28" ht="15.75" customHeight="1" x14ac:dyDescent="0.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spans="3:28" ht="15.75" customHeight="1" x14ac:dyDescent="0.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spans="3:28" ht="15.75" customHeight="1" x14ac:dyDescent="0.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spans="3:28" ht="15.75" customHeight="1" x14ac:dyDescent="0.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spans="3:28" ht="15.75" customHeight="1" x14ac:dyDescent="0.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spans="3:28" ht="15.75" customHeight="1" x14ac:dyDescent="0.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spans="3:28" ht="15.75" customHeight="1" x14ac:dyDescent="0.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spans="3:28" ht="15.75" customHeight="1" x14ac:dyDescent="0.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spans="3:28" ht="15.75" customHeight="1" x14ac:dyDescent="0.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spans="3:28" ht="15.75" customHeight="1" x14ac:dyDescent="0.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spans="3:28" ht="15.75" customHeight="1" x14ac:dyDescent="0.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spans="3:28" ht="15.75" customHeight="1" x14ac:dyDescent="0.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spans="3:28" ht="15.75" customHeight="1" x14ac:dyDescent="0.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spans="3:28" ht="15.75" customHeight="1" x14ac:dyDescent="0.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spans="3:28" ht="15.75" customHeight="1" x14ac:dyDescent="0.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spans="3:28" ht="15.75" customHeight="1" x14ac:dyDescent="0.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spans="3:28" ht="15.75" customHeight="1" x14ac:dyDescent="0.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spans="3:28" ht="15.75" customHeight="1" x14ac:dyDescent="0.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spans="3:28" ht="15.75" customHeight="1" x14ac:dyDescent="0.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spans="3:28" ht="15.75" customHeight="1" x14ac:dyDescent="0.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spans="3:28" ht="15.75" customHeight="1" x14ac:dyDescent="0.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spans="3:28" ht="15.75" customHeight="1" x14ac:dyDescent="0.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spans="3:28" ht="15.75" customHeight="1" x14ac:dyDescent="0.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spans="3:28" ht="15.75" customHeight="1" x14ac:dyDescent="0.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spans="3:28" ht="15.75" customHeight="1" x14ac:dyDescent="0.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spans="3:28" ht="15.75" customHeight="1" x14ac:dyDescent="0.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spans="3:28" ht="15.75" customHeight="1" x14ac:dyDescent="0.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spans="3:28" ht="15.75" customHeight="1" x14ac:dyDescent="0.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spans="3:28" ht="15.75" customHeight="1" x14ac:dyDescent="0.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spans="3:28" ht="15.75" customHeight="1" x14ac:dyDescent="0.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spans="3:28" ht="15.75" customHeight="1" x14ac:dyDescent="0.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spans="3:28" ht="15.75" customHeight="1" x14ac:dyDescent="0.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spans="3:28" ht="15.75" customHeight="1" x14ac:dyDescent="0.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spans="3:28" ht="15.75" customHeight="1" x14ac:dyDescent="0.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spans="3:28" ht="15.75" customHeight="1" x14ac:dyDescent="0.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spans="3:28" ht="15.75" customHeight="1" x14ac:dyDescent="0.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spans="3:28" ht="15.75" customHeight="1" x14ac:dyDescent="0.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spans="3:28" ht="15.75" customHeight="1" x14ac:dyDescent="0.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spans="3:28" ht="15.75" customHeight="1" x14ac:dyDescent="0.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spans="3:28" ht="15.75" customHeight="1" x14ac:dyDescent="0.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spans="3:28" ht="15.75" customHeight="1" x14ac:dyDescent="0.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spans="3:28" ht="15.75" customHeight="1" x14ac:dyDescent="0.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spans="3:28" ht="15.75" customHeight="1" x14ac:dyDescent="0.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spans="3:28" ht="15.75" customHeight="1" x14ac:dyDescent="0.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spans="3:28" ht="15.75" customHeight="1" x14ac:dyDescent="0.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spans="3:28" ht="15.75" customHeight="1" x14ac:dyDescent="0.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spans="3:28" ht="15.75" customHeight="1" x14ac:dyDescent="0.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spans="3:28" ht="15.75" customHeight="1" x14ac:dyDescent="0.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spans="3:28" ht="15.75" customHeight="1" x14ac:dyDescent="0.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spans="3:28" ht="15.75" customHeight="1" x14ac:dyDescent="0.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spans="3:28" ht="15.75" customHeight="1" x14ac:dyDescent="0.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spans="3:28" ht="15.75" customHeight="1" x14ac:dyDescent="0.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spans="3:28" ht="15.75" customHeight="1" x14ac:dyDescent="0.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spans="3:28" ht="15.75" customHeight="1" x14ac:dyDescent="0.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spans="3:28" ht="15.75" customHeight="1" x14ac:dyDescent="0.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spans="3:28" ht="15.75" customHeight="1" x14ac:dyDescent="0.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spans="3:28" ht="15.75" customHeight="1" x14ac:dyDescent="0.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spans="3:28" ht="15.75" customHeight="1" x14ac:dyDescent="0.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spans="3:28" ht="15.75" customHeight="1" x14ac:dyDescent="0.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spans="3:28" ht="15.75" customHeight="1" x14ac:dyDescent="0.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spans="3:28" ht="15.75" customHeight="1" x14ac:dyDescent="0.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spans="3:28" ht="15.75" customHeight="1" x14ac:dyDescent="0.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spans="3:28" ht="15.75" customHeight="1" x14ac:dyDescent="0.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spans="3:28" ht="15.75" customHeight="1" x14ac:dyDescent="0.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spans="3:28" ht="15.75" customHeight="1" x14ac:dyDescent="0.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spans="3:28" ht="15.75" customHeight="1" x14ac:dyDescent="0.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spans="3:28" ht="15.75" customHeight="1" x14ac:dyDescent="0.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spans="3:28" ht="15.75" customHeight="1" x14ac:dyDescent="0.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spans="3:28" ht="15.75" customHeight="1" x14ac:dyDescent="0.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spans="3:28" ht="15.75" customHeight="1" x14ac:dyDescent="0.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spans="3:28" ht="15.75" customHeight="1" x14ac:dyDescent="0.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spans="3:28" ht="15.75" customHeight="1" x14ac:dyDescent="0.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spans="3:28" ht="15.75" customHeight="1" x14ac:dyDescent="0.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spans="3:28" ht="15.75" customHeight="1" x14ac:dyDescent="0.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spans="3:28" ht="15.75" customHeight="1" x14ac:dyDescent="0.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spans="3:28" ht="15.75" customHeight="1" x14ac:dyDescent="0.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spans="3:28" ht="15.75" customHeight="1" x14ac:dyDescent="0.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spans="3:28" ht="15.75" customHeight="1" x14ac:dyDescent="0.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spans="3:28" ht="15.75" customHeight="1" x14ac:dyDescent="0.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spans="3:28" ht="15.75" customHeight="1" x14ac:dyDescent="0.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spans="3:28" ht="15.75" customHeight="1" x14ac:dyDescent="0.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spans="3:28" ht="15.75" customHeight="1" x14ac:dyDescent="0.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spans="3:28" ht="15.75" customHeight="1" x14ac:dyDescent="0.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spans="3:28" ht="15.75" customHeight="1" x14ac:dyDescent="0.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spans="3:28" ht="15.75" customHeight="1" x14ac:dyDescent="0.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spans="3:28" ht="15.75" customHeight="1" x14ac:dyDescent="0.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spans="3:28" ht="15.75" customHeight="1" x14ac:dyDescent="0.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spans="3:28" ht="15.75" customHeight="1" x14ac:dyDescent="0.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spans="3:28" ht="15.75" customHeight="1" x14ac:dyDescent="0.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spans="3:28" ht="15.75" customHeight="1" x14ac:dyDescent="0.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spans="3:28" ht="15.75" customHeight="1" x14ac:dyDescent="0.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spans="3:28" ht="15.75" customHeight="1" x14ac:dyDescent="0.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spans="3:28" ht="15.75" customHeight="1" x14ac:dyDescent="0.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spans="3:28" ht="15.75" customHeight="1" x14ac:dyDescent="0.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spans="3:28" ht="15.75" customHeight="1" x14ac:dyDescent="0.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spans="3:28" ht="15.75" customHeight="1" x14ac:dyDescent="0.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spans="3:28" ht="15.75" customHeight="1" x14ac:dyDescent="0.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spans="3:28" ht="15.75" customHeight="1" x14ac:dyDescent="0.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spans="3:28" ht="15.75" customHeight="1" x14ac:dyDescent="0.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spans="3:28" ht="15.75" customHeight="1" x14ac:dyDescent="0.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spans="3:28" ht="15.75" customHeight="1" x14ac:dyDescent="0.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spans="3:28" ht="15.75" customHeight="1" x14ac:dyDescent="0.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spans="3:28" ht="15.75" customHeight="1" x14ac:dyDescent="0.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spans="3:28" ht="15.75" customHeight="1" x14ac:dyDescent="0.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spans="3:28" ht="15.75" customHeight="1" x14ac:dyDescent="0.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spans="3:28" ht="15.75" customHeight="1" x14ac:dyDescent="0.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spans="3:28" ht="15.75" customHeight="1" x14ac:dyDescent="0.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spans="3:28" ht="15.75" customHeight="1" x14ac:dyDescent="0.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spans="3:28" ht="15.75" customHeight="1" x14ac:dyDescent="0.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spans="3:28" ht="15.75" customHeight="1" x14ac:dyDescent="0.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spans="3:28" ht="15.75" customHeight="1" x14ac:dyDescent="0.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spans="3:28" ht="15.75" customHeight="1" x14ac:dyDescent="0.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spans="3:28" ht="15.75" customHeight="1" x14ac:dyDescent="0.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spans="3:28" ht="15.75" customHeight="1" x14ac:dyDescent="0.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spans="3:28" ht="15.75" customHeight="1" x14ac:dyDescent="0.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spans="3:28" ht="15.75" customHeight="1" x14ac:dyDescent="0.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spans="3:28" ht="15.75" customHeight="1" x14ac:dyDescent="0.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spans="3:28" ht="15.75" customHeight="1" x14ac:dyDescent="0.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spans="3:28" ht="15.75" customHeight="1" x14ac:dyDescent="0.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spans="3:28" ht="15.75" customHeight="1" x14ac:dyDescent="0.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spans="3:28" ht="15.75" customHeight="1" x14ac:dyDescent="0.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spans="3:28" ht="15.75" customHeight="1" x14ac:dyDescent="0.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spans="3:28" ht="15.75" customHeight="1" x14ac:dyDescent="0.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spans="3:28" ht="15.75" customHeight="1" x14ac:dyDescent="0.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spans="3:28" ht="15.75" customHeight="1" x14ac:dyDescent="0.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spans="3:28" ht="15.75" customHeight="1" x14ac:dyDescent="0.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spans="3:28" ht="15.75" customHeight="1" x14ac:dyDescent="0.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spans="3:28" ht="15.75" customHeight="1" x14ac:dyDescent="0.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spans="3:28" ht="15.75" customHeight="1" x14ac:dyDescent="0.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spans="3:28" ht="15.75" customHeight="1" x14ac:dyDescent="0.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spans="3:28" ht="15.75" customHeight="1" x14ac:dyDescent="0.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spans="3:28" ht="15.75" customHeight="1" x14ac:dyDescent="0.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spans="3:28" ht="15.75" customHeight="1" x14ac:dyDescent="0.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spans="3:28" ht="15.75" customHeight="1" x14ac:dyDescent="0.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spans="3:28" ht="15.75" customHeight="1" x14ac:dyDescent="0.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spans="3:28" ht="15.75" customHeight="1" x14ac:dyDescent="0.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spans="3:28" ht="15.75" customHeight="1" x14ac:dyDescent="0.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spans="3:28" ht="15.75" customHeight="1" x14ac:dyDescent="0.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spans="3:28" ht="15.75" customHeight="1" x14ac:dyDescent="0.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spans="3:28" ht="15.75" customHeight="1" x14ac:dyDescent="0.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spans="3:28" ht="15.75" customHeight="1" x14ac:dyDescent="0.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spans="3:28" ht="15.75" customHeight="1" x14ac:dyDescent="0.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spans="3:28" ht="15.75" customHeight="1" x14ac:dyDescent="0.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spans="3:28" ht="15.75" customHeight="1" x14ac:dyDescent="0.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spans="3:28" ht="15.75" customHeight="1" x14ac:dyDescent="0.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spans="3:28" ht="15.75" customHeight="1" x14ac:dyDescent="0.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spans="3:28" ht="15.75" customHeight="1" x14ac:dyDescent="0.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spans="3:28" ht="15.75" customHeight="1" x14ac:dyDescent="0.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spans="3:28" ht="15.75" customHeight="1" x14ac:dyDescent="0.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spans="3:28" ht="15.75" customHeight="1" x14ac:dyDescent="0.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spans="3:28" ht="15.75" customHeight="1" x14ac:dyDescent="0.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spans="3:28" ht="15.75" customHeight="1" x14ac:dyDescent="0.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spans="3:28" ht="15.75" customHeight="1" x14ac:dyDescent="0.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spans="3:28" ht="15.75" customHeight="1" x14ac:dyDescent="0.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spans="3:28" ht="15.75" customHeight="1" x14ac:dyDescent="0.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spans="3:28" ht="15.75" customHeight="1" x14ac:dyDescent="0.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spans="3:28" ht="15.75" customHeight="1" x14ac:dyDescent="0.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spans="3:28" ht="15.75" customHeight="1" x14ac:dyDescent="0.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spans="3:28" ht="15.75" customHeight="1" x14ac:dyDescent="0.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spans="3:28" ht="15.75" customHeight="1" x14ac:dyDescent="0.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spans="3:28" ht="15.75" customHeight="1" x14ac:dyDescent="0.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spans="3:28" ht="15.75" customHeight="1" x14ac:dyDescent="0.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spans="3:28" ht="15.75" customHeight="1" x14ac:dyDescent="0.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spans="3:28" ht="15.75" customHeight="1" x14ac:dyDescent="0.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spans="3:28" ht="15.75" customHeight="1" x14ac:dyDescent="0.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spans="3:28" ht="15.75" customHeight="1" x14ac:dyDescent="0.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spans="3:28" ht="15.75" customHeight="1" x14ac:dyDescent="0.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spans="3:28" ht="15.75" customHeight="1" x14ac:dyDescent="0.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spans="3:28" ht="15.75" customHeight="1" x14ac:dyDescent="0.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spans="3:28" ht="15.75" customHeight="1" x14ac:dyDescent="0.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spans="3:28" ht="15.75" customHeight="1" x14ac:dyDescent="0.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spans="3:28" ht="15.75" customHeight="1" x14ac:dyDescent="0.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spans="3:28" ht="15.75" customHeight="1" x14ac:dyDescent="0.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spans="3:28" ht="15.75" customHeight="1" x14ac:dyDescent="0.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spans="3:28" ht="15.75" customHeight="1" x14ac:dyDescent="0.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spans="3:28" ht="15.75" customHeight="1" x14ac:dyDescent="0.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spans="3:28" ht="15.75" customHeight="1" x14ac:dyDescent="0.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spans="3:28" ht="15.75" customHeight="1" x14ac:dyDescent="0.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spans="3:28" ht="15.75" customHeight="1" x14ac:dyDescent="0.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spans="3:28" ht="15.75" customHeight="1" x14ac:dyDescent="0.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spans="3:28" ht="15.75" customHeight="1" x14ac:dyDescent="0.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spans="3:28" ht="15.75" customHeight="1" x14ac:dyDescent="0.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spans="3:28" ht="15.75" customHeight="1" x14ac:dyDescent="0.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spans="3:28" ht="15.75" customHeight="1" x14ac:dyDescent="0.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spans="3:28" ht="15.75" customHeight="1" x14ac:dyDescent="0.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spans="3:28" ht="15.75" customHeight="1" x14ac:dyDescent="0.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spans="3:28" ht="15.75" customHeight="1" x14ac:dyDescent="0.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spans="3:28" ht="15.75" customHeight="1" x14ac:dyDescent="0.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spans="3:28" ht="15.75" customHeight="1" x14ac:dyDescent="0.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spans="3:28" ht="15.75" customHeight="1" x14ac:dyDescent="0.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spans="3:28" ht="15.75" customHeight="1" x14ac:dyDescent="0.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spans="3:28" ht="15.75" customHeight="1" x14ac:dyDescent="0.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spans="3:28" ht="15.75" customHeight="1" x14ac:dyDescent="0.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spans="3:28" ht="15.75" customHeight="1" x14ac:dyDescent="0.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spans="3:28" ht="15.75" customHeight="1" x14ac:dyDescent="0.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spans="3:28" ht="15.75" customHeight="1" x14ac:dyDescent="0.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spans="3:28" ht="15.75" customHeight="1" x14ac:dyDescent="0.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spans="3:28" ht="15.75" customHeight="1" x14ac:dyDescent="0.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spans="3:28" ht="15.75" customHeight="1" x14ac:dyDescent="0.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spans="3:28" ht="15.75" customHeight="1" x14ac:dyDescent="0.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spans="3:28" ht="15.75" customHeight="1" x14ac:dyDescent="0.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spans="3:28" ht="15.75" customHeight="1" x14ac:dyDescent="0.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spans="3:28" ht="15.75" customHeight="1" x14ac:dyDescent="0.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spans="3:28" ht="15.75" customHeight="1" x14ac:dyDescent="0.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spans="3:28" ht="15.75" customHeight="1" x14ac:dyDescent="0.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spans="3:28" ht="15.75" customHeight="1" x14ac:dyDescent="0.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spans="3:28" ht="15.75" customHeight="1" x14ac:dyDescent="0.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spans="3:28" ht="15.75" customHeight="1" x14ac:dyDescent="0.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spans="3:28" ht="15.75" customHeight="1" x14ac:dyDescent="0.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spans="3:28" ht="15.75" customHeight="1" x14ac:dyDescent="0.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spans="3:28" ht="15.75" customHeight="1" x14ac:dyDescent="0.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spans="3:28" ht="15.75" customHeight="1" x14ac:dyDescent="0.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spans="3:28" ht="15.75" customHeight="1" x14ac:dyDescent="0.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spans="3:28" ht="15.75" customHeight="1" x14ac:dyDescent="0.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spans="3:28" ht="15.75" customHeight="1" x14ac:dyDescent="0.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spans="3:28" ht="15.75" customHeight="1" x14ac:dyDescent="0.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spans="3:28" ht="15.75" customHeight="1" x14ac:dyDescent="0.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spans="3:28" ht="15.75" customHeight="1" x14ac:dyDescent="0.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spans="3:28" ht="15.75" customHeight="1" x14ac:dyDescent="0.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spans="3:28" ht="15.75" customHeight="1" x14ac:dyDescent="0.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spans="3:28" ht="15.75" customHeight="1" x14ac:dyDescent="0.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spans="3:28" ht="15.75" customHeight="1" x14ac:dyDescent="0.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spans="3:28" ht="15.75" customHeight="1" x14ac:dyDescent="0.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spans="3:28" ht="15.75" customHeight="1" x14ac:dyDescent="0.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spans="3:28" ht="15.75" customHeight="1" x14ac:dyDescent="0.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spans="3:28" ht="15.75" customHeight="1" x14ac:dyDescent="0.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spans="3:28" ht="15.75" customHeight="1" x14ac:dyDescent="0.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spans="3:28" ht="15.75" customHeight="1" x14ac:dyDescent="0.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spans="3:28" ht="15.75" customHeight="1" x14ac:dyDescent="0.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spans="3:28" ht="15.75" customHeight="1" x14ac:dyDescent="0.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spans="3:28" ht="15.75" customHeight="1" x14ac:dyDescent="0.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spans="3:28" ht="15.75" customHeight="1" x14ac:dyDescent="0.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spans="3:28" ht="15.75" customHeight="1" x14ac:dyDescent="0.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spans="3:28" ht="15.75" customHeight="1" x14ac:dyDescent="0.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spans="3:28" ht="15.75" customHeight="1" x14ac:dyDescent="0.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spans="3:28" ht="15.75" customHeight="1" x14ac:dyDescent="0.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spans="3:28" ht="15.75" customHeight="1" x14ac:dyDescent="0.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spans="3:28" ht="15.75" customHeight="1" x14ac:dyDescent="0.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spans="3:28" ht="15.75" customHeight="1" x14ac:dyDescent="0.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spans="3:28" ht="15.75" customHeight="1" x14ac:dyDescent="0.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spans="3:28" ht="15.75" customHeight="1" x14ac:dyDescent="0.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spans="3:28" ht="15.75" customHeight="1" x14ac:dyDescent="0.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spans="3:28" ht="15.75" customHeight="1" x14ac:dyDescent="0.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spans="3:28" ht="15.75" customHeight="1" x14ac:dyDescent="0.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spans="3:28" ht="15.75" customHeight="1" x14ac:dyDescent="0.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spans="3:28" ht="15.75" customHeight="1" x14ac:dyDescent="0.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spans="3:28" ht="15.75" customHeight="1" x14ac:dyDescent="0.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spans="3:28" ht="15.75" customHeight="1" x14ac:dyDescent="0.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spans="3:28" ht="15.75" customHeight="1" x14ac:dyDescent="0.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spans="3:28" ht="15.75" customHeight="1" x14ac:dyDescent="0.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spans="3:28" ht="15.75" customHeight="1" x14ac:dyDescent="0.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spans="3:28" ht="15.75" customHeight="1" x14ac:dyDescent="0.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spans="3:28" ht="15.75" customHeight="1" x14ac:dyDescent="0.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spans="3:28" ht="15.75" customHeight="1" x14ac:dyDescent="0.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spans="3:28" ht="15.75" customHeight="1" x14ac:dyDescent="0.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spans="3:28" ht="15.75" customHeight="1" x14ac:dyDescent="0.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spans="3:28" ht="15.75" customHeight="1" x14ac:dyDescent="0.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spans="3:28" ht="15.75" customHeight="1" x14ac:dyDescent="0.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spans="3:28" ht="15.75" customHeight="1" x14ac:dyDescent="0.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spans="3:28" ht="15.75" customHeight="1" x14ac:dyDescent="0.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spans="3:28" ht="15.75" customHeight="1" x14ac:dyDescent="0.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spans="3:28" ht="15.75" customHeight="1" x14ac:dyDescent="0.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spans="3:28" ht="15.75" customHeight="1" x14ac:dyDescent="0.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spans="3:28" ht="15.75" customHeight="1" x14ac:dyDescent="0.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spans="3:28" ht="15.75" customHeight="1" x14ac:dyDescent="0.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spans="3:28" ht="15.75" customHeight="1" x14ac:dyDescent="0.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spans="3:28" ht="15.75" customHeight="1" x14ac:dyDescent="0.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spans="3:28" ht="15.75" customHeight="1" x14ac:dyDescent="0.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spans="3:28" ht="15.75" customHeight="1" x14ac:dyDescent="0.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spans="3:28" ht="15.75" customHeight="1" x14ac:dyDescent="0.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spans="3:28" ht="15.75" customHeight="1" x14ac:dyDescent="0.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spans="3:28" ht="15.75" customHeight="1" x14ac:dyDescent="0.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spans="3:28" ht="15.75" customHeight="1" x14ac:dyDescent="0.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spans="3:28" ht="15.75" customHeight="1" x14ac:dyDescent="0.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spans="3:28" ht="15.75" customHeight="1" x14ac:dyDescent="0.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spans="3:28" ht="15.75" customHeight="1" x14ac:dyDescent="0.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spans="3:28" ht="15.75" customHeight="1" x14ac:dyDescent="0.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spans="3:28" ht="15.75" customHeight="1" x14ac:dyDescent="0.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spans="3:28" ht="15.75" customHeight="1" x14ac:dyDescent="0.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spans="3:28" ht="15.75" customHeight="1" x14ac:dyDescent="0.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spans="3:28" ht="15.75" customHeight="1" x14ac:dyDescent="0.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spans="3:28" ht="15.75" customHeight="1" x14ac:dyDescent="0.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spans="3:28" ht="15.75" customHeight="1" x14ac:dyDescent="0.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spans="3:28" ht="15.75" customHeight="1" x14ac:dyDescent="0.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spans="3:28" ht="15.75" customHeight="1" x14ac:dyDescent="0.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spans="3:28" ht="15.75" customHeight="1" x14ac:dyDescent="0.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spans="3:28" ht="15.75" customHeight="1" x14ac:dyDescent="0.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spans="3:28" ht="15.75" customHeight="1" x14ac:dyDescent="0.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spans="3:28" ht="15.75" customHeight="1" x14ac:dyDescent="0.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spans="3:28" ht="15.75" customHeight="1" x14ac:dyDescent="0.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spans="3:28" ht="15.75" customHeight="1" x14ac:dyDescent="0.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spans="3:28" ht="15.75" customHeight="1" x14ac:dyDescent="0.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spans="3:28" ht="15.75" customHeight="1" x14ac:dyDescent="0.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spans="3:28" ht="15.75" customHeight="1" x14ac:dyDescent="0.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spans="3:28" ht="15.75" customHeight="1" x14ac:dyDescent="0.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spans="3:28" ht="15.75" customHeight="1" x14ac:dyDescent="0.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spans="3:28" ht="15.75" customHeight="1" x14ac:dyDescent="0.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spans="3:28" ht="15.75" customHeight="1" x14ac:dyDescent="0.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spans="3:28" ht="15.75" customHeight="1" x14ac:dyDescent="0.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spans="3:28" ht="15.75" customHeight="1" x14ac:dyDescent="0.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spans="3:28" ht="15.75" customHeight="1" x14ac:dyDescent="0.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spans="3:28" ht="15.75" customHeight="1" x14ac:dyDescent="0.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spans="3:28" ht="15.75" customHeight="1" x14ac:dyDescent="0.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spans="3:28" ht="15.75" customHeight="1" x14ac:dyDescent="0.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spans="3:28" ht="15.75" customHeight="1" x14ac:dyDescent="0.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spans="3:28" ht="15.75" customHeight="1" x14ac:dyDescent="0.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spans="3:28" ht="15.75" customHeight="1" x14ac:dyDescent="0.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spans="3:28" ht="15.75" customHeight="1" x14ac:dyDescent="0.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spans="3:28" ht="15.75" customHeight="1" x14ac:dyDescent="0.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spans="3:28" ht="15.75" customHeight="1" x14ac:dyDescent="0.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spans="3:28" ht="15.75" customHeight="1" x14ac:dyDescent="0.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spans="3:28" ht="15.75" customHeight="1" x14ac:dyDescent="0.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spans="3:28" ht="15.75" customHeight="1" x14ac:dyDescent="0.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spans="3:28" ht="15.75" customHeight="1" x14ac:dyDescent="0.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spans="3:28" ht="15.75" customHeight="1" x14ac:dyDescent="0.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spans="3:28" ht="15.75" customHeight="1" x14ac:dyDescent="0.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spans="3:28" ht="15.75" customHeight="1" x14ac:dyDescent="0.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spans="3:28" ht="15.75" customHeight="1" x14ac:dyDescent="0.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spans="3:28" ht="15.75" customHeight="1" x14ac:dyDescent="0.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spans="3:28" ht="15.75" customHeight="1" x14ac:dyDescent="0.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spans="3:28" ht="15.75" customHeight="1" x14ac:dyDescent="0.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spans="3:28" ht="15.75" customHeight="1" x14ac:dyDescent="0.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spans="3:28" ht="15.75" customHeight="1" x14ac:dyDescent="0.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spans="3:28" ht="15.75" customHeight="1" x14ac:dyDescent="0.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spans="3:28" ht="15.75" customHeight="1" x14ac:dyDescent="0.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spans="3:28" ht="15.75" customHeight="1" x14ac:dyDescent="0.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spans="3:28" ht="15.75" customHeight="1" x14ac:dyDescent="0.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spans="3:28" ht="15.75" customHeight="1" x14ac:dyDescent="0.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spans="3:28" ht="15.75" customHeight="1" x14ac:dyDescent="0.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spans="3:28" ht="15.75" customHeight="1" x14ac:dyDescent="0.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spans="3:28" ht="15.75" customHeight="1" x14ac:dyDescent="0.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spans="3:28" ht="15.75" customHeight="1" x14ac:dyDescent="0.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spans="3:28" ht="15.75" customHeight="1" x14ac:dyDescent="0.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spans="3:28" ht="15.75" customHeight="1" x14ac:dyDescent="0.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spans="3:28" ht="15.75" customHeight="1" x14ac:dyDescent="0.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spans="3:28" ht="15.75" customHeight="1" x14ac:dyDescent="0.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spans="3:28" ht="15.75" customHeight="1" x14ac:dyDescent="0.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spans="3:28" ht="15.75" customHeight="1" x14ac:dyDescent="0.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spans="3:28" ht="15.75" customHeight="1" x14ac:dyDescent="0.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spans="3:28" ht="15.75" customHeight="1" x14ac:dyDescent="0.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spans="3:28" ht="15.75" customHeight="1" x14ac:dyDescent="0.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spans="3:28" ht="15.75" customHeight="1" x14ac:dyDescent="0.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spans="3:28" ht="15.75" customHeight="1" x14ac:dyDescent="0.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spans="3:28" ht="15.75" customHeight="1" x14ac:dyDescent="0.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spans="3:28" ht="15.75" customHeight="1" x14ac:dyDescent="0.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spans="3:28" ht="15.75" customHeight="1" x14ac:dyDescent="0.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spans="3:28" ht="15.75" customHeight="1" x14ac:dyDescent="0.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spans="3:28" ht="15.75" customHeight="1" x14ac:dyDescent="0.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spans="3:28" ht="15.75" customHeight="1" x14ac:dyDescent="0.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spans="3:28" ht="15.75" customHeight="1" x14ac:dyDescent="0.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spans="3:28" ht="15.75" customHeight="1" x14ac:dyDescent="0.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spans="3:28" ht="15.75" customHeight="1" x14ac:dyDescent="0.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spans="3:28" ht="15.75" customHeight="1" x14ac:dyDescent="0.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spans="3:28" ht="15.75" customHeight="1" x14ac:dyDescent="0.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spans="3:28" ht="15.75" customHeight="1" x14ac:dyDescent="0.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spans="3:28" ht="15.75" customHeight="1" x14ac:dyDescent="0.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spans="3:28" ht="15.75" customHeight="1" x14ac:dyDescent="0.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spans="3:28" ht="15.75" customHeight="1" x14ac:dyDescent="0.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spans="3:28" ht="15.75" customHeight="1" x14ac:dyDescent="0.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spans="3:28" ht="15.75" customHeight="1" x14ac:dyDescent="0.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spans="3:28" ht="15.75" customHeight="1" x14ac:dyDescent="0.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spans="3:28" ht="15.75" customHeight="1" x14ac:dyDescent="0.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spans="3:28" ht="15.75" customHeight="1" x14ac:dyDescent="0.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spans="3:28" ht="15.75" customHeight="1" x14ac:dyDescent="0.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spans="3:28" ht="15.75" customHeight="1" x14ac:dyDescent="0.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spans="3:28" ht="15.75" customHeight="1" x14ac:dyDescent="0.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spans="3:28" ht="15.75" customHeight="1" x14ac:dyDescent="0.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spans="3:28" ht="15.75" customHeight="1" x14ac:dyDescent="0.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spans="3:28" ht="15.75" customHeight="1" x14ac:dyDescent="0.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spans="3:28" ht="15.75" customHeight="1" x14ac:dyDescent="0.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spans="3:28" ht="15.75" customHeight="1" x14ac:dyDescent="0.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spans="3:28" ht="15.75" customHeight="1" x14ac:dyDescent="0.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spans="3:28" ht="15.75" customHeight="1" x14ac:dyDescent="0.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spans="3:28" ht="15.75" customHeight="1" x14ac:dyDescent="0.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spans="3:28" ht="15.75" customHeight="1" x14ac:dyDescent="0.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spans="3:28" ht="15.75" customHeight="1" x14ac:dyDescent="0.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spans="3:28" ht="15.75" customHeight="1" x14ac:dyDescent="0.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spans="3:28" ht="15.75" customHeight="1" x14ac:dyDescent="0.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spans="3:28" ht="15.75" customHeight="1" x14ac:dyDescent="0.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spans="3:28" ht="15.75" customHeight="1" x14ac:dyDescent="0.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spans="3:28" ht="15.75" customHeight="1" x14ac:dyDescent="0.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spans="3:28" ht="15.75" customHeight="1" x14ac:dyDescent="0.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spans="3:28" ht="15.75" customHeight="1" x14ac:dyDescent="0.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spans="3:28" ht="15.75" customHeight="1" x14ac:dyDescent="0.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spans="3:28" ht="15.75" customHeight="1" x14ac:dyDescent="0.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spans="3:28" ht="15.75" customHeight="1" x14ac:dyDescent="0.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spans="3:28" ht="15.75" customHeight="1" x14ac:dyDescent="0.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spans="3:28" ht="15.75" customHeight="1" x14ac:dyDescent="0.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spans="3:28" ht="15.75" customHeight="1" x14ac:dyDescent="0.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spans="3:28" ht="15.75" customHeight="1" x14ac:dyDescent="0.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spans="3:28" ht="15.75" customHeight="1" x14ac:dyDescent="0.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spans="3:28" ht="15.75" customHeight="1" x14ac:dyDescent="0.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spans="3:28" ht="15.75" customHeight="1" x14ac:dyDescent="0.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spans="3:28" ht="15.75" customHeight="1" x14ac:dyDescent="0.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spans="3:28" ht="15.75" customHeight="1" x14ac:dyDescent="0.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spans="3:28" ht="15.75" customHeight="1" x14ac:dyDescent="0.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spans="3:28" ht="15.75" customHeight="1" x14ac:dyDescent="0.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spans="3:28" ht="15.75" customHeight="1" x14ac:dyDescent="0.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spans="3:28" ht="15.75" customHeight="1" x14ac:dyDescent="0.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spans="3:28" ht="15.75" customHeight="1" x14ac:dyDescent="0.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spans="3:28" ht="15.75" customHeight="1" x14ac:dyDescent="0.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spans="3:28" ht="15.75" customHeight="1" x14ac:dyDescent="0.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spans="3:28" ht="15.75" customHeight="1" x14ac:dyDescent="0.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spans="3:28" ht="15.75" customHeight="1" x14ac:dyDescent="0.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spans="3:28" ht="15.75" customHeight="1" x14ac:dyDescent="0.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spans="3:28" ht="15.75" customHeight="1" x14ac:dyDescent="0.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spans="3:28" ht="15.75" customHeight="1" x14ac:dyDescent="0.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spans="3:28" ht="15.75" customHeight="1" x14ac:dyDescent="0.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spans="3:28" ht="15.75" customHeight="1" x14ac:dyDescent="0.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spans="3:28" ht="15.75" customHeight="1" x14ac:dyDescent="0.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spans="3:28" ht="15.75" customHeight="1" x14ac:dyDescent="0.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spans="3:28" ht="15.75" customHeight="1" x14ac:dyDescent="0.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spans="3:28" ht="15.75" customHeight="1" x14ac:dyDescent="0.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spans="3:28" ht="15.75" customHeight="1" x14ac:dyDescent="0.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spans="3:28" ht="15.75" customHeight="1" x14ac:dyDescent="0.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spans="3:28" ht="15.75" customHeight="1" x14ac:dyDescent="0.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spans="3:28" ht="15.75" customHeight="1" x14ac:dyDescent="0.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spans="3:28" ht="15.75" customHeight="1" x14ac:dyDescent="0.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spans="3:28" ht="15.75" customHeight="1" x14ac:dyDescent="0.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spans="3:28" ht="15.75" customHeight="1" x14ac:dyDescent="0.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spans="3:28" ht="15.75" customHeight="1" x14ac:dyDescent="0.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spans="3:28" ht="15.75" customHeight="1" x14ac:dyDescent="0.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spans="3:28" ht="15.75" customHeight="1" x14ac:dyDescent="0.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spans="3:28" ht="15.75" customHeight="1" x14ac:dyDescent="0.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spans="3:28" ht="15.75" customHeight="1" x14ac:dyDescent="0.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spans="3:28" ht="15.75" customHeight="1" x14ac:dyDescent="0.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spans="3:28" ht="15.75" customHeight="1" x14ac:dyDescent="0.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spans="3:28" ht="15.75" customHeight="1" x14ac:dyDescent="0.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spans="3:28" ht="15.75" customHeight="1" x14ac:dyDescent="0.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spans="3:28" ht="15.75" customHeight="1" x14ac:dyDescent="0.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spans="3:28" ht="15.75" customHeight="1" x14ac:dyDescent="0.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spans="3:28" ht="15.75" customHeight="1" x14ac:dyDescent="0.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spans="3:28" ht="15.75" customHeight="1" x14ac:dyDescent="0.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spans="3:28" ht="15.75" customHeight="1" x14ac:dyDescent="0.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spans="3:28" ht="15.75" customHeight="1" x14ac:dyDescent="0.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spans="3:28" ht="15.75" customHeight="1" x14ac:dyDescent="0.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spans="3:28" ht="15.75" customHeight="1" x14ac:dyDescent="0.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spans="3:28" ht="15.75" customHeight="1" x14ac:dyDescent="0.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spans="3:28" ht="15.75" customHeight="1" x14ac:dyDescent="0.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spans="3:28" ht="15.75" customHeight="1" x14ac:dyDescent="0.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spans="3:28" ht="15.75" customHeight="1" x14ac:dyDescent="0.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spans="3:28" ht="15.75" customHeight="1" x14ac:dyDescent="0.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spans="3:28" ht="15.75" customHeight="1" x14ac:dyDescent="0.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spans="3:28" ht="15.75" customHeight="1" x14ac:dyDescent="0.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spans="3:28" ht="15.75" customHeight="1" x14ac:dyDescent="0.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spans="3:28" ht="15.75" customHeight="1" x14ac:dyDescent="0.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spans="3:28" ht="15.75" customHeight="1" x14ac:dyDescent="0.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spans="3:28" ht="15.75" customHeight="1" x14ac:dyDescent="0.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spans="3:28" ht="15.75" customHeight="1" x14ac:dyDescent="0.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spans="3:28" ht="15.75" customHeight="1" x14ac:dyDescent="0.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spans="3:28" ht="15.75" customHeight="1" x14ac:dyDescent="0.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spans="3:28" ht="15.75" customHeight="1" x14ac:dyDescent="0.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spans="3:28" ht="15.75" customHeight="1" x14ac:dyDescent="0.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spans="3:28" ht="15.75" customHeight="1" x14ac:dyDescent="0.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spans="3:28" ht="15.75" customHeight="1" x14ac:dyDescent="0.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spans="3:28" ht="15.75" customHeight="1" x14ac:dyDescent="0.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spans="3:28" ht="15.75" customHeight="1" x14ac:dyDescent="0.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spans="3:28" ht="15.75" customHeight="1" x14ac:dyDescent="0.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spans="3:28" ht="15.75" customHeight="1" x14ac:dyDescent="0.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spans="3:28" ht="15.75" customHeight="1" x14ac:dyDescent="0.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spans="3:28" ht="15.75" customHeight="1" x14ac:dyDescent="0.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spans="3:28" ht="15.75" customHeight="1" x14ac:dyDescent="0.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spans="3:28" ht="15.75" customHeight="1" x14ac:dyDescent="0.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spans="3:28" ht="15.75" customHeight="1" x14ac:dyDescent="0.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spans="3:28" ht="15.75" customHeight="1" x14ac:dyDescent="0.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spans="3:28" ht="15.75" customHeight="1" x14ac:dyDescent="0.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spans="3:28" ht="15.75" customHeight="1" x14ac:dyDescent="0.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spans="3:28" ht="15.75" customHeight="1" x14ac:dyDescent="0.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spans="3:28" ht="15.75" customHeight="1" x14ac:dyDescent="0.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spans="3:28" ht="15.75" customHeight="1" x14ac:dyDescent="0.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spans="3:28" ht="15.75" customHeight="1" x14ac:dyDescent="0.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spans="3:28" ht="15.75" customHeight="1" x14ac:dyDescent="0.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spans="3:28" ht="15.75" customHeight="1" x14ac:dyDescent="0.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spans="3:28" ht="15.75" customHeight="1" x14ac:dyDescent="0.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spans="3:28" ht="15.75" customHeight="1" x14ac:dyDescent="0.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spans="3:28" ht="15.75" customHeight="1" x14ac:dyDescent="0.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spans="3:28" ht="15.75" customHeight="1" x14ac:dyDescent="0.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spans="3:28" ht="15.75" customHeight="1" x14ac:dyDescent="0.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spans="3:28" ht="15.75" customHeight="1" x14ac:dyDescent="0.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spans="3:28" ht="15.75" customHeight="1" x14ac:dyDescent="0.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spans="3:28" ht="15.75" customHeight="1" x14ac:dyDescent="0.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spans="3:28" ht="15.75" customHeight="1" x14ac:dyDescent="0.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spans="3:28" ht="15.75" customHeight="1" x14ac:dyDescent="0.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spans="3:28" ht="15.75" customHeight="1" x14ac:dyDescent="0.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spans="3:28" ht="15.75" customHeight="1" x14ac:dyDescent="0.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spans="3:28" ht="15.75" customHeight="1" x14ac:dyDescent="0.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spans="3:28" ht="15.75" customHeight="1" x14ac:dyDescent="0.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spans="3:28" ht="15.75" customHeight="1" x14ac:dyDescent="0.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spans="3:28" ht="15.75" customHeight="1" x14ac:dyDescent="0.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spans="3:28" ht="15.75" customHeight="1" x14ac:dyDescent="0.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spans="3:28" ht="15.75" customHeight="1" x14ac:dyDescent="0.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spans="3:28" ht="15.75" customHeight="1" x14ac:dyDescent="0.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spans="3:28" ht="15.75" customHeight="1" x14ac:dyDescent="0.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spans="3:28" ht="15.75" customHeight="1" x14ac:dyDescent="0.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spans="3:28" ht="15.75" customHeight="1" x14ac:dyDescent="0.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spans="3:28" ht="15.75" customHeight="1" x14ac:dyDescent="0.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spans="3:28" ht="15.75" customHeight="1" x14ac:dyDescent="0.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spans="3:28" ht="15.75" customHeight="1" x14ac:dyDescent="0.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spans="3:28" ht="15.75" customHeight="1" x14ac:dyDescent="0.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spans="3:28" ht="15.75" customHeight="1" x14ac:dyDescent="0.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spans="3:28" ht="15.75" customHeight="1" x14ac:dyDescent="0.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spans="3:28" ht="15.75" customHeight="1" x14ac:dyDescent="0.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spans="3:28" ht="15.75" customHeight="1" x14ac:dyDescent="0.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spans="3:28" ht="15.75" customHeight="1" x14ac:dyDescent="0.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spans="3:28" ht="15.75" customHeight="1" x14ac:dyDescent="0.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spans="3:28" ht="15.75" customHeight="1" x14ac:dyDescent="0.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spans="3:28" ht="15.75" customHeight="1" x14ac:dyDescent="0.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spans="3:28" ht="15.75" customHeight="1" x14ac:dyDescent="0.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spans="3:28" ht="15.75" customHeight="1" x14ac:dyDescent="0.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spans="3:28" ht="15.75" customHeight="1" x14ac:dyDescent="0.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spans="3:28" ht="15.75" customHeight="1" x14ac:dyDescent="0.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spans="3:28" ht="15.75" customHeight="1" x14ac:dyDescent="0.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spans="3:28" ht="15.75" customHeight="1" x14ac:dyDescent="0.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spans="3:28" ht="15.75" customHeight="1" x14ac:dyDescent="0.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spans="3:28" ht="15.75" customHeight="1" x14ac:dyDescent="0.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spans="3:28" ht="15.75" customHeight="1" x14ac:dyDescent="0.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spans="3:28" ht="15.75" customHeight="1" x14ac:dyDescent="0.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spans="3:28" ht="15.75" customHeight="1" x14ac:dyDescent="0.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spans="3:28" ht="15.75" customHeight="1" x14ac:dyDescent="0.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spans="3:28" ht="15.75" customHeight="1" x14ac:dyDescent="0.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spans="3:28" ht="15.75" customHeight="1" x14ac:dyDescent="0.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spans="3:28" ht="15.75" customHeight="1" x14ac:dyDescent="0.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spans="3:28" ht="15.75" customHeight="1" x14ac:dyDescent="0.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spans="3:28" ht="15.75" customHeight="1" x14ac:dyDescent="0.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spans="3:28" ht="15.75" customHeight="1" x14ac:dyDescent="0.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spans="3:28" ht="15.75" customHeight="1" x14ac:dyDescent="0.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spans="3:28" ht="15.75" customHeight="1" x14ac:dyDescent="0.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spans="3:28" ht="15.75" customHeight="1" x14ac:dyDescent="0.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spans="3:28" ht="15.75" customHeight="1" x14ac:dyDescent="0.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spans="3:28" ht="15.75" customHeight="1" x14ac:dyDescent="0.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spans="3:28" ht="15.75" customHeight="1" x14ac:dyDescent="0.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spans="3:28" ht="15.75" customHeight="1" x14ac:dyDescent="0.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spans="3:28" ht="15.75" customHeight="1" x14ac:dyDescent="0.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spans="3:28" ht="15.75" customHeight="1" x14ac:dyDescent="0.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spans="3:28" ht="15.75" customHeight="1" x14ac:dyDescent="0.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spans="3:28" ht="15.75" customHeight="1" x14ac:dyDescent="0.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spans="3:28" ht="15.75" customHeight="1" x14ac:dyDescent="0.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spans="3:28" ht="15.75" customHeight="1" x14ac:dyDescent="0.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spans="3:28" ht="15.75" customHeight="1" x14ac:dyDescent="0.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spans="3:28" ht="15.75" customHeight="1" x14ac:dyDescent="0.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spans="3:28" ht="15.75" customHeight="1" x14ac:dyDescent="0.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spans="3:28" ht="15.75" customHeight="1" x14ac:dyDescent="0.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spans="3:28" ht="15.75" customHeight="1" x14ac:dyDescent="0.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spans="3:28" ht="15.75" customHeight="1" x14ac:dyDescent="0.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spans="3:28" ht="15.75" customHeight="1" x14ac:dyDescent="0.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spans="3:28" ht="15.75" customHeight="1" x14ac:dyDescent="0.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spans="3:28" ht="15.75" customHeight="1" x14ac:dyDescent="0.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spans="3:28" ht="15.75" customHeight="1" x14ac:dyDescent="0.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spans="3:28" ht="15.75" customHeight="1" x14ac:dyDescent="0.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spans="3:28" ht="15.75" customHeight="1" x14ac:dyDescent="0.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spans="3:28" ht="15.75" customHeight="1" x14ac:dyDescent="0.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spans="3:28" ht="15.75" customHeight="1" x14ac:dyDescent="0.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spans="3:28" ht="15.75" customHeight="1" x14ac:dyDescent="0.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spans="3:28" ht="15.75" customHeight="1" x14ac:dyDescent="0.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spans="3:28" ht="15.75" customHeight="1" x14ac:dyDescent="0.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spans="3:28" ht="15.75" customHeight="1" x14ac:dyDescent="0.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spans="3:28" ht="15.75" customHeight="1" x14ac:dyDescent="0.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spans="3:28" ht="15.75" customHeight="1" x14ac:dyDescent="0.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spans="3:28" ht="15.75" customHeight="1" x14ac:dyDescent="0.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spans="3:28" ht="15.75" customHeight="1" x14ac:dyDescent="0.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spans="3:28" ht="15.75" customHeight="1" x14ac:dyDescent="0.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spans="3:28" ht="15.75" customHeight="1" x14ac:dyDescent="0.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spans="3:28" ht="15.75" customHeight="1" x14ac:dyDescent="0.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spans="3:28" ht="15.75" customHeight="1" x14ac:dyDescent="0.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spans="3:28" ht="15.75" customHeight="1" x14ac:dyDescent="0.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spans="3:28" ht="15.75" customHeight="1" x14ac:dyDescent="0.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spans="3:28" ht="15.75" customHeight="1" x14ac:dyDescent="0.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spans="3:28" ht="15.75" customHeight="1" x14ac:dyDescent="0.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spans="3:28" ht="15.75" customHeight="1" x14ac:dyDescent="0.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spans="3:28" ht="15.75" customHeight="1" x14ac:dyDescent="0.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spans="3:28" ht="15.75" customHeight="1" x14ac:dyDescent="0.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spans="3:28" ht="15.75" customHeight="1" x14ac:dyDescent="0.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spans="3:28" ht="15.75" customHeight="1" x14ac:dyDescent="0.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spans="3:28" ht="15.75" customHeight="1" x14ac:dyDescent="0.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spans="3:28" ht="15.75" customHeight="1" x14ac:dyDescent="0.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spans="3:28" ht="15.75" customHeight="1" x14ac:dyDescent="0.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spans="3:28" ht="15.75" customHeight="1" x14ac:dyDescent="0.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spans="3:28" ht="15.75" customHeight="1" x14ac:dyDescent="0.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spans="3:28" ht="15.75" customHeight="1" x14ac:dyDescent="0.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spans="3:28" ht="15.75" customHeight="1" x14ac:dyDescent="0.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spans="3:28" ht="15.75" customHeight="1" x14ac:dyDescent="0.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spans="3:28" ht="15.75" customHeight="1" x14ac:dyDescent="0.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spans="3:28" ht="15.75" customHeight="1" x14ac:dyDescent="0.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spans="3:28" ht="15.75" customHeight="1" x14ac:dyDescent="0.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spans="3:28" ht="15.75" customHeight="1" x14ac:dyDescent="0.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spans="3:28" ht="15.75" customHeight="1" x14ac:dyDescent="0.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spans="3:28" ht="15.75" customHeight="1" x14ac:dyDescent="0.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spans="3:28" ht="15.75" customHeight="1" x14ac:dyDescent="0.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spans="3:28" ht="15.75" customHeight="1" x14ac:dyDescent="0.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spans="3:28" ht="15.75" customHeight="1" x14ac:dyDescent="0.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spans="3:28" ht="15.75" customHeight="1" x14ac:dyDescent="0.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spans="3:28" ht="15.75" customHeight="1" x14ac:dyDescent="0.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spans="3:28" ht="15.75" customHeight="1" x14ac:dyDescent="0.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spans="3:28" ht="15.75" customHeight="1" x14ac:dyDescent="0.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spans="3:28" ht="15.75" customHeight="1" x14ac:dyDescent="0.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spans="3:28" ht="15.75" customHeight="1" x14ac:dyDescent="0.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spans="3:28" ht="15.75" customHeight="1" x14ac:dyDescent="0.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spans="3:28" ht="15.75" customHeight="1" x14ac:dyDescent="0.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spans="3:28" ht="15.75" customHeight="1" x14ac:dyDescent="0.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spans="3:28" ht="15.75" customHeight="1" x14ac:dyDescent="0.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spans="3:28" ht="15.75" customHeight="1" x14ac:dyDescent="0.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spans="3:28" ht="15.75" customHeight="1" x14ac:dyDescent="0.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spans="3:28" ht="15.75" customHeight="1" x14ac:dyDescent="0.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spans="3:28" ht="15.75" customHeight="1" x14ac:dyDescent="0.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spans="3:28" ht="15.75" customHeight="1" x14ac:dyDescent="0.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spans="3:28" ht="15.75" customHeight="1" x14ac:dyDescent="0.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spans="3:28" ht="15.75" customHeight="1" x14ac:dyDescent="0.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spans="3:28" ht="15.75" customHeight="1" x14ac:dyDescent="0.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spans="3:28" ht="15.75" customHeight="1" x14ac:dyDescent="0.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spans="3:28" ht="15.75" customHeight="1" x14ac:dyDescent="0.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spans="3:28" ht="15.75" customHeight="1" x14ac:dyDescent="0.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spans="3:28" ht="15.75" customHeight="1" x14ac:dyDescent="0.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spans="3:28" ht="15.75" customHeight="1" x14ac:dyDescent="0.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spans="3:28" ht="15.75" customHeight="1" x14ac:dyDescent="0.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spans="3:28" ht="15.75" customHeight="1" x14ac:dyDescent="0.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spans="3:28" ht="15.75" customHeight="1" x14ac:dyDescent="0.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spans="3:28" ht="15.75" customHeight="1" x14ac:dyDescent="0.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spans="3:28" ht="15.75" customHeight="1" x14ac:dyDescent="0.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spans="3:28" ht="15.75" customHeight="1" x14ac:dyDescent="0.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spans="3:28" ht="15.75" customHeight="1" x14ac:dyDescent="0.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spans="3:28" ht="15.75" customHeight="1" x14ac:dyDescent="0.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spans="3:28" ht="15.75" customHeight="1" x14ac:dyDescent="0.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spans="3:28" ht="15.75" customHeight="1" x14ac:dyDescent="0.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spans="3:28" ht="15.75" customHeight="1" x14ac:dyDescent="0.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spans="3:28" ht="15.75" customHeight="1" x14ac:dyDescent="0.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spans="3:28" ht="15.75" customHeight="1" x14ac:dyDescent="0.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spans="3:28" ht="15.75" customHeight="1" x14ac:dyDescent="0.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spans="3:28" ht="15.75" customHeight="1" x14ac:dyDescent="0.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spans="3:28" ht="15.75" customHeight="1" x14ac:dyDescent="0.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spans="3:28" ht="15.75" customHeight="1" x14ac:dyDescent="0.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spans="3:28" ht="15.75" customHeight="1" x14ac:dyDescent="0.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spans="3:28" ht="15.75" customHeight="1" x14ac:dyDescent="0.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spans="3:28" ht="15.75" customHeight="1" x14ac:dyDescent="0.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spans="3:28" ht="15.75" customHeight="1" x14ac:dyDescent="0.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spans="3:28" ht="15.75" customHeight="1" x14ac:dyDescent="0.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spans="3:28" ht="15.75" customHeight="1" x14ac:dyDescent="0.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spans="3:28" ht="15.75" customHeight="1" x14ac:dyDescent="0.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spans="3:28" ht="15.75" customHeight="1" x14ac:dyDescent="0.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spans="3:28" ht="15.75" customHeight="1" x14ac:dyDescent="0.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spans="3:28" ht="15.75" customHeight="1" x14ac:dyDescent="0.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spans="3:28" ht="15.75" customHeight="1" x14ac:dyDescent="0.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spans="3:28" ht="15.75" customHeight="1" x14ac:dyDescent="0.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spans="3:28" ht="15.75" customHeight="1" x14ac:dyDescent="0.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spans="3:28" ht="15.75" customHeight="1" x14ac:dyDescent="0.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spans="3:28" ht="15.75" customHeight="1" x14ac:dyDescent="0.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spans="3:28" ht="15.75" customHeight="1" x14ac:dyDescent="0.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spans="3:28" ht="15.75" customHeight="1" x14ac:dyDescent="0.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spans="3:28" ht="15.75" customHeight="1" x14ac:dyDescent="0.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spans="3:28" ht="15.75" customHeight="1" x14ac:dyDescent="0.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spans="3:28" ht="15.75" customHeight="1" x14ac:dyDescent="0.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spans="3:28" ht="15.75" customHeight="1" x14ac:dyDescent="0.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spans="3:28" ht="15.75" customHeight="1" x14ac:dyDescent="0.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spans="3:28" ht="15.75" customHeight="1" x14ac:dyDescent="0.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spans="3:28" ht="15.75" customHeight="1" x14ac:dyDescent="0.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spans="3:28" ht="15.75" customHeight="1" x14ac:dyDescent="0.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spans="3:28" ht="15.75" customHeight="1" x14ac:dyDescent="0.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spans="3:28" ht="15.75" customHeight="1" x14ac:dyDescent="0.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spans="3:28" ht="15.75" customHeight="1" x14ac:dyDescent="0.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spans="3:28" ht="15.75" customHeight="1" x14ac:dyDescent="0.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spans="3:28" ht="15.75" customHeight="1" x14ac:dyDescent="0.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spans="3:28" ht="15.75" customHeight="1" x14ac:dyDescent="0.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spans="3:28" ht="15.75" customHeight="1" x14ac:dyDescent="0.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spans="3:28" ht="15.75" customHeight="1" x14ac:dyDescent="0.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spans="3:28" ht="15.75" customHeight="1" x14ac:dyDescent="0.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spans="3:28" ht="15.75" customHeight="1" x14ac:dyDescent="0.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spans="3:28" ht="15.75" customHeight="1" x14ac:dyDescent="0.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spans="3:28" ht="15.75" customHeight="1" x14ac:dyDescent="0.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spans="3:28" ht="15.75" customHeight="1" x14ac:dyDescent="0.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spans="3:28" ht="15.75" customHeight="1" x14ac:dyDescent="0.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spans="3:28" ht="15.75" customHeight="1" x14ac:dyDescent="0.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spans="3:28" ht="15.75" customHeight="1" x14ac:dyDescent="0.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spans="3:28" ht="15.75" customHeight="1" x14ac:dyDescent="0.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spans="3:28" ht="15.75" customHeight="1" x14ac:dyDescent="0.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spans="3:28" ht="15.75" customHeight="1" x14ac:dyDescent="0.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spans="3:28" ht="15.75" customHeight="1" x14ac:dyDescent="0.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spans="3:28" ht="15.75" customHeight="1" x14ac:dyDescent="0.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spans="3:28" ht="15.75" customHeight="1" x14ac:dyDescent="0.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spans="3:28" ht="15.75" customHeight="1" x14ac:dyDescent="0.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spans="3:28" ht="15.75" customHeight="1" x14ac:dyDescent="0.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spans="3:28" ht="15.75" customHeight="1" x14ac:dyDescent="0.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spans="3:28" ht="15.75" customHeight="1" x14ac:dyDescent="0.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spans="3:28" ht="15.75" customHeight="1" x14ac:dyDescent="0.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spans="3:28" ht="15.75" customHeight="1" x14ac:dyDescent="0.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spans="3:28" ht="15.75" customHeight="1" x14ac:dyDescent="0.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spans="3:28" ht="15.75" customHeight="1" x14ac:dyDescent="0.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spans="3:28" ht="15.75" customHeight="1" x14ac:dyDescent="0.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spans="3:28" ht="15.75" customHeight="1" x14ac:dyDescent="0.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spans="3:28" ht="15.75" customHeight="1" x14ac:dyDescent="0.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spans="3:28" ht="15.75" customHeight="1" x14ac:dyDescent="0.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spans="3:28" ht="15.75" customHeight="1" x14ac:dyDescent="0.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spans="3:28" ht="15.75" customHeight="1" x14ac:dyDescent="0.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spans="3:28" ht="15.75" customHeight="1" x14ac:dyDescent="0.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spans="3:28" ht="15.75" customHeight="1" x14ac:dyDescent="0.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spans="3:28" ht="15.75" customHeight="1" x14ac:dyDescent="0.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spans="3:28" ht="15.75" customHeight="1" x14ac:dyDescent="0.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spans="3:28" ht="15.75" customHeight="1" x14ac:dyDescent="0.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spans="3:28" ht="15.75" customHeight="1" x14ac:dyDescent="0.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spans="3:28" ht="15.75" customHeight="1" x14ac:dyDescent="0.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spans="3:28" ht="15.75" customHeight="1" x14ac:dyDescent="0.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spans="3:28" ht="15.75" customHeight="1" x14ac:dyDescent="0.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spans="3:28" ht="15.75" customHeight="1" x14ac:dyDescent="0.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spans="3:28" ht="15.75" customHeight="1" x14ac:dyDescent="0.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spans="3:28" ht="15.75" customHeight="1" x14ac:dyDescent="0.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spans="3:28" ht="15.75" customHeight="1" x14ac:dyDescent="0.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spans="3:28" ht="15.75" customHeight="1" x14ac:dyDescent="0.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spans="3:28" ht="15.75" customHeight="1" x14ac:dyDescent="0.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spans="3:28" ht="15.75" customHeight="1" x14ac:dyDescent="0.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spans="3:28" ht="15.75" customHeight="1" x14ac:dyDescent="0.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spans="3:28" ht="15.75" customHeight="1" x14ac:dyDescent="0.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spans="3:28" ht="15.75" customHeight="1" x14ac:dyDescent="0.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spans="3:28" ht="15.75" customHeight="1" x14ac:dyDescent="0.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spans="3:28" ht="15.75" customHeight="1" x14ac:dyDescent="0.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spans="3:28" ht="15.75" customHeight="1" x14ac:dyDescent="0.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spans="3:28" ht="15.75" customHeight="1" x14ac:dyDescent="0.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spans="3:28" ht="15.75" customHeight="1" x14ac:dyDescent="0.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spans="3:28" ht="15.75" customHeight="1" x14ac:dyDescent="0.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spans="3:28" ht="15.75" customHeight="1" x14ac:dyDescent="0.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spans="3:28" ht="15.75" customHeight="1" x14ac:dyDescent="0.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spans="3:28" ht="15.75" customHeight="1" x14ac:dyDescent="0.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spans="3:28" ht="15.75" customHeight="1" x14ac:dyDescent="0.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spans="3:28" ht="15.75" customHeight="1" x14ac:dyDescent="0.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spans="3:28" ht="15.75" customHeight="1" x14ac:dyDescent="0.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spans="3:28" ht="15.75" customHeight="1" x14ac:dyDescent="0.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spans="3:28" ht="15.75" customHeight="1" x14ac:dyDescent="0.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spans="3:28" ht="15.75" customHeight="1" x14ac:dyDescent="0.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spans="3:28" ht="15.75" customHeight="1" x14ac:dyDescent="0.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spans="3:28" ht="15.75" customHeight="1" x14ac:dyDescent="0.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spans="3:28" ht="15.75" customHeight="1" x14ac:dyDescent="0.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spans="3:28" ht="15.75" customHeight="1" x14ac:dyDescent="0.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spans="3:28" ht="15.75" customHeight="1" x14ac:dyDescent="0.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spans="3:28" ht="15.75" customHeight="1" x14ac:dyDescent="0.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sheetData>
  <mergeCells count="13">
    <mergeCell ref="G2:M2"/>
    <mergeCell ref="G3:M4"/>
    <mergeCell ref="G5:M5"/>
    <mergeCell ref="G6:M7"/>
    <mergeCell ref="C3:E5"/>
    <mergeCell ref="C6:E6"/>
    <mergeCell ref="C21:H21"/>
    <mergeCell ref="O9:O17"/>
    <mergeCell ref="C18:O18"/>
    <mergeCell ref="C19:C20"/>
    <mergeCell ref="D19:D20"/>
    <mergeCell ref="E19:E20"/>
    <mergeCell ref="F19:H20"/>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dimension ref="A1:M1000"/>
  <sheetViews>
    <sheetView workbookViewId="0">
      <selection activeCell="I5" sqref="I5"/>
    </sheetView>
  </sheetViews>
  <sheetFormatPr baseColWidth="10" defaultColWidth="10.140625" defaultRowHeight="15" customHeight="1" x14ac:dyDescent="0.2"/>
  <cols>
    <col min="1" max="1" width="13" customWidth="1"/>
    <col min="2" max="2" width="42.140625" customWidth="1"/>
    <col min="3" max="3" width="25.5703125" customWidth="1"/>
    <col min="4" max="4" width="21.28515625" customWidth="1"/>
    <col min="5" max="5" width="28.140625" bestFit="1" customWidth="1"/>
    <col min="6" max="6" width="19.5703125" customWidth="1"/>
    <col min="7" max="7" width="13.42578125" customWidth="1"/>
    <col min="8" max="8" width="44.7109375" customWidth="1"/>
    <col min="9" max="9" width="30.85546875" bestFit="1" customWidth="1"/>
    <col min="10" max="10" width="116.140625" bestFit="1" customWidth="1"/>
    <col min="11" max="11" width="24.140625" style="14" customWidth="1"/>
    <col min="12" max="12" width="21.85546875" customWidth="1"/>
    <col min="13" max="24" width="10.5703125" customWidth="1"/>
  </cols>
  <sheetData>
    <row r="1" spans="1:13" ht="15.75" customHeight="1" x14ac:dyDescent="0.2">
      <c r="A1" s="9" t="s">
        <v>37</v>
      </c>
      <c r="B1" s="9" t="s">
        <v>38</v>
      </c>
      <c r="C1" s="9" t="s">
        <v>39</v>
      </c>
      <c r="D1" s="9" t="s">
        <v>40</v>
      </c>
      <c r="E1" s="9" t="s">
        <v>41</v>
      </c>
      <c r="F1" s="9" t="s">
        <v>42</v>
      </c>
      <c r="G1" s="9" t="s">
        <v>43</v>
      </c>
      <c r="H1" s="9" t="s">
        <v>44</v>
      </c>
      <c r="I1" s="9" t="s">
        <v>45</v>
      </c>
      <c r="J1" s="9" t="s">
        <v>46</v>
      </c>
      <c r="K1" s="11" t="s">
        <v>116</v>
      </c>
      <c r="L1" s="9" t="s">
        <v>47</v>
      </c>
      <c r="M1" s="6" t="s">
        <v>158</v>
      </c>
    </row>
    <row r="2" spans="1:13" ht="15.75" customHeight="1" x14ac:dyDescent="0.2">
      <c r="A2" s="3" t="s">
        <v>6</v>
      </c>
      <c r="B2" s="3" t="s">
        <v>87</v>
      </c>
      <c r="C2" s="3" t="s">
        <v>49</v>
      </c>
      <c r="D2" s="3" t="s">
        <v>13</v>
      </c>
      <c r="E2" s="3" t="s">
        <v>13</v>
      </c>
      <c r="F2" s="3" t="s">
        <v>18</v>
      </c>
      <c r="G2" s="3" t="s">
        <v>14</v>
      </c>
      <c r="H2" s="3" t="s">
        <v>9</v>
      </c>
      <c r="I2" s="3" t="s">
        <v>254</v>
      </c>
      <c r="J2" s="17" t="s">
        <v>108</v>
      </c>
      <c r="K2" s="15">
        <v>2</v>
      </c>
      <c r="L2" s="3" t="s">
        <v>19</v>
      </c>
      <c r="M2" s="3" t="s">
        <v>122</v>
      </c>
    </row>
    <row r="3" spans="1:13" ht="15.75" customHeight="1" x14ac:dyDescent="0.2">
      <c r="A3" s="3" t="s">
        <v>48</v>
      </c>
      <c r="B3" s="3" t="s">
        <v>85</v>
      </c>
      <c r="C3" s="3" t="s">
        <v>54</v>
      </c>
      <c r="D3" s="3" t="s">
        <v>50</v>
      </c>
      <c r="E3" s="3" t="s">
        <v>97</v>
      </c>
      <c r="F3" s="3" t="s">
        <v>20</v>
      </c>
      <c r="G3" s="3" t="s">
        <v>23</v>
      </c>
      <c r="H3" s="3" t="s">
        <v>51</v>
      </c>
      <c r="I3" s="3" t="s">
        <v>253</v>
      </c>
      <c r="J3" s="3" t="s">
        <v>67</v>
      </c>
      <c r="K3" s="12">
        <v>1.2</v>
      </c>
      <c r="L3" s="3" t="s">
        <v>66</v>
      </c>
      <c r="M3" s="3" t="s">
        <v>123</v>
      </c>
    </row>
    <row r="4" spans="1:13" ht="15.75" customHeight="1" x14ac:dyDescent="0.2">
      <c r="A4" s="3" t="s">
        <v>69</v>
      </c>
      <c r="B4" s="3" t="s">
        <v>86</v>
      </c>
      <c r="C4" s="3" t="s">
        <v>57</v>
      </c>
      <c r="D4" s="3" t="s">
        <v>17</v>
      </c>
      <c r="E4" s="3" t="s">
        <v>16</v>
      </c>
      <c r="F4" s="3" t="s">
        <v>53</v>
      </c>
      <c r="G4" s="3" t="s">
        <v>55</v>
      </c>
      <c r="H4" s="7" t="s">
        <v>70</v>
      </c>
      <c r="I4" s="3" t="s">
        <v>252</v>
      </c>
      <c r="J4" s="3" t="s">
        <v>68</v>
      </c>
      <c r="K4" s="13">
        <v>3.2</v>
      </c>
      <c r="L4" s="3" t="s">
        <v>56</v>
      </c>
      <c r="M4" s="3" t="s">
        <v>124</v>
      </c>
    </row>
    <row r="5" spans="1:13" ht="15.75" customHeight="1" x14ac:dyDescent="0.2">
      <c r="A5" s="3" t="s">
        <v>53</v>
      </c>
      <c r="B5" s="3" t="s">
        <v>94</v>
      </c>
      <c r="C5" s="3" t="s">
        <v>53</v>
      </c>
      <c r="D5" s="3" t="s">
        <v>58</v>
      </c>
      <c r="E5" s="3" t="s">
        <v>21</v>
      </c>
      <c r="G5" s="3" t="s">
        <v>59</v>
      </c>
      <c r="H5" s="10" t="s">
        <v>72</v>
      </c>
      <c r="I5" s="3" t="s">
        <v>52</v>
      </c>
      <c r="J5" s="3" t="s">
        <v>71</v>
      </c>
      <c r="K5" s="13"/>
      <c r="L5" s="3" t="s">
        <v>60</v>
      </c>
      <c r="M5" s="3" t="s">
        <v>125</v>
      </c>
    </row>
    <row r="6" spans="1:13" ht="15.75" customHeight="1" x14ac:dyDescent="0.2">
      <c r="A6" s="3"/>
      <c r="B6" s="16" t="s">
        <v>90</v>
      </c>
      <c r="D6" s="3" t="s">
        <v>53</v>
      </c>
      <c r="E6" s="3" t="s">
        <v>98</v>
      </c>
      <c r="F6" s="3"/>
      <c r="G6" s="3" t="s">
        <v>61</v>
      </c>
      <c r="H6" s="7" t="s">
        <v>70</v>
      </c>
      <c r="I6" s="3" t="s">
        <v>53</v>
      </c>
      <c r="J6" s="3" t="s">
        <v>73</v>
      </c>
      <c r="K6" s="13"/>
      <c r="L6" s="3" t="s">
        <v>62</v>
      </c>
      <c r="M6" s="3" t="s">
        <v>126</v>
      </c>
    </row>
    <row r="7" spans="1:13" ht="15.75" customHeight="1" x14ac:dyDescent="0.2">
      <c r="A7" s="3"/>
      <c r="B7" s="16" t="s">
        <v>91</v>
      </c>
      <c r="C7" s="3"/>
      <c r="D7" s="3"/>
      <c r="E7" s="3" t="s">
        <v>99</v>
      </c>
      <c r="F7" s="3"/>
      <c r="G7" s="3" t="s">
        <v>64</v>
      </c>
      <c r="H7" s="3" t="s">
        <v>53</v>
      </c>
      <c r="I7" s="3"/>
      <c r="J7" s="3" t="s">
        <v>74</v>
      </c>
      <c r="K7" s="13"/>
      <c r="L7" s="3" t="s">
        <v>53</v>
      </c>
      <c r="M7" s="3" t="s">
        <v>127</v>
      </c>
    </row>
    <row r="8" spans="1:13" ht="15.75" customHeight="1" x14ac:dyDescent="0.2">
      <c r="A8" s="3"/>
      <c r="B8" s="3" t="s">
        <v>88</v>
      </c>
      <c r="C8" s="3"/>
      <c r="D8" s="3"/>
      <c r="E8" s="3" t="s">
        <v>63</v>
      </c>
      <c r="F8" s="3"/>
      <c r="G8" s="3" t="s">
        <v>22</v>
      </c>
      <c r="H8" s="3"/>
      <c r="I8" s="3"/>
      <c r="J8" s="7" t="s">
        <v>70</v>
      </c>
      <c r="K8" s="13"/>
      <c r="M8" s="3" t="s">
        <v>128</v>
      </c>
    </row>
    <row r="9" spans="1:13" ht="15.75" customHeight="1" x14ac:dyDescent="0.2">
      <c r="A9" s="3"/>
      <c r="B9" s="3" t="s">
        <v>89</v>
      </c>
      <c r="C9" s="3"/>
      <c r="D9" s="3"/>
      <c r="E9" s="3" t="s">
        <v>240</v>
      </c>
      <c r="F9" s="3"/>
      <c r="G9" s="3" t="s">
        <v>65</v>
      </c>
      <c r="H9" s="3"/>
      <c r="I9" s="3"/>
      <c r="J9" s="3" t="s">
        <v>75</v>
      </c>
      <c r="K9" s="13"/>
      <c r="M9" s="3" t="s">
        <v>129</v>
      </c>
    </row>
    <row r="10" spans="1:13" ht="15.75" customHeight="1" x14ac:dyDescent="0.2">
      <c r="A10" s="3"/>
      <c r="B10" s="3" t="s">
        <v>106</v>
      </c>
      <c r="C10" s="3"/>
      <c r="D10" s="3"/>
      <c r="E10" s="3" t="s">
        <v>53</v>
      </c>
      <c r="F10" s="3"/>
      <c r="G10" s="3"/>
      <c r="H10" s="3"/>
      <c r="I10" s="3"/>
      <c r="J10" s="3" t="s">
        <v>76</v>
      </c>
      <c r="K10" s="13"/>
      <c r="M10" s="3" t="s">
        <v>130</v>
      </c>
    </row>
    <row r="11" spans="1:13" ht="15.75" customHeight="1" x14ac:dyDescent="0.2">
      <c r="A11" s="3"/>
      <c r="B11" s="3" t="s">
        <v>115</v>
      </c>
      <c r="C11" s="3"/>
      <c r="D11" s="3"/>
      <c r="E11" s="3"/>
      <c r="F11" s="3"/>
      <c r="G11" s="3"/>
      <c r="H11" s="3"/>
      <c r="I11" s="3"/>
      <c r="J11" s="3" t="s">
        <v>77</v>
      </c>
      <c r="K11" s="13"/>
      <c r="M11" s="3" t="s">
        <v>131</v>
      </c>
    </row>
    <row r="12" spans="1:13" ht="15.75" customHeight="1" x14ac:dyDescent="0.2">
      <c r="A12" s="3"/>
      <c r="B12" s="3" t="s">
        <v>104</v>
      </c>
      <c r="C12" s="3"/>
      <c r="D12" s="3"/>
      <c r="E12" s="3"/>
      <c r="F12" s="3"/>
      <c r="G12" s="3"/>
      <c r="H12" s="3"/>
      <c r="I12" s="3"/>
      <c r="J12" s="3" t="s">
        <v>78</v>
      </c>
      <c r="K12" s="13"/>
      <c r="M12" s="3" t="s">
        <v>132</v>
      </c>
    </row>
    <row r="13" spans="1:13" ht="15.75" customHeight="1" x14ac:dyDescent="0.2">
      <c r="A13" s="3"/>
      <c r="B13" s="3" t="s">
        <v>105</v>
      </c>
      <c r="C13" s="3"/>
      <c r="D13" s="3"/>
      <c r="E13" s="3"/>
      <c r="F13" s="3"/>
      <c r="G13" s="3"/>
      <c r="H13" s="3"/>
      <c r="I13" s="3"/>
      <c r="J13" s="3" t="s">
        <v>79</v>
      </c>
      <c r="K13" s="13"/>
      <c r="M13" s="3" t="s">
        <v>133</v>
      </c>
    </row>
    <row r="14" spans="1:13" ht="15.75" customHeight="1" x14ac:dyDescent="0.2">
      <c r="A14" s="3"/>
      <c r="B14" s="3" t="s">
        <v>92</v>
      </c>
      <c r="C14" s="3"/>
      <c r="D14" s="3"/>
      <c r="E14" s="3"/>
      <c r="F14" s="3"/>
      <c r="G14" s="3"/>
      <c r="H14" s="3"/>
      <c r="I14" s="3"/>
      <c r="J14" s="3" t="s">
        <v>80</v>
      </c>
      <c r="K14" s="13"/>
      <c r="M14" t="s">
        <v>134</v>
      </c>
    </row>
    <row r="15" spans="1:13" ht="15.75" customHeight="1" x14ac:dyDescent="0.2">
      <c r="A15" s="3"/>
      <c r="B15" s="3" t="s">
        <v>95</v>
      </c>
      <c r="C15" s="3"/>
      <c r="D15" s="3"/>
      <c r="E15" s="3"/>
      <c r="F15" s="3"/>
      <c r="G15" s="3"/>
      <c r="H15" s="3"/>
      <c r="I15" s="3"/>
      <c r="J15" s="3" t="s">
        <v>81</v>
      </c>
      <c r="K15" s="13"/>
      <c r="M15" t="s">
        <v>135</v>
      </c>
    </row>
    <row r="16" spans="1:13" ht="15.75" customHeight="1" x14ac:dyDescent="0.2">
      <c r="A16" s="3"/>
      <c r="B16" s="3" t="s">
        <v>96</v>
      </c>
      <c r="C16" s="3"/>
      <c r="D16" s="3"/>
      <c r="E16" s="3"/>
      <c r="F16" s="3"/>
      <c r="G16" s="3"/>
      <c r="H16" s="3"/>
      <c r="I16" s="3"/>
      <c r="J16" s="3" t="s">
        <v>82</v>
      </c>
      <c r="K16" s="13"/>
      <c r="M16" t="s">
        <v>136</v>
      </c>
    </row>
    <row r="17" spans="1:13" ht="15.75" customHeight="1" x14ac:dyDescent="0.2">
      <c r="A17" s="3"/>
      <c r="B17" s="16" t="s">
        <v>93</v>
      </c>
      <c r="C17" s="3"/>
      <c r="D17" s="3"/>
      <c r="E17" s="3"/>
      <c r="F17" s="3"/>
      <c r="G17" s="3"/>
      <c r="H17" s="3"/>
      <c r="I17" s="3"/>
      <c r="J17" s="18" t="s">
        <v>109</v>
      </c>
      <c r="K17" s="13"/>
      <c r="M17" t="s">
        <v>137</v>
      </c>
    </row>
    <row r="18" spans="1:13" ht="15.75" customHeight="1" x14ac:dyDescent="0.2">
      <c r="A18" s="3"/>
      <c r="B18" s="3" t="s">
        <v>117</v>
      </c>
      <c r="C18" s="3"/>
      <c r="D18" s="3"/>
      <c r="E18" s="3"/>
      <c r="F18" s="3"/>
      <c r="G18" s="3"/>
      <c r="H18" s="3"/>
      <c r="I18" s="3"/>
      <c r="J18" s="3" t="s">
        <v>113</v>
      </c>
      <c r="K18" s="13"/>
      <c r="M18" t="s">
        <v>138</v>
      </c>
    </row>
    <row r="19" spans="1:13" ht="15.75" customHeight="1" x14ac:dyDescent="0.2">
      <c r="A19" s="3"/>
      <c r="B19" s="3" t="s">
        <v>240</v>
      </c>
      <c r="C19" s="3"/>
      <c r="D19" s="3"/>
      <c r="E19" s="3"/>
      <c r="F19" s="3"/>
      <c r="G19" s="3"/>
      <c r="H19" s="3"/>
      <c r="I19" s="3"/>
      <c r="J19" s="58" t="s">
        <v>107</v>
      </c>
      <c r="K19" s="13"/>
      <c r="M19" t="s">
        <v>139</v>
      </c>
    </row>
    <row r="20" spans="1:13" ht="15.75" customHeight="1" x14ac:dyDescent="0.2">
      <c r="A20" s="3"/>
      <c r="B20" s="3" t="s">
        <v>241</v>
      </c>
      <c r="C20" s="3"/>
      <c r="D20" s="3"/>
      <c r="E20" s="3"/>
      <c r="F20" s="3"/>
      <c r="G20" s="3"/>
      <c r="H20" s="3"/>
      <c r="I20" s="3"/>
      <c r="J20" s="3" t="s">
        <v>84</v>
      </c>
      <c r="K20" s="13"/>
      <c r="M20" t="s">
        <v>140</v>
      </c>
    </row>
    <row r="21" spans="1:13" ht="15.75" customHeight="1" x14ac:dyDescent="0.2">
      <c r="A21" s="3"/>
      <c r="B21" s="3" t="s">
        <v>53</v>
      </c>
      <c r="C21" s="3"/>
      <c r="D21" s="3"/>
      <c r="E21" s="3"/>
      <c r="F21" s="3"/>
      <c r="G21" s="3"/>
      <c r="H21" s="3"/>
      <c r="I21" s="3"/>
      <c r="J21" s="3" t="s">
        <v>110</v>
      </c>
      <c r="K21" s="13"/>
      <c r="M21" t="s">
        <v>141</v>
      </c>
    </row>
    <row r="22" spans="1:13" ht="15.75" customHeight="1" x14ac:dyDescent="0.2">
      <c r="A22" s="3"/>
      <c r="C22" s="3"/>
      <c r="D22" s="3"/>
      <c r="E22" s="3"/>
      <c r="F22" s="3"/>
      <c r="G22" s="3"/>
      <c r="H22" s="3"/>
      <c r="I22" s="3"/>
      <c r="J22" s="58" t="s">
        <v>114</v>
      </c>
      <c r="K22" s="13"/>
      <c r="M22" t="s">
        <v>142</v>
      </c>
    </row>
    <row r="23" spans="1:13" ht="15.75" customHeight="1" x14ac:dyDescent="0.2">
      <c r="A23" s="3"/>
      <c r="C23" s="3"/>
      <c r="D23" s="3"/>
      <c r="E23" s="3"/>
      <c r="F23" s="3"/>
      <c r="G23" s="3"/>
      <c r="H23" s="3"/>
      <c r="I23" s="3"/>
      <c r="J23" s="3" t="s">
        <v>112</v>
      </c>
      <c r="K23" s="13"/>
      <c r="M23" t="s">
        <v>143</v>
      </c>
    </row>
    <row r="24" spans="1:13" ht="15.75" customHeight="1" x14ac:dyDescent="0.2">
      <c r="A24" s="3"/>
      <c r="B24" s="8"/>
      <c r="C24" s="3"/>
      <c r="D24" s="3"/>
      <c r="E24" s="3"/>
      <c r="F24" s="3"/>
      <c r="G24" s="3"/>
      <c r="H24" s="3"/>
      <c r="I24" s="3"/>
      <c r="J24" s="3" t="s">
        <v>111</v>
      </c>
      <c r="K24" s="13"/>
      <c r="M24" t="s">
        <v>144</v>
      </c>
    </row>
    <row r="25" spans="1:13" ht="15.75" customHeight="1" x14ac:dyDescent="0.2">
      <c r="A25" s="3"/>
      <c r="C25" s="3"/>
      <c r="D25" s="3"/>
      <c r="E25" s="3"/>
      <c r="F25" s="3"/>
      <c r="G25" s="3"/>
      <c r="H25" s="3"/>
      <c r="I25" s="3"/>
      <c r="J25" s="3" t="s">
        <v>83</v>
      </c>
      <c r="K25" s="13"/>
      <c r="M25" t="s">
        <v>145</v>
      </c>
    </row>
    <row r="26" spans="1:13" ht="15.75" customHeight="1" x14ac:dyDescent="0.2">
      <c r="B26" s="8"/>
      <c r="H26" s="3"/>
      <c r="M26" t="s">
        <v>146</v>
      </c>
    </row>
    <row r="27" spans="1:13" ht="15.75" customHeight="1" x14ac:dyDescent="0.2">
      <c r="B27" s="8"/>
      <c r="M27" t="s">
        <v>147</v>
      </c>
    </row>
    <row r="28" spans="1:13" ht="15.75" customHeight="1" x14ac:dyDescent="0.2">
      <c r="B28" s="8"/>
      <c r="M28" t="s">
        <v>148</v>
      </c>
    </row>
    <row r="29" spans="1:13" ht="15.75" customHeight="1" x14ac:dyDescent="0.2">
      <c r="M29" t="s">
        <v>149</v>
      </c>
    </row>
    <row r="30" spans="1:13" ht="15.75" customHeight="1" x14ac:dyDescent="0.2">
      <c r="M30" t="s">
        <v>150</v>
      </c>
    </row>
    <row r="31" spans="1:13" ht="15.75" customHeight="1" x14ac:dyDescent="0.2">
      <c r="M31" t="s">
        <v>151</v>
      </c>
    </row>
    <row r="32" spans="1:13" ht="15.75" customHeight="1" x14ac:dyDescent="0.2">
      <c r="M32" t="s">
        <v>152</v>
      </c>
    </row>
    <row r="33" spans="13:13" ht="15.75" customHeight="1" x14ac:dyDescent="0.2">
      <c r="M33" t="s">
        <v>153</v>
      </c>
    </row>
    <row r="34" spans="13:13" ht="15.75" customHeight="1" x14ac:dyDescent="0.2">
      <c r="M34" t="s">
        <v>154</v>
      </c>
    </row>
    <row r="35" spans="13:13" ht="15.75" customHeight="1" x14ac:dyDescent="0.2">
      <c r="M35" t="s">
        <v>155</v>
      </c>
    </row>
    <row r="36" spans="13:13" ht="15.75" customHeight="1" x14ac:dyDescent="0.2">
      <c r="M36" t="s">
        <v>156</v>
      </c>
    </row>
    <row r="37" spans="13:13" ht="15.75" customHeight="1" x14ac:dyDescent="0.2">
      <c r="M37" t="s">
        <v>157</v>
      </c>
    </row>
    <row r="38" spans="13:13" ht="15.75" customHeight="1" x14ac:dyDescent="0.2">
      <c r="M38" t="s">
        <v>159</v>
      </c>
    </row>
    <row r="39" spans="13:13" ht="15.75" customHeight="1" x14ac:dyDescent="0.2">
      <c r="M39" t="s">
        <v>160</v>
      </c>
    </row>
    <row r="40" spans="13:13" ht="15.75" customHeight="1" x14ac:dyDescent="0.2">
      <c r="M40" t="s">
        <v>161</v>
      </c>
    </row>
    <row r="41" spans="13:13" ht="15.75" customHeight="1" x14ac:dyDescent="0.2">
      <c r="M41" t="s">
        <v>162</v>
      </c>
    </row>
    <row r="42" spans="13:13" ht="15.75" customHeight="1" x14ac:dyDescent="0.2">
      <c r="M42" t="s">
        <v>163</v>
      </c>
    </row>
    <row r="43" spans="13:13" ht="15.75" customHeight="1" x14ac:dyDescent="0.2">
      <c r="M43" t="s">
        <v>164</v>
      </c>
    </row>
    <row r="44" spans="13:13" ht="15.75" customHeight="1" x14ac:dyDescent="0.2">
      <c r="M44" t="s">
        <v>165</v>
      </c>
    </row>
    <row r="45" spans="13:13" ht="15.75" customHeight="1" x14ac:dyDescent="0.2">
      <c r="M45" t="s">
        <v>166</v>
      </c>
    </row>
    <row r="46" spans="13:13" ht="15.75" customHeight="1" x14ac:dyDescent="0.2">
      <c r="M46" t="s">
        <v>167</v>
      </c>
    </row>
    <row r="47" spans="13:13" ht="15.75" customHeight="1" x14ac:dyDescent="0.2">
      <c r="M47" t="s">
        <v>168</v>
      </c>
    </row>
    <row r="48" spans="13:13" ht="15.75" customHeight="1" x14ac:dyDescent="0.2">
      <c r="M48" t="s">
        <v>169</v>
      </c>
    </row>
    <row r="49" spans="13:13" ht="15.75" customHeight="1" x14ac:dyDescent="0.2">
      <c r="M49" t="s">
        <v>170</v>
      </c>
    </row>
    <row r="50" spans="13:13" ht="15.75" customHeight="1" x14ac:dyDescent="0.2">
      <c r="M50" t="s">
        <v>171</v>
      </c>
    </row>
    <row r="51" spans="13:13" ht="15.75" customHeight="1" x14ac:dyDescent="0.2">
      <c r="M51" t="s">
        <v>172</v>
      </c>
    </row>
    <row r="52" spans="13:13" ht="15.75" customHeight="1" x14ac:dyDescent="0.2">
      <c r="M52" t="s">
        <v>173</v>
      </c>
    </row>
    <row r="53" spans="13:13" ht="15.75" customHeight="1" x14ac:dyDescent="0.2">
      <c r="M53" t="s">
        <v>174</v>
      </c>
    </row>
    <row r="54" spans="13:13" ht="15.75" customHeight="1" x14ac:dyDescent="0.2">
      <c r="M54" t="s">
        <v>175</v>
      </c>
    </row>
    <row r="55" spans="13:13" ht="15.75" customHeight="1" x14ac:dyDescent="0.2">
      <c r="M55" t="s">
        <v>176</v>
      </c>
    </row>
    <row r="56" spans="13:13" ht="15.75" customHeight="1" x14ac:dyDescent="0.2">
      <c r="M56" t="s">
        <v>177</v>
      </c>
    </row>
    <row r="57" spans="13:13" ht="15.75" customHeight="1" x14ac:dyDescent="0.2">
      <c r="M57" t="s">
        <v>178</v>
      </c>
    </row>
    <row r="58" spans="13:13" ht="15.75" customHeight="1" x14ac:dyDescent="0.2">
      <c r="M58" t="s">
        <v>179</v>
      </c>
    </row>
    <row r="59" spans="13:13" ht="15.75" customHeight="1" x14ac:dyDescent="0.2">
      <c r="M59" t="s">
        <v>180</v>
      </c>
    </row>
    <row r="60" spans="13:13" ht="15.75" customHeight="1" x14ac:dyDescent="0.2">
      <c r="M60" t="s">
        <v>181</v>
      </c>
    </row>
    <row r="61" spans="13:13" ht="15.75" customHeight="1" x14ac:dyDescent="0.2">
      <c r="M61" t="s">
        <v>182</v>
      </c>
    </row>
    <row r="62" spans="13:13" ht="15.75" customHeight="1" x14ac:dyDescent="0.2">
      <c r="M62" t="s">
        <v>183</v>
      </c>
    </row>
    <row r="63" spans="13:13" ht="15.75" customHeight="1" x14ac:dyDescent="0.2">
      <c r="M63" t="s">
        <v>184</v>
      </c>
    </row>
    <row r="64" spans="13:13" ht="15.75" customHeight="1" x14ac:dyDescent="0.2">
      <c r="M64" t="s">
        <v>185</v>
      </c>
    </row>
    <row r="65" spans="13:13" ht="15.75" customHeight="1" x14ac:dyDescent="0.2">
      <c r="M65" t="s">
        <v>186</v>
      </c>
    </row>
    <row r="66" spans="13:13" ht="15.75" customHeight="1" x14ac:dyDescent="0.2">
      <c r="M66" t="s">
        <v>187</v>
      </c>
    </row>
    <row r="67" spans="13:13" ht="15.75" customHeight="1" x14ac:dyDescent="0.2">
      <c r="M67" t="s">
        <v>188</v>
      </c>
    </row>
    <row r="68" spans="13:13" ht="15.75" customHeight="1" x14ac:dyDescent="0.2">
      <c r="M68" t="s">
        <v>189</v>
      </c>
    </row>
    <row r="69" spans="13:13" ht="15.75" customHeight="1" x14ac:dyDescent="0.2">
      <c r="M69" t="s">
        <v>190</v>
      </c>
    </row>
    <row r="70" spans="13:13" ht="15.75" customHeight="1" x14ac:dyDescent="0.2">
      <c r="M70" t="s">
        <v>191</v>
      </c>
    </row>
    <row r="71" spans="13:13" ht="15.75" customHeight="1" x14ac:dyDescent="0.2">
      <c r="M71" t="s">
        <v>192</v>
      </c>
    </row>
    <row r="72" spans="13:13" ht="15.75" customHeight="1" x14ac:dyDescent="0.2">
      <c r="M72" t="s">
        <v>193</v>
      </c>
    </row>
    <row r="73" spans="13:13" ht="15.75" customHeight="1" x14ac:dyDescent="0.2">
      <c r="M73" t="s">
        <v>194</v>
      </c>
    </row>
    <row r="74" spans="13:13" ht="15.75" customHeight="1" x14ac:dyDescent="0.2">
      <c r="M74" t="s">
        <v>195</v>
      </c>
    </row>
    <row r="75" spans="13:13" ht="15.75" customHeight="1" x14ac:dyDescent="0.2">
      <c r="M75" t="s">
        <v>196</v>
      </c>
    </row>
    <row r="76" spans="13:13" ht="15.75" customHeight="1" x14ac:dyDescent="0.2">
      <c r="M76" t="s">
        <v>197</v>
      </c>
    </row>
    <row r="77" spans="13:13" ht="15.75" customHeight="1" x14ac:dyDescent="0.2">
      <c r="M77" t="s">
        <v>198</v>
      </c>
    </row>
    <row r="78" spans="13:13" ht="15.75" customHeight="1" x14ac:dyDescent="0.2">
      <c r="M78" t="s">
        <v>199</v>
      </c>
    </row>
    <row r="79" spans="13:13" ht="15.75" customHeight="1" x14ac:dyDescent="0.2">
      <c r="M79" t="s">
        <v>200</v>
      </c>
    </row>
    <row r="80" spans="13:13" ht="15.75" customHeight="1" x14ac:dyDescent="0.2">
      <c r="M80" t="s">
        <v>201</v>
      </c>
    </row>
    <row r="81" spans="13:13" ht="15.75" customHeight="1" x14ac:dyDescent="0.2">
      <c r="M81" t="s">
        <v>202</v>
      </c>
    </row>
    <row r="82" spans="13:13" ht="15.75" customHeight="1" x14ac:dyDescent="0.2">
      <c r="M82" t="s">
        <v>203</v>
      </c>
    </row>
    <row r="83" spans="13:13" ht="15.75" customHeight="1" x14ac:dyDescent="0.2">
      <c r="M83" t="s">
        <v>204</v>
      </c>
    </row>
    <row r="84" spans="13:13" ht="15.75" customHeight="1" x14ac:dyDescent="0.2">
      <c r="M84" t="s">
        <v>205</v>
      </c>
    </row>
    <row r="85" spans="13:13" ht="15.75" customHeight="1" x14ac:dyDescent="0.2">
      <c r="M85" t="s">
        <v>206</v>
      </c>
    </row>
    <row r="86" spans="13:13" ht="15.75" customHeight="1" x14ac:dyDescent="0.2">
      <c r="M86" t="s">
        <v>207</v>
      </c>
    </row>
    <row r="87" spans="13:13" ht="15.75" customHeight="1" x14ac:dyDescent="0.2">
      <c r="M87" t="s">
        <v>208</v>
      </c>
    </row>
    <row r="88" spans="13:13" ht="15.75" customHeight="1" x14ac:dyDescent="0.2">
      <c r="M88" t="s">
        <v>209</v>
      </c>
    </row>
    <row r="89" spans="13:13" ht="15.75" customHeight="1" x14ac:dyDescent="0.2">
      <c r="M89" t="s">
        <v>210</v>
      </c>
    </row>
    <row r="90" spans="13:13" ht="15.75" customHeight="1" x14ac:dyDescent="0.2">
      <c r="M90" t="s">
        <v>211</v>
      </c>
    </row>
    <row r="91" spans="13:13" ht="15.75" customHeight="1" x14ac:dyDescent="0.2">
      <c r="M91" t="s">
        <v>212</v>
      </c>
    </row>
    <row r="92" spans="13:13" ht="15.75" customHeight="1" x14ac:dyDescent="0.2">
      <c r="M92" t="s">
        <v>213</v>
      </c>
    </row>
    <row r="93" spans="13:13" ht="15.75" customHeight="1" x14ac:dyDescent="0.2">
      <c r="M93" t="s">
        <v>214</v>
      </c>
    </row>
    <row r="94" spans="13:13" ht="15.75" customHeight="1" x14ac:dyDescent="0.2">
      <c r="M94" t="s">
        <v>215</v>
      </c>
    </row>
    <row r="95" spans="13:13" ht="15.75" customHeight="1" x14ac:dyDescent="0.2">
      <c r="M95" t="s">
        <v>216</v>
      </c>
    </row>
    <row r="96" spans="13:13" ht="15.75" customHeight="1" x14ac:dyDescent="0.2">
      <c r="M96" t="s">
        <v>217</v>
      </c>
    </row>
    <row r="97" spans="13:13" ht="15.75" customHeight="1" x14ac:dyDescent="0.2">
      <c r="M97" t="s">
        <v>218</v>
      </c>
    </row>
    <row r="98" spans="13:13" ht="15.75" customHeight="1" x14ac:dyDescent="0.2"/>
    <row r="99" spans="13:13" ht="15.75" customHeight="1" x14ac:dyDescent="0.2"/>
    <row r="100" spans="13:13" ht="15.75" customHeight="1" x14ac:dyDescent="0.2"/>
    <row r="101" spans="13:13" ht="15.75" customHeight="1" x14ac:dyDescent="0.2"/>
    <row r="102" spans="13:13" ht="15.75" customHeight="1" x14ac:dyDescent="0.2"/>
    <row r="103" spans="13:13" ht="15.75" customHeight="1" x14ac:dyDescent="0.2"/>
    <row r="104" spans="13:13" ht="15.75" customHeight="1" x14ac:dyDescent="0.2"/>
    <row r="105" spans="13:13" ht="15.75" customHeight="1" x14ac:dyDescent="0.2"/>
    <row r="106" spans="13:13" ht="15.75" customHeight="1" x14ac:dyDescent="0.2"/>
    <row r="107" spans="13:13" ht="15.75" customHeight="1" x14ac:dyDescent="0.2"/>
    <row r="108" spans="13:13" ht="15.75" customHeight="1" x14ac:dyDescent="0.2"/>
    <row r="109" spans="13:13" ht="15.75" customHeight="1" x14ac:dyDescent="0.2"/>
    <row r="110" spans="13:13" ht="15.75" customHeight="1" x14ac:dyDescent="0.2"/>
    <row r="111" spans="13:13" ht="15.75" customHeight="1" x14ac:dyDescent="0.2"/>
    <row r="112" spans="13:13"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Metadata</vt:lpstr>
      <vt:lpstr>ASSAY Respiratory Multiplex</vt:lpstr>
      <vt:lpstr>ASSAY Norovirus</vt:lpstr>
      <vt:lpstr>ASSAY Pertussis</vt:lpstr>
      <vt:lpstr>ASSAY Measles</vt:lpstr>
      <vt:lpstr>Plate Map Review</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Timothy Driscoll</dc:creator>
  <cp:lastModifiedBy>Timothy Driscoll</cp:lastModifiedBy>
  <dcterms:created xsi:type="dcterms:W3CDTF">2021-08-03T22:14:55Z</dcterms:created>
  <dcterms:modified xsi:type="dcterms:W3CDTF">2026-10-08T15:54:18Z</dcterms:modified>
</cp:coreProperties>
</file>