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pd0001/Library/CloudStorage/GoogleDrive-wvuvectors@gmail.com/My Drive/WaTCH-WV/WaTCH-WV SHARED/EVENTS/SA Jamboree 2026/REPORTING/RAW_DATA/"/>
    </mc:Choice>
  </mc:AlternateContent>
  <xr:revisionPtr revIDLastSave="0" documentId="13_ncr:1_{7CA4EC3B-2624-4446-96F8-3C97ACF6CF39}" xr6:coauthVersionLast="47" xr6:coauthVersionMax="47" xr10:uidLastSave="{00000000-0000-0000-0000-000000000000}"/>
  <bookViews>
    <workbookView xWindow="0" yWindow="660" windowWidth="30240" windowHeight="18980" xr2:uid="{00000000-000D-0000-FFFF-FFFF00000000}"/>
  </bookViews>
  <sheets>
    <sheet name="Metadata" sheetId="1" r:id="rId1"/>
    <sheet name="Plate Map" sheetId="16" r:id="rId2"/>
    <sheet name="ASSAY Respiratory Multiplex" sheetId="9" r:id="rId3"/>
    <sheet name="ASSAY Norovirus" sheetId="13" r:id="rId4"/>
    <sheet name="ASSAY Pertussis" sheetId="14" r:id="rId5"/>
    <sheet name="ASSAY Measles" sheetId="15" r:id="rId6"/>
    <sheet name="Lists" sheetId="8" r:id="rId7"/>
  </sheets>
  <definedNames>
    <definedName name="_xleta.COUNTIF" hidden="1" xlm="1">#NAME?</definedName>
    <definedName name="_xleta.ISBLANK" hidden="1" xlm="1">#NAME?</definedName>
    <definedName name="_xleta.ISNA" hidden="1" xlm="1">#NAME?</definedName>
    <definedName name="_xleta.N" hidden="1" xlm="1">#NAME?</definedName>
    <definedName name="_xleta.NA" hidden="1" xlm="1">#NAME?</definedName>
    <definedName name="_xleta.NOT" hidden="1" xlm="1">#NAME?</definedName>
    <definedName name="_xleta.VALU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Z+xPJQQCoaOzu+wtu2GwLx7XIKgcaMfvHhaDJ/Cq+kM="/>
    </ext>
  </extLst>
</workbook>
</file>

<file path=xl/calcChain.xml><?xml version="1.0" encoding="utf-8"?>
<calcChain xmlns="http://schemas.openxmlformats.org/spreadsheetml/2006/main">
  <c r="J10" i="14" l="1"/>
  <c r="C27" i="15"/>
  <c r="L25" i="15"/>
  <c r="K25" i="15"/>
  <c r="L24" i="15"/>
  <c r="K24" i="15"/>
  <c r="L23" i="15"/>
  <c r="K23" i="15"/>
  <c r="L22" i="15"/>
  <c r="K22" i="15"/>
  <c r="L21" i="15"/>
  <c r="K21" i="15"/>
  <c r="L20" i="15"/>
  <c r="K20" i="15"/>
  <c r="L19" i="15"/>
  <c r="K19" i="15"/>
  <c r="L18" i="15"/>
  <c r="K18" i="15"/>
  <c r="C27" i="14"/>
  <c r="J6" i="14" s="1"/>
  <c r="I25" i="14"/>
  <c r="H25" i="14"/>
  <c r="I24" i="14"/>
  <c r="H24" i="14"/>
  <c r="I23" i="14"/>
  <c r="H23" i="14"/>
  <c r="I22" i="14"/>
  <c r="H22" i="14"/>
  <c r="I21" i="14"/>
  <c r="H21" i="14"/>
  <c r="I20" i="14"/>
  <c r="H20" i="14"/>
  <c r="I19" i="14"/>
  <c r="H19" i="14"/>
  <c r="I18" i="14"/>
  <c r="H18" i="14"/>
  <c r="C18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F18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E19" i="13"/>
  <c r="E18" i="13"/>
  <c r="B18" i="9"/>
  <c r="C27" i="13"/>
  <c r="J4" i="13" s="1"/>
  <c r="C27" i="9"/>
  <c r="C14" i="16"/>
  <c r="J13" i="15"/>
  <c r="J11" i="15"/>
  <c r="H7" i="15"/>
  <c r="J13" i="14"/>
  <c r="J11" i="14"/>
  <c r="H7" i="14"/>
  <c r="J13" i="13"/>
  <c r="J11" i="13"/>
  <c r="H7" i="13"/>
  <c r="J6" i="15" l="1"/>
  <c r="J4" i="15"/>
  <c r="J5" i="15"/>
  <c r="J4" i="14"/>
  <c r="J5" i="14"/>
  <c r="J5" i="13"/>
  <c r="J6" i="13"/>
  <c r="J10" i="15"/>
  <c r="J12" i="15" s="1"/>
  <c r="J7" i="15"/>
  <c r="J7" i="14"/>
  <c r="J12" i="14"/>
  <c r="J7" i="13"/>
  <c r="J10" i="13"/>
  <c r="J12" i="13" s="1"/>
  <c r="J5" i="9"/>
  <c r="J11" i="9"/>
  <c r="H7" i="9"/>
  <c r="J3" i="14" l="1"/>
  <c r="J3" i="13"/>
  <c r="J3" i="15"/>
  <c r="J10" i="9"/>
  <c r="J12" i="9" s="1"/>
  <c r="J4" i="9"/>
  <c r="J6" i="9"/>
  <c r="J7" i="9"/>
  <c r="J13" i="9"/>
  <c r="J3" i="9" l="1"/>
</calcChain>
</file>

<file path=xl/sharedStrings.xml><?xml version="1.0" encoding="utf-8"?>
<sst xmlns="http://schemas.openxmlformats.org/spreadsheetml/2006/main" count="545" uniqueCount="284">
  <si>
    <t>Batch Type</t>
  </si>
  <si>
    <t>Batch Record Version</t>
  </si>
  <si>
    <t>Date</t>
  </si>
  <si>
    <t>Run by</t>
  </si>
  <si>
    <t>TD</t>
  </si>
  <si>
    <t>Machine</t>
  </si>
  <si>
    <t>Zoo QX200</t>
  </si>
  <si>
    <t>Batch ID</t>
  </si>
  <si>
    <t>Analysis Software Version</t>
  </si>
  <si>
    <t>Input uL</t>
  </si>
  <si>
    <t>Reaction uL</t>
  </si>
  <si>
    <t>Bio-Rad OneStep RT-ddPCR Advanced Kit for Probes</t>
  </si>
  <si>
    <t>xxxxxxx</t>
  </si>
  <si>
    <t>Quantification Type</t>
  </si>
  <si>
    <t>Batch Comment</t>
  </si>
  <si>
    <t>None</t>
  </si>
  <si>
    <t>FAM</t>
  </si>
  <si>
    <t>Target</t>
  </si>
  <si>
    <t>SARS-CoV-2</t>
  </si>
  <si>
    <t>RNA</t>
  </si>
  <si>
    <t>PCR Negative</t>
  </si>
  <si>
    <t>NA</t>
  </si>
  <si>
    <t>PCR Positive</t>
  </si>
  <si>
    <t>LV-SARS_N</t>
  </si>
  <si>
    <t>FAM/HEX</t>
  </si>
  <si>
    <t>HEX</t>
  </si>
  <si>
    <t>A</t>
  </si>
  <si>
    <t>B</t>
  </si>
  <si>
    <t>C</t>
  </si>
  <si>
    <t>D</t>
  </si>
  <si>
    <t>E</t>
  </si>
  <si>
    <t>F</t>
  </si>
  <si>
    <t>G</t>
  </si>
  <si>
    <t>H</t>
  </si>
  <si>
    <t>Sample in each reaction mix (µL):</t>
  </si>
  <si>
    <t>Step</t>
  </si>
  <si>
    <t>Temp (°C)</t>
  </si>
  <si>
    <t>Time (min)</t>
  </si>
  <si>
    <t>Cycles</t>
  </si>
  <si>
    <t>Machine IDs</t>
  </si>
  <si>
    <t>Targets</t>
  </si>
  <si>
    <t>Categories</t>
  </si>
  <si>
    <t>Target Macromolecules</t>
  </si>
  <si>
    <t>Control Templates</t>
  </si>
  <si>
    <t>Control Types</t>
  </si>
  <si>
    <t>Fluorophores</t>
  </si>
  <si>
    <t>Amplification Methods</t>
  </si>
  <si>
    <t>Assay Types</t>
  </si>
  <si>
    <t>Assays</t>
  </si>
  <si>
    <t>Hosts</t>
  </si>
  <si>
    <t>Zoo QX600</t>
  </si>
  <si>
    <t>Pathogen</t>
  </si>
  <si>
    <t>DNA</t>
  </si>
  <si>
    <t>Bio-Rad ddPCR Supermix for Probes</t>
  </si>
  <si>
    <t>Rare Mutation Detection</t>
  </si>
  <si>
    <t>Other</t>
  </si>
  <si>
    <t>Gene or Genomic Region</t>
  </si>
  <si>
    <t>Cy5</t>
  </si>
  <si>
    <t>Avian</t>
  </si>
  <si>
    <t>Internal Control</t>
  </si>
  <si>
    <t>Protein</t>
  </si>
  <si>
    <t>Cy5.5</t>
  </si>
  <si>
    <t>Swine</t>
  </si>
  <si>
    <t>ROX</t>
  </si>
  <si>
    <t>Multiple</t>
  </si>
  <si>
    <t>PMMoV</t>
  </si>
  <si>
    <t>ATTO 590</t>
  </si>
  <si>
    <t>Cy5/Cy5.5</t>
  </si>
  <si>
    <t>Human</t>
  </si>
  <si>
    <t>GTM GT-Digital Flu;SC2;RSV Wastewater Surveillance Panel v1.0 for the Bio-Rad QX600 (100735)</t>
  </si>
  <si>
    <t>GTM GT-Digital MeV WT Wastewater Surveillance Assay v1.0 for the QX200/QX600 (100840)</t>
  </si>
  <si>
    <t>Zoo Qiacuity 1</t>
  </si>
  <si>
    <t>-----------------------------</t>
  </si>
  <si>
    <t>GTM dPCR NVO;Mpox Assay Kit v1.0 for the QX200-BETA (100458)</t>
  </si>
  <si>
    <t>QIAcuity OneStep Advanced Probe Kit</t>
  </si>
  <si>
    <t>GTM dPCR NVO;Mpox Assay Kit v1.0 for the QX200-BETA (100458) plus GT-Digitial Mpox Clade I OPG210 ROX Add-On for the QX600 (100865)</t>
  </si>
  <si>
    <t>GTM dPCR Norovirus GI;GII Assay Kit for the Bio-Rad QX200 (100468)</t>
  </si>
  <si>
    <t>Bio-Rad Influenza A (M), B (NEP/NS1), Human (RNAse P) Triplex (dEXD84844642)</t>
  </si>
  <si>
    <t>Bio-Rad SARS-CoV-2 (HVdel69-70) (dMDS944624402)</t>
  </si>
  <si>
    <t>Bio-Rad SARS-CoV-2 (N1, N2) Duplex (dEXD15704188)</t>
  </si>
  <si>
    <t>Bio-Rad SARS-CoV-2 (N1, N2), BRSV (N) Triplex (dEXD41434415)</t>
  </si>
  <si>
    <t>Bio-Rad SARS-CoV-2 (N1, N2), Human (RNAse P) Triplex (dEXD28563542)</t>
  </si>
  <si>
    <t>Bio-Rad SARS-CoV-2 (N1) (dEXD54243734)</t>
  </si>
  <si>
    <t>Bio-Rad SARS-CoV-2 (N2) (dEXD28513507)</t>
  </si>
  <si>
    <t>Bio-Rad Variant SARS-CoV-2 Multiplex (dEXD15841942)</t>
  </si>
  <si>
    <t>GTM GT-Digital infA;infB Assay Kit v1.1 for the QIAcuity-BETA (100519-1.1)</t>
  </si>
  <si>
    <t>GTM GT-Digital MeV WT M Gene WW Surveillance Assay v1.0 for the Qiacuity-BETA (101035)</t>
  </si>
  <si>
    <t>SARS-CoV-2 (N1)</t>
  </si>
  <si>
    <t>SARS-CoV-2 (N2)</t>
  </si>
  <si>
    <t>SARS-CoV-2 (SC2)</t>
  </si>
  <si>
    <t>Influenza Virus A (M)</t>
  </si>
  <si>
    <t>Influenza Virus B (NEP/NS1)</t>
  </si>
  <si>
    <t>Human Immunodeficiency Virus 1</t>
  </si>
  <si>
    <t>Human Immunodeficiency Virus 2</t>
  </si>
  <si>
    <t>Non-Variola Orthopoxviruses</t>
  </si>
  <si>
    <t>Pepper Mild Mottle Virus</t>
  </si>
  <si>
    <t>Human (RNase P)</t>
  </si>
  <si>
    <t>Direct Quantification (dPCR; ddPCR)</t>
  </si>
  <si>
    <t>Indirect Quantification (real-time PCR)</t>
  </si>
  <si>
    <t>Norovirus GI, Human (ORF1_2)</t>
  </si>
  <si>
    <t>Norovirus GII, Human (ORF1_2)</t>
  </si>
  <si>
    <t>Oligomer</t>
  </si>
  <si>
    <t>Influenza A</t>
  </si>
  <si>
    <t>Influenza B</t>
  </si>
  <si>
    <t>Assay Method</t>
  </si>
  <si>
    <t>Assay Method Lot ID</t>
  </si>
  <si>
    <t>Amplification Method</t>
  </si>
  <si>
    <t>Amplification Method Lot ID</t>
  </si>
  <si>
    <t>Mpox Virus Clade I (F3L)</t>
  </si>
  <si>
    <t>Mpox Virus Clade II (F3L)</t>
  </si>
  <si>
    <t>Measles Virus, Wild-Type (N)</t>
  </si>
  <si>
    <t>GTM GT-Digital MeV Cy5 WW SurvAssay for QIAcuity v1.0 (100831)</t>
  </si>
  <si>
    <t>----------------------------- DROPLET DIGITAL ASSAYS -----------------------------</t>
  </si>
  <si>
    <t>----------------------------- DIGITAL ASSAYS -----------------------------</t>
  </si>
  <si>
    <t>GTM GT-Digital Norovirus GI;Norovirus GII Assay Kit for the QIAcuity Digital PCR System v1.1 (100469-1.1)</t>
  </si>
  <si>
    <t>GTM GT-Digital NVO;Mpox Assay Kit for the QIAcuity Digital PCR System v1.1 - BETA (100459-1.1)</t>
  </si>
  <si>
    <t>GTM GT-Digital C. auris;C. jejuni Assay Kit for the QIAcuity Digital PCR System v1.1 - BETA (100529-1.1)</t>
  </si>
  <si>
    <t>GTM GT-Digital Flu;SC2;RSV WW Surveillance Panel for QIAcuity R001 (100740)</t>
  </si>
  <si>
    <t>GTM GT-Digital B. pertussis WW Surv Assay v1.0 for the QIAcuity R001 (101125)</t>
  </si>
  <si>
    <t>Measles Virus, Wild-Type (M)</t>
  </si>
  <si>
    <t>Analysis Software Versions</t>
  </si>
  <si>
    <t>Pertussis, Bordetella</t>
  </si>
  <si>
    <t>Negative Control Wells</t>
  </si>
  <si>
    <t>Positive Control Template</t>
  </si>
  <si>
    <t>Positive Control Wells</t>
  </si>
  <si>
    <t>Fluorophore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</si>
  <si>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</si>
  <si>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</si>
  <si>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</si>
  <si>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</si>
  <si>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</si>
  <si>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</si>
  <si>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</si>
  <si>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</si>
  <si>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</si>
  <si>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</si>
  <si>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</si>
  <si>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</si>
  <si>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</si>
  <si>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</si>
  <si>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</si>
  <si>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</si>
  <si>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</si>
  <si>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</si>
  <si>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</si>
  <si>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</si>
  <si>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</si>
  <si>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</si>
  <si>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</si>
  <si>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</si>
  <si>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</si>
  <si>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</si>
  <si>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</si>
  <si>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</si>
  <si>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</si>
  <si>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</si>
  <si>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</si>
  <si>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</si>
  <si>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</si>
  <si>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</si>
  <si>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</si>
  <si>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</si>
  <si>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Well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</si>
  <si>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</si>
  <si>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</si>
  <si>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</si>
  <si>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</si>
  <si>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</si>
  <si>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</si>
  <si>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</si>
  <si>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</si>
  <si>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</si>
  <si>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</si>
  <si>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</si>
  <si>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</si>
  <si>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</si>
  <si>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</si>
  <si>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</si>
  <si>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</si>
  <si>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</si>
  <si>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</si>
  <si>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</si>
  <si>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</si>
  <si>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</si>
  <si>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</si>
  <si>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</si>
  <si>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</si>
  <si>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</si>
  <si>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</si>
  <si>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</si>
  <si>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</si>
  <si>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</si>
  <si>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</si>
  <si>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</si>
  <si>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</si>
  <si>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</si>
  <si>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F10</t>
  </si>
  <si>
    <t>F11</t>
  </si>
  <si>
    <t>F12</t>
  </si>
  <si>
    <t>G01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</si>
  <si>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</si>
  <si>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</si>
  <si>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</si>
  <si>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</si>
  <si>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</si>
  <si>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</si>
  <si>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</si>
  <si>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</si>
  <si>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</si>
  <si>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</si>
  <si>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</si>
  <si>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</si>
  <si>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</si>
  <si>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</si>
  <si>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</si>
  <si>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</si>
  <si>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</si>
  <si>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</si>
  <si>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</si>
  <si>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</si>
  <si>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</si>
  <si>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</si>
  <si>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</si>
  <si>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Assays per reaction:</t>
  </si>
  <si>
    <t>Water (µL):</t>
  </si>
  <si>
    <t>Supermix (µL):</t>
  </si>
  <si>
    <t>Assay (20X) (µL):</t>
  </si>
  <si>
    <t>PCR Reaction Conditions</t>
  </si>
  <si>
    <t>Reverse Transcription (RT)</t>
  </si>
  <si>
    <t>Anneal &amp; Extend</t>
  </si>
  <si>
    <t>MASTERmix in each reaction mix (µL):</t>
  </si>
  <si>
    <t>Samples on Plate:</t>
  </si>
  <si>
    <t>S1</t>
  </si>
  <si>
    <t>S2</t>
  </si>
  <si>
    <t>S3</t>
  </si>
  <si>
    <t>S4</t>
  </si>
  <si>
    <t>S5</t>
  </si>
  <si>
    <t>S6</t>
  </si>
  <si>
    <t>S7</t>
  </si>
  <si>
    <t>S8</t>
  </si>
  <si>
    <t>RT (µL):</t>
  </si>
  <si>
    <t>Total Volume (µL):</t>
  </si>
  <si>
    <t>Single Reaction</t>
  </si>
  <si>
    <t>Plate</t>
  </si>
  <si>
    <t>S11</t>
  </si>
  <si>
    <t>S12</t>
  </si>
  <si>
    <t>Enzyme Activation</t>
  </si>
  <si>
    <t>Denaturation</t>
  </si>
  <si>
    <t>2. Use the values in the Plate column of this panel to set up your MASTERmix for all reactions on this plate (including positive and negative controls).</t>
  </si>
  <si>
    <t>&lt;- This is the number of assays you're adding. You don't need to change this.</t>
  </si>
  <si>
    <t>&lt;- Do not change!</t>
  </si>
  <si>
    <t>This value auto-updates as you add sample and control IDs to the plate map above. It ensures a correct MASTERmix volume.</t>
  </si>
  <si>
    <t>These values are used to adjust the MASTERmix and reaction volumes so they can be pipetted effectively.</t>
  </si>
  <si>
    <t>Transfer Adjustment:</t>
  </si>
  <si>
    <t>MASTERmix Adjustment:</t>
  </si>
  <si>
    <t>S9</t>
  </si>
  <si>
    <t>S10</t>
  </si>
  <si>
    <t>Vol to each well of the partition plate (µL):</t>
  </si>
  <si>
    <t>Total vol per reaction mix (µL):</t>
  </si>
  <si>
    <t>PPC</t>
  </si>
  <si>
    <t>PNC</t>
  </si>
  <si>
    <t>EBLANK</t>
  </si>
  <si>
    <t>This value auto-updates as you add sample and control IDs to the plate map above.</t>
  </si>
  <si>
    <t>Samples in Block:</t>
  </si>
  <si>
    <t>This value auto-updates as you add sample and control IDs to the Plate Map sheet. It ensures a correct MASTERmix volume.</t>
  </si>
  <si>
    <t>3. Add this volume of MASTERmix (as prepared above) to each well of the PrePlate.</t>
  </si>
  <si>
    <t>4. Add this volume of sample (or control, or water for NTC) to each well of the PrePlate.</t>
  </si>
  <si>
    <t>&lt;- This is the total volume of each reaction in the PrePlate. There is a little extra volume to make sure you can pipette effectively in step 5.</t>
  </si>
  <si>
    <t>5. Transfer this vol of reaction from each well of the PrePlate to each well of the Partition Plate.</t>
  </si>
  <si>
    <r>
      <t xml:space="preserve">IMPORTANT! Do not change any of the values in these panels manually! </t>
    </r>
    <r>
      <rPr>
        <sz val="24"/>
        <color theme="1"/>
        <rFont val="Arial"/>
        <family val="2"/>
      </rPr>
      <t>They are calculated from the number of plate wells that contain sample or control IDs. They will auto-update as you populate the Plate Map sheet.</t>
    </r>
  </si>
  <si>
    <t>Respiratory Multiplex Block</t>
  </si>
  <si>
    <t>Norovirus Block</t>
  </si>
  <si>
    <t>Pertussis Block</t>
  </si>
  <si>
    <t>Measles Block</t>
  </si>
  <si>
    <t>Instructions</t>
  </si>
  <si>
    <r>
      <t xml:space="preserve">1. Each of the 4 assays will run on a different block of the plate, as shown above. </t>
    </r>
    <r>
      <rPr>
        <b/>
        <sz val="24"/>
        <color theme="1"/>
        <rFont val="Arial"/>
        <family val="2"/>
      </rPr>
      <t xml:space="preserve">Replace the generic sample IDs (S1-S12) with the sample IDs for this run. </t>
    </r>
    <r>
      <rPr>
        <sz val="24"/>
        <color theme="1"/>
        <rFont val="Arial"/>
        <family val="2"/>
      </rPr>
      <t>It is recommended to keep the extraction blank (EBLANK) and PCR control wells (PPC &amp; PNC) unchanged.</t>
    </r>
  </si>
  <si>
    <r>
      <t xml:space="preserve">1. Enter the sample and control IDs in the Plate Map sheet. </t>
    </r>
    <r>
      <rPr>
        <sz val="18"/>
        <color theme="1"/>
        <rFont val="Arial"/>
        <family val="2"/>
        <scheme val="minor"/>
      </rPr>
      <t>This determines the total reactions needed, and the volumes of each reagent to add, so it must be done FIRST.</t>
    </r>
  </si>
  <si>
    <t>Block Comment</t>
  </si>
  <si>
    <r>
      <t xml:space="preserve">The values that you enter here will automatically formulate each of the 4 MASTERmixes that you need to make. Those formulations, as well as the rest of the preparation steps, can be found on the ASSAY sheets. </t>
    </r>
    <r>
      <rPr>
        <b/>
        <sz val="22"/>
        <color theme="1"/>
        <rFont val="Arial"/>
        <family val="2"/>
      </rPr>
      <t>You must enter your sample IDs on this sheet first or these formulations will be incorrect!</t>
    </r>
  </si>
  <si>
    <t>Respiratory Syncytial Virus, Bovine</t>
  </si>
  <si>
    <t>Respiratory Syncytial Virus, Human (G)</t>
  </si>
  <si>
    <t>10 sec</t>
  </si>
  <si>
    <t>Quantification</t>
  </si>
  <si>
    <t>JAM_Q000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</si>
</sst>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2"/>
      <color theme="1"/>
      <name val="Arial"/>
      <scheme val="minor"/>
    </font>
    <font>
      <sz val="12"/>
      <color theme="1"/>
      <name val="Arial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Arial"/>
      <family val="2"/>
    </font>
    <font>
      <b/>
      <sz val="18"/>
      <color theme="1"/>
      <name val="Calibri"/>
      <family val="2"/>
    </font>
    <font>
      <sz val="12"/>
      <name val="Arial"/>
      <family val="2"/>
    </font>
    <font>
      <b/>
      <sz val="16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sz val="14"/>
      <color theme="1"/>
      <name val="Arial (Body)"/>
    </font>
    <font>
      <b/>
      <sz val="16"/>
      <color theme="1"/>
      <name val="Arial"/>
      <family val="2"/>
      <scheme val="minor"/>
    </font>
    <font>
      <b/>
      <sz val="16"/>
      <color theme="0"/>
      <name val="Arial"/>
      <family val="2"/>
      <scheme val="minor"/>
    </font>
    <font>
      <sz val="16"/>
      <color theme="1"/>
      <name val="Arial"/>
      <family val="2"/>
      <scheme val="minor"/>
    </font>
    <font>
      <sz val="16"/>
      <color theme="1"/>
      <name val="Arial (Body)"/>
    </font>
    <font>
      <sz val="16"/>
      <name val="Arial"/>
      <family val="2"/>
    </font>
    <font>
      <sz val="18"/>
      <color theme="1"/>
      <name val="Arial"/>
      <family val="2"/>
      <scheme val="minor"/>
    </font>
    <font>
      <i/>
      <sz val="16"/>
      <color theme="1"/>
      <name val="Arial"/>
      <family val="2"/>
      <scheme val="minor"/>
    </font>
    <font>
      <sz val="16"/>
      <color theme="0"/>
      <name val="Arial"/>
      <family val="2"/>
      <scheme val="minor"/>
    </font>
    <font>
      <b/>
      <sz val="18"/>
      <color theme="1"/>
      <name val="Arial"/>
      <family val="2"/>
      <scheme val="minor"/>
    </font>
    <font>
      <sz val="20"/>
      <color theme="1"/>
      <name val="Arial"/>
      <family val="2"/>
    </font>
    <font>
      <b/>
      <sz val="20"/>
      <color theme="1"/>
      <name val="Arial"/>
      <family val="2"/>
    </font>
    <font>
      <b/>
      <sz val="24"/>
      <color theme="1"/>
      <name val="Arial"/>
      <family val="2"/>
    </font>
    <font>
      <sz val="24"/>
      <color theme="1"/>
      <name val="Arial"/>
      <family val="2"/>
    </font>
    <font>
      <i/>
      <sz val="14"/>
      <color theme="1" tint="0.34998626667073579"/>
      <name val="Arial"/>
      <family val="2"/>
      <scheme val="minor"/>
    </font>
    <font>
      <sz val="36"/>
      <color theme="1"/>
      <name val="Arial"/>
      <family val="2"/>
    </font>
    <font>
      <i/>
      <sz val="16"/>
      <color theme="1"/>
      <name val="Arial"/>
      <family val="2"/>
    </font>
    <font>
      <sz val="15"/>
      <color theme="1"/>
      <name val="Arial"/>
      <family val="2"/>
      <scheme val="minor"/>
    </font>
    <font>
      <i/>
      <sz val="16"/>
      <color theme="1"/>
      <name val="Calibri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b/>
      <sz val="24"/>
      <color theme="0"/>
      <name val="Arial"/>
      <family val="2"/>
      <scheme val="minor"/>
    </font>
    <font>
      <sz val="22"/>
      <color theme="1"/>
      <name val="Arial"/>
      <family val="2"/>
    </font>
    <font>
      <b/>
      <sz val="22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rgb="FFFFE598"/>
        <bgColor rgb="FFFFE59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rgb="FFDEEAF6"/>
      </patternFill>
    </fill>
    <fill>
      <patternFill patternType="solid">
        <fgColor theme="9" tint="-0.499984740745262"/>
        <bgColor rgb="FF00B0F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rgb="FFD8D8D8"/>
      </patternFill>
    </fill>
    <fill>
      <patternFill patternType="solid">
        <fgColor theme="0" tint="-0.14999847407452621"/>
        <bgColor rgb="FFF2F2F2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5" tint="0.79998168889431442"/>
        <bgColor rgb="FFD8D8D8"/>
      </patternFill>
    </fill>
    <fill>
      <patternFill patternType="solid">
        <fgColor theme="5" tint="0.59999389629810485"/>
        <bgColor rgb="FFD8D8D8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9" tint="0.79998168889431442"/>
        <bgColor rgb="FFD8D8D8"/>
      </patternFill>
    </fill>
    <fill>
      <patternFill patternType="solid">
        <fgColor theme="9" tint="0.59999389629810485"/>
        <bgColor rgb="FFD8D8D8"/>
      </patternFill>
    </fill>
    <fill>
      <patternFill patternType="solid">
        <fgColor theme="9" tint="0.59999389629810485"/>
        <bgColor rgb="FFF2F2F2"/>
      </patternFill>
    </fill>
    <fill>
      <patternFill patternType="solid">
        <fgColor theme="8" tint="0.79998168889431442"/>
        <bgColor rgb="FFF2F2F2"/>
      </patternFill>
    </fill>
    <fill>
      <patternFill patternType="solid">
        <fgColor theme="8" tint="0.79998168889431442"/>
        <bgColor rgb="FFD8D8D8"/>
      </patternFill>
    </fill>
    <fill>
      <patternFill patternType="solid">
        <fgColor theme="8" tint="0.59999389629810485"/>
        <bgColor rgb="FFD8D8D8"/>
      </patternFill>
    </fill>
    <fill>
      <patternFill patternType="solid">
        <fgColor theme="8" tint="0.59999389629810485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theme="7" tint="0.59999389629810485"/>
        <bgColor rgb="FFD8D8D8"/>
      </patternFill>
    </fill>
    <fill>
      <patternFill patternType="solid">
        <fgColor theme="7" tint="0.39997558519241921"/>
        <bgColor rgb="FFD8D8D8"/>
      </patternFill>
    </fill>
    <fill>
      <patternFill patternType="solid">
        <fgColor theme="7" tint="0.39997558519241921"/>
        <b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499984740745262"/>
        <bgColor rgb="FFDEEAF6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ED8FF"/>
        <bgColor indexed="64"/>
      </patternFill>
    </fill>
  </fills>
  <borders count="3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8">
    <xf numFmtId="0" fontId="0" fillId="0" borderId="0" xfId="0"/>
    <xf numFmtId="0" fontId="3" fillId="0" borderId="0" xfId="0" applyFont="1" applyAlignment="1">
      <alignment horizontal="left" vertical="center"/>
    </xf>
    <xf numFmtId="0" fontId="3" fillId="0" borderId="0" xfId="0" applyFont="1"/>
    <xf numFmtId="0" fontId="4" fillId="0" borderId="0" xfId="0" applyFont="1"/>
    <xf numFmtId="0" fontId="5" fillId="2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4" borderId="1" xfId="0" applyFont="1" applyFill="1" applyBorder="1"/>
    <xf numFmtId="0" fontId="4" fillId="0" borderId="0" xfId="0" quotePrefix="1" applyFont="1"/>
    <xf numFmtId="0" fontId="10" fillId="0" borderId="0" xfId="0" applyFont="1"/>
    <xf numFmtId="0" fontId="9" fillId="4" borderId="3" xfId="0" applyFont="1" applyFill="1" applyBorder="1"/>
    <xf numFmtId="0" fontId="4" fillId="6" borderId="0" xfId="0" applyFont="1" applyFill="1"/>
    <xf numFmtId="0" fontId="9" fillId="4" borderId="3" xfId="0" applyFont="1" applyFill="1" applyBorder="1" applyAlignment="1">
      <alignment horizontal="left" vertical="center"/>
    </xf>
    <xf numFmtId="0" fontId="4" fillId="0" borderId="0" xfId="0" quotePrefix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64" fontId="4" fillId="0" borderId="0" xfId="0" quotePrefix="1" applyNumberFormat="1" applyFont="1" applyAlignment="1">
      <alignment horizontal="left" vertical="center"/>
    </xf>
    <xf numFmtId="0" fontId="6" fillId="0" borderId="0" xfId="0" applyFont="1"/>
    <xf numFmtId="0" fontId="4" fillId="7" borderId="0" xfId="0" quotePrefix="1" applyFont="1" applyFill="1"/>
    <xf numFmtId="0" fontId="4" fillId="8" borderId="0" xfId="0" quotePrefix="1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3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1" fillId="9" borderId="12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 wrapText="1"/>
    </xf>
    <xf numFmtId="0" fontId="11" fillId="6" borderId="13" xfId="0" applyFont="1" applyFill="1" applyBorder="1" applyAlignment="1">
      <alignment horizontal="center" vertical="center" wrapText="1"/>
    </xf>
    <xf numFmtId="0" fontId="11" fillId="6" borderId="14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0" xfId="0" applyFont="1"/>
    <xf numFmtId="0" fontId="12" fillId="0" borderId="0" xfId="0" applyFont="1" applyAlignment="1">
      <alignment vertical="center" wrapText="1"/>
    </xf>
    <xf numFmtId="0" fontId="15" fillId="12" borderId="7" xfId="0" applyFont="1" applyFill="1" applyBorder="1" applyAlignment="1">
      <alignment horizontal="center" vertical="center"/>
    </xf>
    <xf numFmtId="0" fontId="16" fillId="11" borderId="9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3" xfId="0" applyFont="1" applyBorder="1"/>
    <xf numFmtId="0" fontId="16" fillId="0" borderId="0" xfId="0" applyFont="1" applyAlignment="1">
      <alignment horizontal="right" vertical="center"/>
    </xf>
    <xf numFmtId="0" fontId="20" fillId="2" borderId="5" xfId="0" applyFont="1" applyFill="1" applyBorder="1" applyAlignment="1">
      <alignment horizontal="left" vertical="center"/>
    </xf>
    <xf numFmtId="0" fontId="20" fillId="2" borderId="7" xfId="0" applyFont="1" applyFill="1" applyBorder="1" applyAlignment="1">
      <alignment vertical="center"/>
    </xf>
    <xf numFmtId="0" fontId="20" fillId="2" borderId="18" xfId="0" applyFont="1" applyFill="1" applyBorder="1" applyAlignment="1">
      <alignment horizontal="left" vertical="center"/>
    </xf>
    <xf numFmtId="0" fontId="20" fillId="2" borderId="19" xfId="0" applyFont="1" applyFill="1" applyBorder="1" applyAlignment="1">
      <alignment horizontal="left" vertical="center"/>
    </xf>
    <xf numFmtId="0" fontId="1" fillId="0" borderId="0" xfId="0" applyFont="1"/>
    <xf numFmtId="0" fontId="14" fillId="5" borderId="3" xfId="0" applyFont="1" applyFill="1" applyBorder="1" applyAlignment="1">
      <alignment horizontal="center" vertical="center"/>
    </xf>
    <xf numFmtId="0" fontId="18" fillId="14" borderId="6" xfId="0" applyFont="1" applyFill="1" applyBorder="1"/>
    <xf numFmtId="0" fontId="7" fillId="14" borderId="7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 wrapText="1"/>
    </xf>
    <xf numFmtId="0" fontId="5" fillId="15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left" vertical="center"/>
    </xf>
    <xf numFmtId="0" fontId="16" fillId="6" borderId="9" xfId="0" applyFont="1" applyFill="1" applyBorder="1" applyAlignment="1">
      <alignment horizontal="left" vertical="center"/>
    </xf>
    <xf numFmtId="0" fontId="30" fillId="13" borderId="5" xfId="0" applyFont="1" applyFill="1" applyBorder="1" applyAlignment="1">
      <alignment horizontal="right" vertical="center"/>
    </xf>
    <xf numFmtId="0" fontId="23" fillId="13" borderId="6" xfId="0" applyFont="1" applyFill="1" applyBorder="1" applyAlignment="1">
      <alignment horizontal="center" vertical="center"/>
    </xf>
    <xf numFmtId="0" fontId="30" fillId="13" borderId="10" xfId="0" applyFont="1" applyFill="1" applyBorder="1" applyAlignment="1">
      <alignment horizontal="right" vertical="center"/>
    </xf>
    <xf numFmtId="0" fontId="23" fillId="13" borderId="4" xfId="0" applyFont="1" applyFill="1" applyBorder="1" applyAlignment="1">
      <alignment horizontal="center" vertical="center"/>
    </xf>
    <xf numFmtId="0" fontId="0" fillId="0" borderId="3" xfId="0" applyBorder="1"/>
    <xf numFmtId="0" fontId="31" fillId="14" borderId="5" xfId="0" applyFont="1" applyFill="1" applyBorder="1" applyAlignment="1">
      <alignment horizontal="center" vertical="center"/>
    </xf>
    <xf numFmtId="0" fontId="20" fillId="5" borderId="8" xfId="0" applyFont="1" applyFill="1" applyBorder="1" applyAlignment="1">
      <alignment horizontal="center" vertical="center"/>
    </xf>
    <xf numFmtId="0" fontId="20" fillId="5" borderId="10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4" fillId="11" borderId="9" xfId="0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4" fillId="11" borderId="11" xfId="0" applyFont="1" applyFill="1" applyBorder="1" applyAlignment="1">
      <alignment horizontal="center" vertical="center"/>
    </xf>
    <xf numFmtId="0" fontId="11" fillId="9" borderId="5" xfId="0" applyFont="1" applyFill="1" applyBorder="1" applyAlignment="1">
      <alignment horizontal="center" vertical="center" wrapText="1"/>
    </xf>
    <xf numFmtId="0" fontId="11" fillId="9" borderId="6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horizontal="center" vertical="center" wrapText="1"/>
    </xf>
    <xf numFmtId="0" fontId="11" fillId="6" borderId="7" xfId="0" applyFont="1" applyFill="1" applyBorder="1" applyAlignment="1">
      <alignment horizontal="center" vertical="center" wrapText="1"/>
    </xf>
    <xf numFmtId="0" fontId="5" fillId="17" borderId="2" xfId="0" applyFont="1" applyFill="1" applyBorder="1" applyAlignment="1">
      <alignment horizontal="center" vertical="center"/>
    </xf>
    <xf numFmtId="0" fontId="5" fillId="18" borderId="2" xfId="0" applyFont="1" applyFill="1" applyBorder="1" applyAlignment="1">
      <alignment horizontal="center" vertical="center"/>
    </xf>
    <xf numFmtId="0" fontId="5" fillId="17" borderId="16" xfId="0" applyFon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5" fillId="19" borderId="16" xfId="0" applyFont="1" applyFill="1" applyBorder="1" applyAlignment="1">
      <alignment horizontal="center" vertical="center"/>
    </xf>
    <xf numFmtId="0" fontId="5" fillId="21" borderId="2" xfId="0" applyFont="1" applyFill="1" applyBorder="1" applyAlignment="1">
      <alignment horizontal="center" vertical="center"/>
    </xf>
    <xf numFmtId="0" fontId="5" fillId="22" borderId="2" xfId="0" applyFont="1" applyFill="1" applyBorder="1" applyAlignment="1">
      <alignment horizontal="center" vertical="center"/>
    </xf>
    <xf numFmtId="0" fontId="5" fillId="21" borderId="16" xfId="0" applyFont="1" applyFill="1" applyBorder="1" applyAlignment="1">
      <alignment horizontal="center" vertical="center"/>
    </xf>
    <xf numFmtId="0" fontId="5" fillId="2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3" borderId="16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5" fillId="26" borderId="2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5" fillId="27" borderId="2" xfId="0" applyFont="1" applyFill="1" applyBorder="1" applyAlignment="1">
      <alignment horizontal="center" vertical="center"/>
    </xf>
    <xf numFmtId="0" fontId="5" fillId="28" borderId="2" xfId="0" applyFont="1" applyFill="1" applyBorder="1" applyAlignment="1">
      <alignment horizontal="center" vertical="center"/>
    </xf>
    <xf numFmtId="0" fontId="5" fillId="27" borderId="16" xfId="0" applyFont="1" applyFill="1" applyBorder="1" applyAlignment="1">
      <alignment horizontal="center" vertical="center"/>
    </xf>
    <xf numFmtId="0" fontId="5" fillId="29" borderId="2" xfId="0" applyFont="1" applyFill="1" applyBorder="1" applyAlignment="1">
      <alignment horizontal="center" vertical="center"/>
    </xf>
    <xf numFmtId="0" fontId="5" fillId="30" borderId="2" xfId="0" applyFont="1" applyFill="1" applyBorder="1" applyAlignment="1">
      <alignment horizontal="center" vertical="center"/>
    </xf>
    <xf numFmtId="0" fontId="5" fillId="29" borderId="16" xfId="0" applyFont="1" applyFill="1" applyBorder="1" applyAlignment="1">
      <alignment horizontal="center" vertical="center"/>
    </xf>
    <xf numFmtId="0" fontId="5" fillId="31" borderId="2" xfId="0" applyFont="1" applyFill="1" applyBorder="1" applyAlignment="1">
      <alignment horizontal="center" vertical="center"/>
    </xf>
    <xf numFmtId="0" fontId="5" fillId="32" borderId="2" xfId="0" applyFont="1" applyFill="1" applyBorder="1" applyAlignment="1">
      <alignment horizontal="center" vertical="center"/>
    </xf>
    <xf numFmtId="0" fontId="5" fillId="31" borderId="16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left" vertical="center"/>
    </xf>
    <xf numFmtId="0" fontId="16" fillId="22" borderId="8" xfId="0" applyFont="1" applyFill="1" applyBorder="1" applyAlignment="1">
      <alignment horizontal="left" vertical="center"/>
    </xf>
    <xf numFmtId="0" fontId="16" fillId="22" borderId="9" xfId="0" applyFont="1" applyFill="1" applyBorder="1" applyAlignment="1">
      <alignment horizontal="left" vertical="center"/>
    </xf>
    <xf numFmtId="0" fontId="16" fillId="36" borderId="8" xfId="0" applyFont="1" applyFill="1" applyBorder="1" applyAlignment="1">
      <alignment horizontal="left" vertical="center"/>
    </xf>
    <xf numFmtId="0" fontId="16" fillId="36" borderId="9" xfId="0" applyFont="1" applyFill="1" applyBorder="1" applyAlignment="1">
      <alignment horizontal="left" vertical="center"/>
    </xf>
    <xf numFmtId="0" fontId="16" fillId="26" borderId="8" xfId="0" applyFont="1" applyFill="1" applyBorder="1" applyAlignment="1">
      <alignment horizontal="left" vertical="center"/>
    </xf>
    <xf numFmtId="14" fontId="16" fillId="26" borderId="9" xfId="0" applyNumberFormat="1" applyFont="1" applyFill="1" applyBorder="1" applyAlignment="1">
      <alignment horizontal="left" vertical="center"/>
    </xf>
    <xf numFmtId="0" fontId="15" fillId="37" borderId="5" xfId="0" applyFont="1" applyFill="1" applyBorder="1" applyAlignment="1">
      <alignment horizontal="center" vertical="center"/>
    </xf>
    <xf numFmtId="0" fontId="21" fillId="37" borderId="7" xfId="0" applyFont="1" applyFill="1" applyBorder="1" applyAlignment="1">
      <alignment horizontal="left" vertical="center"/>
    </xf>
    <xf numFmtId="0" fontId="15" fillId="37" borderId="8" xfId="0" applyFont="1" applyFill="1" applyBorder="1" applyAlignment="1">
      <alignment horizontal="center" vertical="center"/>
    </xf>
    <xf numFmtId="0" fontId="15" fillId="38" borderId="3" xfId="0" applyFont="1" applyFill="1" applyBorder="1" applyAlignment="1">
      <alignment horizontal="center" vertical="center"/>
    </xf>
    <xf numFmtId="0" fontId="21" fillId="37" borderId="9" xfId="0" applyFont="1" applyFill="1" applyBorder="1" applyAlignment="1">
      <alignment horizontal="left" vertical="center"/>
    </xf>
    <xf numFmtId="0" fontId="16" fillId="10" borderId="8" xfId="0" applyFont="1" applyFill="1" applyBorder="1" applyAlignment="1">
      <alignment horizontal="left" vertical="center"/>
    </xf>
    <xf numFmtId="0" fontId="16" fillId="39" borderId="3" xfId="0" applyFont="1" applyFill="1" applyBorder="1" applyAlignment="1">
      <alignment horizontal="center" vertical="center"/>
    </xf>
    <xf numFmtId="0" fontId="16" fillId="10" borderId="9" xfId="0" applyFont="1" applyFill="1" applyBorder="1" applyAlignment="1">
      <alignment horizontal="left" vertical="center"/>
    </xf>
    <xf numFmtId="0" fontId="16" fillId="39" borderId="21" xfId="0" applyFont="1" applyFill="1" applyBorder="1" applyAlignment="1">
      <alignment horizontal="center" vertical="center"/>
    </xf>
    <xf numFmtId="0" fontId="16" fillId="39" borderId="22" xfId="0" applyFont="1" applyFill="1" applyBorder="1" applyAlignment="1">
      <alignment horizontal="center" vertical="center"/>
    </xf>
    <xf numFmtId="0" fontId="16" fillId="39" borderId="24" xfId="0" applyFont="1" applyFill="1" applyBorder="1" applyAlignment="1">
      <alignment horizontal="center" vertical="center"/>
    </xf>
    <xf numFmtId="0" fontId="16" fillId="39" borderId="20" xfId="0" applyFont="1" applyFill="1" applyBorder="1" applyAlignment="1">
      <alignment horizontal="center" vertical="center"/>
    </xf>
    <xf numFmtId="0" fontId="20" fillId="33" borderId="8" xfId="0" applyFont="1" applyFill="1" applyBorder="1" applyAlignment="1">
      <alignment horizontal="left" vertical="center"/>
    </xf>
    <xf numFmtId="0" fontId="16" fillId="33" borderId="3" xfId="0" applyFont="1" applyFill="1" applyBorder="1" applyAlignment="1">
      <alignment horizontal="center" vertical="center"/>
    </xf>
    <xf numFmtId="0" fontId="16" fillId="33" borderId="9" xfId="0" applyFont="1" applyFill="1" applyBorder="1" applyAlignment="1">
      <alignment horizontal="left" vertical="center"/>
    </xf>
    <xf numFmtId="0" fontId="16" fillId="33" borderId="8" xfId="0" applyFont="1" applyFill="1" applyBorder="1" applyAlignment="1">
      <alignment horizontal="left" vertical="center"/>
    </xf>
    <xf numFmtId="0" fontId="16" fillId="33" borderId="10" xfId="0" applyFont="1" applyFill="1" applyBorder="1" applyAlignment="1">
      <alignment horizontal="left" vertical="center"/>
    </xf>
    <xf numFmtId="0" fontId="16" fillId="33" borderId="4" xfId="0" applyFont="1" applyFill="1" applyBorder="1" applyAlignment="1">
      <alignment horizontal="right" vertical="center"/>
    </xf>
    <xf numFmtId="0" fontId="16" fillId="33" borderId="4" xfId="0" applyFont="1" applyFill="1" applyBorder="1" applyAlignment="1">
      <alignment horizontal="center" vertical="center"/>
    </xf>
    <xf numFmtId="0" fontId="16" fillId="33" borderId="11" xfId="0" applyFont="1" applyFill="1" applyBorder="1" applyAlignment="1">
      <alignment horizontal="left" vertical="center"/>
    </xf>
    <xf numFmtId="164" fontId="16" fillId="22" borderId="9" xfId="0" applyNumberFormat="1" applyFont="1" applyFill="1" applyBorder="1" applyAlignment="1">
      <alignment horizontal="left" vertical="center"/>
    </xf>
    <xf numFmtId="0" fontId="16" fillId="22" borderId="18" xfId="0" applyFont="1" applyFill="1" applyBorder="1" applyAlignment="1">
      <alignment horizontal="left" vertical="center"/>
    </xf>
    <xf numFmtId="0" fontId="16" fillId="22" borderId="19" xfId="0" applyFont="1" applyFill="1" applyBorder="1" applyAlignment="1">
      <alignment horizontal="left" vertical="center"/>
    </xf>
    <xf numFmtId="0" fontId="15" fillId="38" borderId="6" xfId="0" applyFont="1" applyFill="1" applyBorder="1" applyAlignment="1">
      <alignment horizontal="center" vertical="center"/>
    </xf>
    <xf numFmtId="0" fontId="16" fillId="6" borderId="10" xfId="0" applyFont="1" applyFill="1" applyBorder="1" applyAlignment="1">
      <alignment horizontal="left" vertical="center"/>
    </xf>
    <xf numFmtId="0" fontId="12" fillId="6" borderId="9" xfId="0" applyFont="1" applyFill="1" applyBorder="1" applyAlignment="1">
      <alignment horizontal="left" vertical="center"/>
    </xf>
    <xf numFmtId="0" fontId="12" fillId="6" borderId="11" xfId="0" applyFont="1" applyFill="1" applyBorder="1" applyAlignment="1">
      <alignment horizontal="left" vertical="center"/>
    </xf>
    <xf numFmtId="0" fontId="16" fillId="39" borderId="23" xfId="0" applyFont="1" applyFill="1" applyBorder="1" applyAlignment="1">
      <alignment horizontal="center" vertical="center" wrapText="1"/>
    </xf>
    <xf numFmtId="0" fontId="16" fillId="39" borderId="25" xfId="0" applyFont="1" applyFill="1" applyBorder="1" applyAlignment="1">
      <alignment horizontal="center" vertical="center" wrapText="1"/>
    </xf>
    <xf numFmtId="0" fontId="22" fillId="13" borderId="0" xfId="0" applyFont="1" applyFill="1" applyAlignment="1">
      <alignment horizontal="center" vertical="center"/>
    </xf>
    <xf numFmtId="0" fontId="0" fillId="0" borderId="8" xfId="0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2" fillId="13" borderId="5" xfId="0" applyFont="1" applyFill="1" applyBorder="1" applyAlignment="1">
      <alignment horizontal="right" vertical="center"/>
    </xf>
    <xf numFmtId="0" fontId="32" fillId="13" borderId="10" xfId="0" applyFont="1" applyFill="1" applyBorder="1" applyAlignment="1">
      <alignment horizontal="right" vertical="center"/>
    </xf>
    <xf numFmtId="0" fontId="28" fillId="13" borderId="6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24" fillId="13" borderId="6" xfId="0" applyFont="1" applyFill="1" applyBorder="1" applyAlignment="1">
      <alignment horizontal="center" vertical="center" wrapText="1"/>
    </xf>
    <xf numFmtId="0" fontId="24" fillId="13" borderId="4" xfId="0" applyFont="1" applyFill="1" applyBorder="1" applyAlignment="1">
      <alignment horizontal="center" vertical="center" wrapText="1"/>
    </xf>
    <xf numFmtId="0" fontId="29" fillId="13" borderId="6" xfId="0" applyFont="1" applyFill="1" applyBorder="1" applyAlignment="1">
      <alignment horizontal="center" vertical="center" wrapText="1"/>
    </xf>
    <xf numFmtId="0" fontId="29" fillId="13" borderId="7" xfId="0" applyFont="1" applyFill="1" applyBorder="1" applyAlignment="1">
      <alignment horizontal="center" vertical="center" wrapText="1"/>
    </xf>
    <xf numFmtId="0" fontId="29" fillId="13" borderId="4" xfId="0" applyFont="1" applyFill="1" applyBorder="1" applyAlignment="1">
      <alignment horizontal="center" vertical="center" wrapText="1"/>
    </xf>
    <xf numFmtId="0" fontId="29" fillId="13" borderId="11" xfId="0" applyFont="1" applyFill="1" applyBorder="1" applyAlignment="1">
      <alignment horizontal="center" vertical="center" wrapText="1"/>
    </xf>
    <xf numFmtId="0" fontId="34" fillId="41" borderId="12" xfId="0" applyFont="1" applyFill="1" applyBorder="1" applyAlignment="1">
      <alignment horizontal="center" vertical="center" wrapText="1"/>
    </xf>
    <xf numFmtId="0" fontId="34" fillId="41" borderId="13" xfId="0" applyFont="1" applyFill="1" applyBorder="1" applyAlignment="1">
      <alignment horizontal="center" vertical="center" wrapText="1"/>
    </xf>
    <xf numFmtId="0" fontId="34" fillId="41" borderId="14" xfId="0" applyFont="1" applyFill="1" applyBorder="1" applyAlignment="1">
      <alignment horizontal="center" vertical="center" wrapText="1"/>
    </xf>
    <xf numFmtId="0" fontId="26" fillId="42" borderId="30" xfId="0" applyFont="1" applyFill="1" applyBorder="1" applyAlignment="1">
      <alignment horizontal="center" vertical="center" wrapText="1"/>
    </xf>
    <xf numFmtId="0" fontId="26" fillId="42" borderId="22" xfId="0" applyFont="1" applyFill="1" applyBorder="1" applyAlignment="1">
      <alignment horizontal="center" vertical="center" wrapText="1"/>
    </xf>
    <xf numFmtId="0" fontId="26" fillId="42" borderId="31" xfId="0" applyFont="1" applyFill="1" applyBorder="1" applyAlignment="1">
      <alignment horizontal="center" vertical="center" wrapText="1"/>
    </xf>
    <xf numFmtId="0" fontId="26" fillId="42" borderId="8" xfId="0" applyFont="1" applyFill="1" applyBorder="1" applyAlignment="1">
      <alignment horizontal="center" vertical="center" wrapText="1"/>
    </xf>
    <xf numFmtId="0" fontId="26" fillId="42" borderId="3" xfId="0" applyFont="1" applyFill="1" applyBorder="1" applyAlignment="1">
      <alignment horizontal="center" vertical="center" wrapText="1"/>
    </xf>
    <xf numFmtId="0" fontId="26" fillId="42" borderId="9" xfId="0" applyFont="1" applyFill="1" applyBorder="1" applyAlignment="1">
      <alignment horizontal="center" vertical="center" wrapText="1"/>
    </xf>
    <xf numFmtId="0" fontId="35" fillId="42" borderId="8" xfId="0" applyFont="1" applyFill="1" applyBorder="1" applyAlignment="1">
      <alignment horizontal="center" vertical="center" wrapText="1"/>
    </xf>
    <xf numFmtId="0" fontId="35" fillId="42" borderId="3" xfId="0" applyFont="1" applyFill="1" applyBorder="1" applyAlignment="1">
      <alignment horizontal="center" vertical="center" wrapText="1"/>
    </xf>
    <xf numFmtId="0" fontId="35" fillId="42" borderId="9" xfId="0" applyFont="1" applyFill="1" applyBorder="1" applyAlignment="1">
      <alignment horizontal="center" vertical="center" wrapText="1"/>
    </xf>
    <xf numFmtId="0" fontId="35" fillId="42" borderId="10" xfId="0" applyFont="1" applyFill="1" applyBorder="1" applyAlignment="1">
      <alignment horizontal="center" vertical="center" wrapText="1"/>
    </xf>
    <xf numFmtId="0" fontId="35" fillId="42" borderId="4" xfId="0" applyFont="1" applyFill="1" applyBorder="1" applyAlignment="1">
      <alignment horizontal="center" vertical="center" wrapText="1"/>
    </xf>
    <xf numFmtId="0" fontId="35" fillId="42" borderId="11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22" fillId="10" borderId="0" xfId="0" applyFont="1" applyFill="1" applyAlignment="1">
      <alignment horizontal="center" vertical="center"/>
    </xf>
    <xf numFmtId="0" fontId="22" fillId="36" borderId="0" xfId="0" applyFont="1" applyFill="1" applyAlignment="1">
      <alignment horizontal="center" vertical="center"/>
    </xf>
    <xf numFmtId="0" fontId="22" fillId="40" borderId="0" xfId="0" applyFont="1" applyFill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 wrapText="1"/>
    </xf>
    <xf numFmtId="0" fontId="25" fillId="10" borderId="22" xfId="0" applyFont="1" applyFill="1" applyBorder="1" applyAlignment="1">
      <alignment horizontal="center" vertical="center" wrapText="1"/>
    </xf>
    <xf numFmtId="0" fontId="25" fillId="10" borderId="23" xfId="0" applyFont="1" applyFill="1" applyBorder="1" applyAlignment="1">
      <alignment horizontal="center" vertical="center" wrapText="1"/>
    </xf>
    <xf numFmtId="0" fontId="25" fillId="10" borderId="26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center" vertical="center" wrapText="1"/>
    </xf>
    <xf numFmtId="0" fontId="25" fillId="10" borderId="27" xfId="0" applyFont="1" applyFill="1" applyBorder="1" applyAlignment="1">
      <alignment horizontal="center" vertical="center" wrapText="1"/>
    </xf>
    <xf numFmtId="0" fontId="25" fillId="10" borderId="24" xfId="0" applyFont="1" applyFill="1" applyBorder="1" applyAlignment="1">
      <alignment horizontal="center" vertical="center" wrapText="1"/>
    </xf>
    <xf numFmtId="0" fontId="25" fillId="10" borderId="20" xfId="0" applyFont="1" applyFill="1" applyBorder="1" applyAlignment="1">
      <alignment horizontal="center" vertical="center" wrapText="1"/>
    </xf>
    <xf numFmtId="0" fontId="25" fillId="10" borderId="25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11" xfId="0" applyFont="1" applyBorder="1" applyAlignment="1">
      <alignment horizontal="left" vertical="center" wrapText="1"/>
    </xf>
    <xf numFmtId="0" fontId="14" fillId="11" borderId="8" xfId="0" applyFont="1" applyFill="1" applyBorder="1" applyAlignment="1">
      <alignment horizontal="right" vertical="center"/>
    </xf>
    <xf numFmtId="0" fontId="14" fillId="11" borderId="3" xfId="0" applyFont="1" applyFill="1" applyBorder="1" applyAlignment="1">
      <alignment horizontal="right" vertical="center"/>
    </xf>
    <xf numFmtId="0" fontId="14" fillId="11" borderId="10" xfId="0" applyFont="1" applyFill="1" applyBorder="1" applyAlignment="1">
      <alignment horizontal="right" vertical="center" wrapText="1"/>
    </xf>
    <xf numFmtId="0" fontId="14" fillId="11" borderId="4" xfId="0" applyFont="1" applyFill="1" applyBorder="1" applyAlignment="1">
      <alignment horizontal="right" vertical="center" wrapText="1"/>
    </xf>
    <xf numFmtId="0" fontId="22" fillId="0" borderId="3" xfId="0" applyFont="1" applyBorder="1" applyAlignment="1">
      <alignment horizontal="left" vertical="center" wrapText="1"/>
    </xf>
    <xf numFmtId="0" fontId="22" fillId="0" borderId="27" xfId="0" applyFont="1" applyBorder="1" applyAlignment="1">
      <alignment horizontal="left" vertical="center" wrapText="1"/>
    </xf>
    <xf numFmtId="0" fontId="22" fillId="0" borderId="8" xfId="0" applyFont="1" applyBorder="1" applyAlignment="1">
      <alignment horizontal="left" vertical="center" wrapText="1"/>
    </xf>
    <xf numFmtId="0" fontId="24" fillId="13" borderId="6" xfId="0" applyFont="1" applyFill="1" applyBorder="1" applyAlignment="1">
      <alignment horizontal="left" vertical="center" wrapText="1"/>
    </xf>
    <xf numFmtId="0" fontId="23" fillId="13" borderId="4" xfId="0" applyFont="1" applyFill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33" fillId="13" borderId="5" xfId="0" applyFont="1" applyFill="1" applyBorder="1" applyAlignment="1">
      <alignment horizontal="right" vertical="center"/>
    </xf>
    <xf numFmtId="0" fontId="33" fillId="13" borderId="10" xfId="0" applyFont="1" applyFill="1" applyBorder="1" applyAlignment="1">
      <alignment horizontal="right" vertical="center"/>
    </xf>
    <xf numFmtId="0" fontId="22" fillId="0" borderId="8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7" fillId="0" borderId="3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15" fillId="12" borderId="5" xfId="0" applyFont="1" applyFill="1" applyBorder="1" applyAlignment="1">
      <alignment horizontal="right" vertical="center"/>
    </xf>
    <xf numFmtId="0" fontId="15" fillId="12" borderId="6" xfId="0" applyFont="1" applyFill="1" applyBorder="1" applyAlignment="1">
      <alignment horizontal="right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2" fillId="33" borderId="6" xfId="0" applyFont="1" applyFill="1" applyBorder="1" applyAlignment="1">
      <alignment horizontal="left" vertical="center" wrapText="1"/>
    </xf>
    <xf numFmtId="0" fontId="2" fillId="33" borderId="7" xfId="0" applyFont="1" applyFill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2" fillId="34" borderId="6" xfId="0" applyFont="1" applyFill="1" applyBorder="1" applyAlignment="1">
      <alignment horizontal="left" vertical="center" wrapText="1"/>
    </xf>
    <xf numFmtId="0" fontId="2" fillId="34" borderId="7" xfId="0" applyFont="1" applyFill="1" applyBorder="1" applyAlignment="1">
      <alignment horizontal="left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14" fillId="11" borderId="10" xfId="0" applyFont="1" applyFill="1" applyBorder="1" applyAlignment="1">
      <alignment horizontal="right" vertical="center"/>
    </xf>
    <xf numFmtId="0" fontId="14" fillId="11" borderId="4" xfId="0" applyFont="1" applyFill="1" applyBorder="1" applyAlignment="1">
      <alignment horizontal="right" vertical="center"/>
    </xf>
    <xf numFmtId="0" fontId="2" fillId="8" borderId="6" xfId="0" applyFont="1" applyFill="1" applyBorder="1" applyAlignment="1">
      <alignment horizontal="left" vertical="center" wrapText="1"/>
    </xf>
    <xf numFmtId="0" fontId="2" fillId="8" borderId="7" xfId="0" applyFont="1" applyFill="1" applyBorder="1" applyAlignment="1">
      <alignment horizontal="left" vertical="center" wrapText="1"/>
    </xf>
    <xf numFmtId="0" fontId="3" fillId="13" borderId="5" xfId="0" applyFont="1" applyFill="1" applyBorder="1" applyAlignment="1">
      <alignment horizontal="right" vertical="center"/>
    </xf>
    <xf numFmtId="0" fontId="3" fillId="13" borderId="10" xfId="0" applyFont="1" applyFill="1" applyBorder="1" applyAlignment="1">
      <alignment horizontal="right" vertical="center"/>
    </xf>
    <xf numFmtId="0" fontId="2" fillId="35" borderId="6" xfId="0" applyFont="1" applyFill="1" applyBorder="1" applyAlignment="1">
      <alignment horizontal="left" vertical="center" wrapText="1"/>
    </xf>
    <xf numFmtId="0" fontId="2" fillId="35" borderId="7" xfId="0" applyFont="1" applyFill="1" applyBorder="1" applyAlignment="1">
      <alignment horizontal="left" vertical="center" wrapText="1"/>
    </xf>
    <xf numFmtId="0" fontId="3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ED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B913"/>
  <sheetViews>
    <sheetView tabSelected="1" zoomScale="97" workbookViewId="0">
      <selection activeCell="C12" sqref="C12:C13"/>
    </sheetView>
  </sheetViews>
  <sheetFormatPr baseColWidth="10" defaultColWidth="10.140625" defaultRowHeight="15" customHeight="1" x14ac:dyDescent="0.2"/>
  <cols>
    <col min="1" max="1" width="1.7109375" style="48" customWidth="1"/>
    <col min="2" max="2" width="34.42578125" style="48" customWidth="1"/>
    <col min="3" max="3" width="64.7109375" style="48" customWidth="1"/>
    <col min="4" max="4" width="15.85546875" style="48" customWidth="1"/>
    <col min="5" max="5" width="1.7109375" style="48" customWidth="1"/>
    <col min="6" max="6" width="31.7109375" style="48" customWidth="1"/>
    <col min="7" max="7" width="21.5703125" style="48" customWidth="1"/>
    <col min="8" max="8" width="18.140625" style="48" customWidth="1"/>
    <col min="9" max="9" width="17.5703125" style="48" customWidth="1"/>
    <col min="10" max="10" width="1.7109375" style="48" customWidth="1"/>
    <col min="11" max="25" width="26" style="48" customWidth="1"/>
    <col min="26" max="28" width="11.42578125" style="48" customWidth="1"/>
    <col min="29" max="16384" width="10.140625" style="48"/>
  </cols>
  <sheetData>
    <row r="1" spans="2:28" ht="12" customHeight="1" thickBot="1" x14ac:dyDescent="0.25">
      <c r="E1" s="57"/>
      <c r="F1" s="57"/>
      <c r="G1" s="57"/>
      <c r="H1" s="57"/>
      <c r="I1" s="57"/>
      <c r="J1" s="57"/>
    </row>
    <row r="2" spans="2:28" ht="31.5" customHeight="1" x14ac:dyDescent="0.2">
      <c r="B2" s="59" t="s">
        <v>0</v>
      </c>
      <c r="C2" s="60" t="s">
        <v>282</v>
      </c>
      <c r="D2" s="53"/>
      <c r="E2" s="121"/>
      <c r="F2" s="144" t="s">
        <v>227</v>
      </c>
      <c r="G2" s="144"/>
      <c r="H2" s="144"/>
      <c r="I2" s="144"/>
      <c r="J2" s="122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</row>
    <row r="3" spans="2:28" ht="31.5" customHeight="1" x14ac:dyDescent="0.2">
      <c r="B3" s="61" t="s">
        <v>1</v>
      </c>
      <c r="C3" s="62">
        <v>2.2000000000000002</v>
      </c>
      <c r="D3" s="53"/>
      <c r="E3" s="123"/>
      <c r="F3" s="124" t="s">
        <v>35</v>
      </c>
      <c r="G3" s="124" t="s">
        <v>36</v>
      </c>
      <c r="H3" s="124" t="s">
        <v>37</v>
      </c>
      <c r="I3" s="124" t="s">
        <v>38</v>
      </c>
      <c r="J3" s="125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</row>
    <row r="4" spans="2:28" ht="30" customHeight="1" x14ac:dyDescent="0.2">
      <c r="B4" s="115" t="s">
        <v>5</v>
      </c>
      <c r="C4" s="116" t="s">
        <v>71</v>
      </c>
      <c r="D4" s="54"/>
      <c r="E4" s="126"/>
      <c r="F4" s="127" t="s">
        <v>228</v>
      </c>
      <c r="G4" s="127">
        <v>50</v>
      </c>
      <c r="H4" s="127">
        <v>30</v>
      </c>
      <c r="I4" s="127">
        <v>1</v>
      </c>
      <c r="J4" s="128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</row>
    <row r="5" spans="2:28" ht="30" customHeight="1" x14ac:dyDescent="0.2">
      <c r="B5" s="115" t="s">
        <v>8</v>
      </c>
      <c r="C5" s="141">
        <v>3.2</v>
      </c>
      <c r="D5" s="55"/>
      <c r="E5" s="133"/>
      <c r="F5" s="134" t="s">
        <v>246</v>
      </c>
      <c r="G5" s="134">
        <v>95</v>
      </c>
      <c r="H5" s="134">
        <v>2</v>
      </c>
      <c r="I5" s="134">
        <v>1</v>
      </c>
      <c r="J5" s="135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</row>
    <row r="6" spans="2:28" ht="30" customHeight="1" x14ac:dyDescent="0.2">
      <c r="B6" s="117" t="s">
        <v>106</v>
      </c>
      <c r="C6" s="118" t="s">
        <v>74</v>
      </c>
      <c r="D6" s="54"/>
      <c r="E6" s="126"/>
      <c r="F6" s="129" t="s">
        <v>247</v>
      </c>
      <c r="G6" s="130">
        <v>95</v>
      </c>
      <c r="H6" s="130" t="s">
        <v>281</v>
      </c>
      <c r="I6" s="148">
        <v>45</v>
      </c>
      <c r="J6" s="128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</row>
    <row r="7" spans="2:28" ht="30" customHeight="1" x14ac:dyDescent="0.2">
      <c r="B7" s="115" t="s">
        <v>107</v>
      </c>
      <c r="C7" s="116" t="s">
        <v>12</v>
      </c>
      <c r="D7" s="54"/>
      <c r="E7" s="136"/>
      <c r="F7" s="131" t="s">
        <v>229</v>
      </c>
      <c r="G7" s="132">
        <v>57</v>
      </c>
      <c r="H7" s="132">
        <v>1</v>
      </c>
      <c r="I7" s="149"/>
      <c r="J7" s="135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</row>
    <row r="8" spans="2:28" ht="30" customHeight="1" thickBot="1" x14ac:dyDescent="0.25">
      <c r="B8" s="142" t="s">
        <v>13</v>
      </c>
      <c r="C8" s="143" t="s">
        <v>97</v>
      </c>
      <c r="D8" s="54"/>
      <c r="E8" s="137"/>
      <c r="F8" s="138"/>
      <c r="G8" s="139"/>
      <c r="H8" s="139"/>
      <c r="I8" s="139"/>
      <c r="J8" s="140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</row>
    <row r="9" spans="2:28" ht="30" customHeight="1" x14ac:dyDescent="0.2">
      <c r="B9" s="119" t="s">
        <v>2</v>
      </c>
      <c r="C9" s="120">
        <v>1</v>
      </c>
      <c r="D9" s="54"/>
      <c r="E9" s="54"/>
      <c r="F9" s="58"/>
      <c r="G9" s="46"/>
      <c r="H9" s="46"/>
      <c r="I9" s="46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</row>
    <row r="10" spans="2:28" ht="30" customHeight="1" x14ac:dyDescent="0.2">
      <c r="B10" s="71" t="s">
        <v>3</v>
      </c>
      <c r="C10" s="72" t="s">
        <v>4</v>
      </c>
      <c r="D10" s="54"/>
      <c r="E10" s="54"/>
      <c r="F10"/>
      <c r="G10"/>
      <c r="H10"/>
      <c r="I10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</row>
    <row r="11" spans="2:28" ht="30" customHeight="1" x14ac:dyDescent="0.2">
      <c r="B11" s="71" t="s">
        <v>7</v>
      </c>
      <c r="C11" s="72" t="s">
        <v>283</v>
      </c>
      <c r="D11" s="54"/>
      <c r="E11" s="54"/>
      <c r="F11"/>
      <c r="G11"/>
      <c r="H11"/>
      <c r="I11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</row>
    <row r="12" spans="2:28" s="57" customFormat="1" ht="30" customHeight="1" thickBot="1" x14ac:dyDescent="0.25">
      <c r="B12" s="145" t="s">
        <v>14</v>
      </c>
      <c r="C12" s="146"/>
      <c r="D12" s="56"/>
      <c r="E12" s="56"/>
      <c r="F12"/>
      <c r="G12"/>
      <c r="H12"/>
      <c r="I12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</row>
    <row r="13" spans="2:28" ht="21" thickBot="1" x14ac:dyDescent="0.25">
      <c r="B13" s="145"/>
      <c r="C13" s="147"/>
      <c r="D13" s="54"/>
      <c r="E13" s="54"/>
      <c r="F13"/>
      <c r="G13"/>
      <c r="H13"/>
      <c r="I13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</row>
    <row r="14" spans="2:28" ht="21" customHeight="1" x14ac:dyDescent="0.2"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</row>
    <row r="15" spans="2:28" ht="21" customHeight="1" x14ac:dyDescent="0.2"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</row>
    <row r="16" spans="2:28" ht="20" x14ac:dyDescent="0.2"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</row>
    <row r="17" spans="2:28" ht="21" customHeight="1" x14ac:dyDescent="0.2"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</row>
    <row r="18" spans="2:28" ht="21" customHeight="1" x14ac:dyDescent="0.2"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</row>
    <row r="19" spans="2:28" ht="21" customHeight="1" x14ac:dyDescent="0.2"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</row>
    <row r="20" spans="2:28" ht="21" customHeight="1" x14ac:dyDescent="0.2"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</row>
    <row r="21" spans="2:28" ht="21" customHeight="1" x14ac:dyDescent="0.2"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</row>
    <row r="22" spans="2:28" ht="21" customHeight="1" x14ac:dyDescent="0.2"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</row>
    <row r="23" spans="2:28" ht="21" customHeight="1" x14ac:dyDescent="0.2"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</row>
    <row r="24" spans="2:28" ht="21" customHeight="1" x14ac:dyDescent="0.2"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</row>
    <row r="25" spans="2:28" ht="21" customHeight="1" x14ac:dyDescent="0.2"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</row>
    <row r="26" spans="2:28" ht="21" customHeight="1" x14ac:dyDescent="0.2"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</row>
    <row r="27" spans="2:28" ht="21" customHeight="1" x14ac:dyDescent="0.2"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</row>
    <row r="28" spans="2:28" ht="21" customHeight="1" x14ac:dyDescent="0.2"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</row>
    <row r="29" spans="2:28" ht="21" customHeight="1" x14ac:dyDescent="0.2"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</row>
    <row r="30" spans="2:28" ht="21" customHeight="1" x14ac:dyDescent="0.2"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</row>
    <row r="31" spans="2:28" ht="21" customHeight="1" x14ac:dyDescent="0.2"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</row>
    <row r="32" spans="2:28" ht="21" customHeight="1" x14ac:dyDescent="0.2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</row>
    <row r="33" spans="2:28" ht="21" customHeight="1" x14ac:dyDescent="0.2"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</row>
    <row r="34" spans="2:28" ht="21" customHeight="1" x14ac:dyDescent="0.2"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</row>
    <row r="35" spans="2:28" ht="21" customHeight="1" x14ac:dyDescent="0.2"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</row>
    <row r="36" spans="2:28" ht="21" customHeight="1" x14ac:dyDescent="0.2"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</row>
    <row r="37" spans="2:28" ht="21" customHeight="1" x14ac:dyDescent="0.2"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</row>
    <row r="38" spans="2:28" ht="21" customHeight="1" x14ac:dyDescent="0.2"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</row>
    <row r="39" spans="2:28" ht="21" customHeight="1" x14ac:dyDescent="0.2"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</row>
    <row r="40" spans="2:28" ht="21" customHeight="1" x14ac:dyDescent="0.2"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</row>
    <row r="41" spans="2:28" ht="21" customHeight="1" x14ac:dyDescent="0.2"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</row>
    <row r="42" spans="2:28" ht="21" customHeight="1" x14ac:dyDescent="0.2"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</row>
    <row r="43" spans="2:28" ht="21" customHeight="1" x14ac:dyDescent="0.2"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</row>
    <row r="44" spans="2:28" ht="21" customHeight="1" x14ac:dyDescent="0.2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</row>
    <row r="45" spans="2:28" ht="21" customHeight="1" x14ac:dyDescent="0.2"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</row>
    <row r="46" spans="2:28" ht="21" customHeight="1" x14ac:dyDescent="0.2"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</row>
    <row r="47" spans="2:28" ht="21" customHeight="1" x14ac:dyDescent="0.2"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</row>
    <row r="48" spans="2:28" ht="21" customHeight="1" x14ac:dyDescent="0.2"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</row>
    <row r="49" spans="2:28" ht="21" customHeight="1" x14ac:dyDescent="0.2"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</row>
    <row r="50" spans="2:28" ht="21" customHeight="1" x14ac:dyDescent="0.2"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</row>
    <row r="51" spans="2:28" ht="21" customHeight="1" x14ac:dyDescent="0.2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</row>
    <row r="52" spans="2:28" ht="21" customHeight="1" x14ac:dyDescent="0.2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</row>
    <row r="53" spans="2:28" ht="21" customHeight="1" x14ac:dyDescent="0.2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</row>
    <row r="54" spans="2:28" ht="21" customHeight="1" x14ac:dyDescent="0.2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</row>
    <row r="55" spans="2:28" ht="21" customHeight="1" x14ac:dyDescent="0.2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</row>
    <row r="56" spans="2:28" ht="21" customHeight="1" x14ac:dyDescent="0.2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</row>
    <row r="57" spans="2:28" ht="21" customHeight="1" x14ac:dyDescent="0.2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</row>
    <row r="58" spans="2:28" ht="21" customHeight="1" x14ac:dyDescent="0.2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</row>
    <row r="59" spans="2:28" ht="21" customHeight="1" x14ac:dyDescent="0.2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</row>
    <row r="60" spans="2:28" ht="21" customHeight="1" x14ac:dyDescent="0.2"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</row>
    <row r="61" spans="2:28" ht="21" customHeight="1" x14ac:dyDescent="0.2"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</row>
    <row r="62" spans="2:28" ht="21" customHeight="1" x14ac:dyDescent="0.2"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</row>
    <row r="63" spans="2:28" ht="21" customHeight="1" x14ac:dyDescent="0.2"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</row>
    <row r="64" spans="2:28" ht="21" customHeight="1" x14ac:dyDescent="0.2"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</row>
    <row r="65" spans="2:28" ht="21" customHeight="1" x14ac:dyDescent="0.2"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</row>
    <row r="66" spans="2:28" ht="21" customHeight="1" x14ac:dyDescent="0.2"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</row>
    <row r="67" spans="2:28" ht="21" customHeight="1" x14ac:dyDescent="0.2"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</row>
    <row r="68" spans="2:28" ht="21" customHeight="1" x14ac:dyDescent="0.2"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</row>
    <row r="69" spans="2:28" ht="21" customHeight="1" x14ac:dyDescent="0.2"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</row>
    <row r="70" spans="2:28" ht="21" customHeight="1" x14ac:dyDescent="0.2"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</row>
    <row r="71" spans="2:28" ht="21" customHeight="1" x14ac:dyDescent="0.2"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</row>
    <row r="72" spans="2:28" ht="21" customHeight="1" x14ac:dyDescent="0.2"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</row>
    <row r="73" spans="2:28" ht="21" customHeight="1" x14ac:dyDescent="0.2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</row>
    <row r="74" spans="2:28" ht="21" customHeight="1" x14ac:dyDescent="0.2"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</row>
    <row r="75" spans="2:28" ht="21" customHeight="1" x14ac:dyDescent="0.2"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</row>
    <row r="76" spans="2:28" ht="21" customHeight="1" x14ac:dyDescent="0.2"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</row>
    <row r="77" spans="2:28" ht="21" customHeight="1" x14ac:dyDescent="0.2"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</row>
    <row r="78" spans="2:28" ht="21" customHeight="1" x14ac:dyDescent="0.2"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</row>
    <row r="79" spans="2:28" ht="21" customHeight="1" x14ac:dyDescent="0.2"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</row>
    <row r="80" spans="2:28" ht="21" customHeight="1" x14ac:dyDescent="0.2"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</row>
    <row r="81" spans="2:28" ht="21" customHeight="1" x14ac:dyDescent="0.2"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</row>
    <row r="82" spans="2:28" ht="21" customHeight="1" x14ac:dyDescent="0.2"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</row>
    <row r="83" spans="2:28" ht="21" customHeight="1" x14ac:dyDescent="0.2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</row>
    <row r="84" spans="2:28" ht="21" customHeight="1" x14ac:dyDescent="0.2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</row>
    <row r="85" spans="2:28" ht="21" customHeight="1" x14ac:dyDescent="0.2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</row>
    <row r="86" spans="2:28" ht="21" customHeight="1" x14ac:dyDescent="0.2"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</row>
    <row r="87" spans="2:28" ht="21" customHeight="1" x14ac:dyDescent="0.2"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</row>
    <row r="88" spans="2:28" ht="21" customHeight="1" x14ac:dyDescent="0.2"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</row>
    <row r="89" spans="2:28" ht="21" customHeight="1" x14ac:dyDescent="0.2"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</row>
    <row r="90" spans="2:28" ht="21" customHeight="1" x14ac:dyDescent="0.2"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</row>
    <row r="91" spans="2:28" ht="21" customHeight="1" x14ac:dyDescent="0.2"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</row>
    <row r="92" spans="2:28" ht="21" customHeight="1" x14ac:dyDescent="0.2"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</row>
    <row r="93" spans="2:28" ht="21" customHeight="1" x14ac:dyDescent="0.2"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</row>
    <row r="94" spans="2:28" ht="21" customHeight="1" x14ac:dyDescent="0.2"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</row>
    <row r="95" spans="2:28" ht="21" customHeight="1" x14ac:dyDescent="0.2"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</row>
    <row r="96" spans="2:28" ht="21" customHeight="1" x14ac:dyDescent="0.2"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</row>
    <row r="97" spans="2:28" ht="21" customHeight="1" x14ac:dyDescent="0.2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</row>
    <row r="98" spans="2:28" ht="21" customHeight="1" x14ac:dyDescent="0.2"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</row>
    <row r="99" spans="2:28" ht="21" customHeight="1" x14ac:dyDescent="0.2"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</row>
    <row r="100" spans="2:28" ht="21" customHeight="1" x14ac:dyDescent="0.2"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</row>
    <row r="101" spans="2:28" ht="21" customHeight="1" x14ac:dyDescent="0.2"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</row>
    <row r="102" spans="2:28" ht="21" customHeight="1" x14ac:dyDescent="0.2"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</row>
    <row r="103" spans="2:28" ht="21" customHeight="1" x14ac:dyDescent="0.2"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</row>
    <row r="104" spans="2:28" ht="21" customHeight="1" x14ac:dyDescent="0.2"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</row>
    <row r="105" spans="2:28" ht="21" customHeight="1" x14ac:dyDescent="0.2"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</row>
    <row r="106" spans="2:28" ht="21" customHeight="1" x14ac:dyDescent="0.2"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</row>
    <row r="107" spans="2:28" ht="21" customHeight="1" x14ac:dyDescent="0.2"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</row>
    <row r="108" spans="2:28" ht="21" customHeight="1" x14ac:dyDescent="0.2"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</row>
    <row r="109" spans="2:28" ht="21" customHeight="1" x14ac:dyDescent="0.2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</row>
    <row r="110" spans="2:28" ht="21" customHeight="1" x14ac:dyDescent="0.2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</row>
    <row r="111" spans="2:28" ht="21" customHeight="1" x14ac:dyDescent="0.2"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</row>
    <row r="112" spans="2:28" ht="21" customHeight="1" x14ac:dyDescent="0.2"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</row>
    <row r="113" spans="2:28" ht="21" customHeight="1" x14ac:dyDescent="0.2"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</row>
    <row r="114" spans="2:28" ht="21" customHeight="1" x14ac:dyDescent="0.2"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</row>
    <row r="115" spans="2:28" ht="21" customHeight="1" x14ac:dyDescent="0.2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</row>
    <row r="116" spans="2:28" ht="21" customHeight="1" x14ac:dyDescent="0.2"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</row>
    <row r="117" spans="2:28" ht="21" customHeight="1" x14ac:dyDescent="0.2"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</row>
    <row r="118" spans="2:28" ht="21" customHeight="1" x14ac:dyDescent="0.2"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</row>
    <row r="119" spans="2:28" ht="21" customHeight="1" x14ac:dyDescent="0.2"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</row>
    <row r="120" spans="2:28" ht="21" customHeight="1" x14ac:dyDescent="0.2"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</row>
    <row r="121" spans="2:28" ht="21" customHeight="1" x14ac:dyDescent="0.2"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</row>
    <row r="122" spans="2:28" ht="21" customHeight="1" x14ac:dyDescent="0.2"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</row>
    <row r="123" spans="2:28" ht="21" customHeight="1" x14ac:dyDescent="0.2"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</row>
    <row r="124" spans="2:28" ht="21" customHeight="1" x14ac:dyDescent="0.2"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</row>
    <row r="125" spans="2:28" ht="21" customHeight="1" x14ac:dyDescent="0.2"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</row>
    <row r="126" spans="2:28" ht="21" customHeight="1" x14ac:dyDescent="0.2"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</row>
    <row r="127" spans="2:28" ht="21" customHeight="1" x14ac:dyDescent="0.2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</row>
    <row r="128" spans="2:28" ht="21" customHeight="1" x14ac:dyDescent="0.2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</row>
    <row r="129" spans="2:28" ht="21" customHeight="1" x14ac:dyDescent="0.2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</row>
    <row r="130" spans="2:28" ht="21" customHeight="1" x14ac:dyDescent="0.2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</row>
    <row r="131" spans="2:28" ht="21" customHeight="1" x14ac:dyDescent="0.2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</row>
    <row r="132" spans="2:28" ht="21" customHeight="1" x14ac:dyDescent="0.2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</row>
    <row r="133" spans="2:28" ht="21" customHeight="1" x14ac:dyDescent="0.2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</row>
    <row r="134" spans="2:28" ht="21" customHeight="1" x14ac:dyDescent="0.2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</row>
    <row r="135" spans="2:28" ht="21" customHeight="1" x14ac:dyDescent="0.2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</row>
    <row r="136" spans="2:28" ht="21" customHeight="1" x14ac:dyDescent="0.2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</row>
    <row r="137" spans="2:28" ht="21" customHeight="1" x14ac:dyDescent="0.2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</row>
    <row r="138" spans="2:28" ht="21" customHeight="1" x14ac:dyDescent="0.2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</row>
    <row r="139" spans="2:28" ht="21" customHeight="1" x14ac:dyDescent="0.2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</row>
    <row r="140" spans="2:28" ht="21" customHeight="1" x14ac:dyDescent="0.2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</row>
    <row r="141" spans="2:28" ht="21" customHeight="1" x14ac:dyDescent="0.2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</row>
    <row r="142" spans="2:28" ht="21" customHeight="1" x14ac:dyDescent="0.2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</row>
    <row r="143" spans="2:28" ht="21" customHeight="1" x14ac:dyDescent="0.2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</row>
    <row r="144" spans="2:28" ht="21" customHeight="1" x14ac:dyDescent="0.2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</row>
    <row r="145" spans="2:28" ht="21" customHeight="1" x14ac:dyDescent="0.2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</row>
    <row r="146" spans="2:28" ht="21" customHeight="1" x14ac:dyDescent="0.2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</row>
    <row r="147" spans="2:28" ht="21" customHeight="1" x14ac:dyDescent="0.2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</row>
    <row r="148" spans="2:28" ht="21" customHeight="1" x14ac:dyDescent="0.2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</row>
    <row r="149" spans="2:28" ht="21" customHeight="1" x14ac:dyDescent="0.2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</row>
    <row r="150" spans="2:28" ht="21" customHeight="1" x14ac:dyDescent="0.2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</row>
    <row r="151" spans="2:28" ht="21" customHeight="1" x14ac:dyDescent="0.2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</row>
    <row r="152" spans="2:28" ht="21" customHeight="1" x14ac:dyDescent="0.2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</row>
    <row r="153" spans="2:28" ht="21" customHeight="1" x14ac:dyDescent="0.2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</row>
    <row r="154" spans="2:28" ht="21" customHeight="1" x14ac:dyDescent="0.2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</row>
    <row r="155" spans="2:28" ht="21" customHeight="1" x14ac:dyDescent="0.2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</row>
    <row r="156" spans="2:28" ht="21" customHeight="1" x14ac:dyDescent="0.2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</row>
    <row r="157" spans="2:28" ht="21" customHeight="1" x14ac:dyDescent="0.2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</row>
    <row r="158" spans="2:28" ht="21" customHeight="1" x14ac:dyDescent="0.2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</row>
    <row r="159" spans="2:28" ht="21" customHeight="1" x14ac:dyDescent="0.2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</row>
    <row r="160" spans="2:28" ht="21" customHeight="1" x14ac:dyDescent="0.2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</row>
    <row r="161" spans="2:28" ht="21" customHeight="1" x14ac:dyDescent="0.2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</row>
    <row r="162" spans="2:28" ht="21" customHeight="1" x14ac:dyDescent="0.2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</row>
    <row r="163" spans="2:28" ht="21" customHeight="1" x14ac:dyDescent="0.2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</row>
    <row r="164" spans="2:28" ht="21" customHeight="1" x14ac:dyDescent="0.2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</row>
    <row r="165" spans="2:28" ht="21" customHeight="1" x14ac:dyDescent="0.2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</row>
    <row r="166" spans="2:28" ht="21" customHeight="1" x14ac:dyDescent="0.2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</row>
    <row r="167" spans="2:28" ht="21" customHeight="1" x14ac:dyDescent="0.2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</row>
    <row r="168" spans="2:28" ht="21" customHeight="1" x14ac:dyDescent="0.2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</row>
    <row r="169" spans="2:28" ht="21" customHeight="1" x14ac:dyDescent="0.2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</row>
    <row r="170" spans="2:28" ht="21" customHeight="1" x14ac:dyDescent="0.2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</row>
    <row r="171" spans="2:28" ht="21" customHeight="1" x14ac:dyDescent="0.2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</row>
    <row r="172" spans="2:28" ht="21" customHeight="1" x14ac:dyDescent="0.2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</row>
    <row r="173" spans="2:28" ht="21" customHeight="1" x14ac:dyDescent="0.2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</row>
    <row r="174" spans="2:28" ht="21" customHeight="1" x14ac:dyDescent="0.2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</row>
    <row r="175" spans="2:28" ht="15.75" customHeight="1" x14ac:dyDescent="0.2"/>
    <row r="176" spans="2:28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</sheetData>
  <mergeCells count="4">
    <mergeCell ref="F2:I2"/>
    <mergeCell ref="B12:B13"/>
    <mergeCell ref="C12:C13"/>
    <mergeCell ref="I6:I7"/>
  </mergeCell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000-000000000000}">
          <x14:formula1>
            <xm:f>Lists!$K$2:$K$4</xm:f>
          </x14:formula1>
          <xm:sqref>C5</xm:sqref>
        </x14:dataValidation>
        <x14:dataValidation type="list" allowBlank="1" showErrorMessage="1" xr:uid="{00000000-0002-0000-0000-000002000000}">
          <x14:formula1>
            <xm:f>Lists!$H$2:$H$7</xm:f>
          </x14:formula1>
          <xm:sqref>C6</xm:sqref>
        </x14:dataValidation>
        <x14:dataValidation type="list" allowBlank="1" showErrorMessage="1" xr:uid="{00000000-0002-0000-0000-000003000000}">
          <x14:formula1>
            <xm:f>Lists!$A$2:$A$5</xm:f>
          </x14:formula1>
          <xm:sqref>C4</xm:sqref>
        </x14:dataValidation>
        <x14:dataValidation type="list" allowBlank="1" showErrorMessage="1" xr:uid="{00000000-0002-0000-0000-00000B000000}">
          <x14:formula1>
            <xm:f>Lists!$I$2:$I$5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715B0-4CDF-F94A-8B7F-1D35290837CD}">
  <sheetPr codeName="Sheet7"/>
  <dimension ref="A2:AA893"/>
  <sheetViews>
    <sheetView zoomScale="60" workbookViewId="0">
      <selection activeCell="B24" sqref="B24"/>
    </sheetView>
  </sheetViews>
  <sheetFormatPr baseColWidth="10" defaultColWidth="10.140625" defaultRowHeight="15" customHeight="1" x14ac:dyDescent="0.2"/>
  <cols>
    <col min="1" max="1" width="5.42578125" customWidth="1"/>
    <col min="2" max="2" width="25" customWidth="1"/>
    <col min="3" max="6" width="25.7109375" customWidth="1"/>
    <col min="7" max="13" width="25.5703125" customWidth="1"/>
    <col min="14" max="24" width="26" customWidth="1"/>
    <col min="25" max="27" width="11.42578125" customWidth="1"/>
  </cols>
  <sheetData>
    <row r="2" spans="1:27" ht="73" customHeight="1" x14ac:dyDescent="0.2">
      <c r="B2" s="179" t="s">
        <v>270</v>
      </c>
      <c r="C2" s="179"/>
      <c r="E2" s="180" t="s">
        <v>271</v>
      </c>
      <c r="F2" s="180"/>
      <c r="H2" s="181" t="s">
        <v>272</v>
      </c>
      <c r="I2" s="181"/>
      <c r="K2" s="150" t="s">
        <v>273</v>
      </c>
      <c r="L2" s="150"/>
    </row>
    <row r="3" spans="1:27" ht="23" customHeight="1" thickBot="1" x14ac:dyDescent="0.25"/>
    <row r="4" spans="1:27" ht="21" customHeight="1" x14ac:dyDescent="0.2">
      <c r="A4" s="36"/>
      <c r="B4" s="37">
        <v>1</v>
      </c>
      <c r="C4" s="37">
        <v>2</v>
      </c>
      <c r="D4" s="37">
        <v>3</v>
      </c>
      <c r="E4" s="37">
        <v>4</v>
      </c>
      <c r="F4" s="37">
        <v>5</v>
      </c>
      <c r="G4" s="37">
        <v>6</v>
      </c>
      <c r="H4" s="37">
        <v>7</v>
      </c>
      <c r="I4" s="37">
        <v>8</v>
      </c>
      <c r="J4" s="37">
        <v>9</v>
      </c>
      <c r="K4" s="37">
        <v>10</v>
      </c>
      <c r="L4" s="37">
        <v>11</v>
      </c>
      <c r="M4" s="38">
        <v>12</v>
      </c>
      <c r="N4" s="15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66" customHeight="1" x14ac:dyDescent="0.2">
      <c r="A5" s="39" t="s">
        <v>26</v>
      </c>
      <c r="B5" s="90" t="s">
        <v>232</v>
      </c>
      <c r="C5" s="93" t="s">
        <v>238</v>
      </c>
      <c r="D5" s="4"/>
      <c r="E5" s="96" t="s">
        <v>232</v>
      </c>
      <c r="F5" s="99" t="s">
        <v>238</v>
      </c>
      <c r="G5" s="5"/>
      <c r="H5" s="102" t="s">
        <v>232</v>
      </c>
      <c r="I5" s="105" t="s">
        <v>238</v>
      </c>
      <c r="J5" s="4"/>
      <c r="K5" s="108" t="s">
        <v>232</v>
      </c>
      <c r="L5" s="111" t="s">
        <v>238</v>
      </c>
      <c r="M5" s="40"/>
      <c r="N5" s="15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66" customHeight="1" x14ac:dyDescent="0.2">
      <c r="A6" s="39" t="s">
        <v>27</v>
      </c>
      <c r="B6" s="93" t="s">
        <v>233</v>
      </c>
      <c r="C6" s="90" t="s">
        <v>239</v>
      </c>
      <c r="D6" s="5"/>
      <c r="E6" s="99" t="s">
        <v>233</v>
      </c>
      <c r="F6" s="96" t="s">
        <v>239</v>
      </c>
      <c r="G6" s="4"/>
      <c r="H6" s="105" t="s">
        <v>233</v>
      </c>
      <c r="I6" s="102" t="s">
        <v>239</v>
      </c>
      <c r="J6" s="5"/>
      <c r="K6" s="111" t="s">
        <v>233</v>
      </c>
      <c r="L6" s="108" t="s">
        <v>239</v>
      </c>
      <c r="M6" s="41"/>
      <c r="N6" s="15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66" customHeight="1" x14ac:dyDescent="0.2">
      <c r="A7" s="39" t="s">
        <v>28</v>
      </c>
      <c r="B7" s="90" t="s">
        <v>234</v>
      </c>
      <c r="C7" s="93" t="s">
        <v>255</v>
      </c>
      <c r="D7" s="4"/>
      <c r="E7" s="96" t="s">
        <v>234</v>
      </c>
      <c r="F7" s="99" t="s">
        <v>255</v>
      </c>
      <c r="G7" s="5"/>
      <c r="H7" s="102" t="s">
        <v>234</v>
      </c>
      <c r="I7" s="105" t="s">
        <v>255</v>
      </c>
      <c r="J7" s="4"/>
      <c r="K7" s="108" t="s">
        <v>234</v>
      </c>
      <c r="L7" s="111" t="s">
        <v>255</v>
      </c>
      <c r="M7" s="40"/>
      <c r="N7" s="15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66" customHeight="1" x14ac:dyDescent="0.2">
      <c r="A8" s="39" t="s">
        <v>29</v>
      </c>
      <c r="B8" s="93" t="s">
        <v>235</v>
      </c>
      <c r="C8" s="90" t="s">
        <v>256</v>
      </c>
      <c r="D8" s="5"/>
      <c r="E8" s="99" t="s">
        <v>235</v>
      </c>
      <c r="F8" s="96" t="s">
        <v>256</v>
      </c>
      <c r="G8" s="4"/>
      <c r="H8" s="105" t="s">
        <v>235</v>
      </c>
      <c r="I8" s="102" t="s">
        <v>256</v>
      </c>
      <c r="J8" s="5"/>
      <c r="K8" s="111" t="s">
        <v>235</v>
      </c>
      <c r="L8" s="108" t="s">
        <v>256</v>
      </c>
      <c r="M8" s="41"/>
      <c r="N8" s="15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66" customHeight="1" x14ac:dyDescent="0.2">
      <c r="A9" s="39" t="s">
        <v>30</v>
      </c>
      <c r="B9" s="91" t="s">
        <v>236</v>
      </c>
      <c r="C9" s="94" t="s">
        <v>244</v>
      </c>
      <c r="D9" s="4"/>
      <c r="E9" s="97" t="s">
        <v>236</v>
      </c>
      <c r="F9" s="100" t="s">
        <v>244</v>
      </c>
      <c r="G9" s="5"/>
      <c r="H9" s="103" t="s">
        <v>236</v>
      </c>
      <c r="I9" s="106" t="s">
        <v>244</v>
      </c>
      <c r="J9" s="4"/>
      <c r="K9" s="109" t="s">
        <v>236</v>
      </c>
      <c r="L9" s="112" t="s">
        <v>244</v>
      </c>
      <c r="M9" s="40"/>
      <c r="N9" s="15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66" customHeight="1" x14ac:dyDescent="0.2">
      <c r="A10" s="39" t="s">
        <v>31</v>
      </c>
      <c r="B10" s="93" t="s">
        <v>237</v>
      </c>
      <c r="C10" s="90" t="s">
        <v>245</v>
      </c>
      <c r="D10" s="5"/>
      <c r="E10" s="99" t="s">
        <v>237</v>
      </c>
      <c r="F10" s="96" t="s">
        <v>245</v>
      </c>
      <c r="G10" s="4"/>
      <c r="H10" s="105" t="s">
        <v>237</v>
      </c>
      <c r="I10" s="102" t="s">
        <v>245</v>
      </c>
      <c r="J10" s="5"/>
      <c r="K10" s="111" t="s">
        <v>237</v>
      </c>
      <c r="L10" s="108" t="s">
        <v>245</v>
      </c>
      <c r="M10" s="41"/>
      <c r="N10" s="15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66" customHeight="1" x14ac:dyDescent="0.2">
      <c r="A11" s="39" t="s">
        <v>32</v>
      </c>
      <c r="B11" s="90" t="s">
        <v>261</v>
      </c>
      <c r="C11" s="93" t="s">
        <v>261</v>
      </c>
      <c r="D11" s="4"/>
      <c r="E11" s="96" t="s">
        <v>261</v>
      </c>
      <c r="F11" s="99" t="s">
        <v>261</v>
      </c>
      <c r="G11" s="5"/>
      <c r="H11" s="102" t="s">
        <v>261</v>
      </c>
      <c r="I11" s="105" t="s">
        <v>261</v>
      </c>
      <c r="J11" s="4"/>
      <c r="K11" s="108" t="s">
        <v>261</v>
      </c>
      <c r="L11" s="111" t="s">
        <v>261</v>
      </c>
      <c r="M11" s="40"/>
      <c r="N11" s="15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66" customHeight="1" thickBot="1" x14ac:dyDescent="0.25">
      <c r="A12" s="42" t="s">
        <v>33</v>
      </c>
      <c r="B12" s="95" t="s">
        <v>259</v>
      </c>
      <c r="C12" s="92" t="s">
        <v>260</v>
      </c>
      <c r="D12" s="43"/>
      <c r="E12" s="101" t="s">
        <v>259</v>
      </c>
      <c r="F12" s="98" t="s">
        <v>260</v>
      </c>
      <c r="G12" s="44"/>
      <c r="H12" s="107" t="s">
        <v>259</v>
      </c>
      <c r="I12" s="104" t="s">
        <v>260</v>
      </c>
      <c r="J12" s="43"/>
      <c r="K12" s="113" t="s">
        <v>259</v>
      </c>
      <c r="L12" s="110" t="s">
        <v>260</v>
      </c>
      <c r="M12" s="45"/>
      <c r="N12" s="15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21" customHeight="1" thickBot="1" x14ac:dyDescent="0.25">
      <c r="B13" s="152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25" customHeight="1" x14ac:dyDescent="0.2">
      <c r="B14" s="153" t="s">
        <v>231</v>
      </c>
      <c r="C14" s="155">
        <f>COUNTIF(B5:M12,"&lt;&gt;"&amp;"")</f>
        <v>64</v>
      </c>
      <c r="D14" s="157" t="s">
        <v>250</v>
      </c>
      <c r="E14" s="159" t="s">
        <v>262</v>
      </c>
      <c r="F14" s="159"/>
      <c r="G14" s="160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25" customHeight="1" thickBot="1" x14ac:dyDescent="0.25">
      <c r="B15" s="154"/>
      <c r="C15" s="156"/>
      <c r="D15" s="158"/>
      <c r="E15" s="161"/>
      <c r="F15" s="161"/>
      <c r="G15" s="162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21" customHeight="1" x14ac:dyDescent="0.2">
      <c r="B16" s="178"/>
      <c r="C16" s="178"/>
      <c r="D16" s="178"/>
      <c r="E16" s="178"/>
      <c r="F16" s="178"/>
      <c r="G16" s="178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2:27" ht="21" customHeight="1" thickBot="1" x14ac:dyDescent="0.25">
      <c r="B17" s="77"/>
      <c r="C17" s="114"/>
      <c r="D17" s="114"/>
      <c r="E17" s="114"/>
      <c r="F17" s="114"/>
      <c r="G17" s="114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2:27" ht="33" customHeight="1" x14ac:dyDescent="0.2">
      <c r="B18" s="163" t="s">
        <v>274</v>
      </c>
      <c r="C18" s="164"/>
      <c r="D18" s="164"/>
      <c r="E18" s="164"/>
      <c r="F18" s="164"/>
      <c r="G18" s="164"/>
      <c r="H18" s="165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2:27" ht="49" customHeight="1" x14ac:dyDescent="0.2">
      <c r="B19" s="166" t="s">
        <v>275</v>
      </c>
      <c r="C19" s="167"/>
      <c r="D19" s="167"/>
      <c r="E19" s="167"/>
      <c r="F19" s="167"/>
      <c r="G19" s="167"/>
      <c r="H19" s="16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2:27" ht="49" customHeight="1" x14ac:dyDescent="0.2">
      <c r="B20" s="169"/>
      <c r="C20" s="170"/>
      <c r="D20" s="170"/>
      <c r="E20" s="170"/>
      <c r="F20" s="170"/>
      <c r="G20" s="170"/>
      <c r="H20" s="17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2:27" ht="49" customHeight="1" x14ac:dyDescent="0.2">
      <c r="B21" s="169"/>
      <c r="C21" s="170"/>
      <c r="D21" s="170"/>
      <c r="E21" s="170"/>
      <c r="F21" s="170"/>
      <c r="G21" s="170"/>
      <c r="H21" s="17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2:27" ht="49" customHeight="1" x14ac:dyDescent="0.2">
      <c r="B22" s="172" t="s">
        <v>278</v>
      </c>
      <c r="C22" s="173"/>
      <c r="D22" s="173"/>
      <c r="E22" s="173"/>
      <c r="F22" s="173"/>
      <c r="G22" s="173"/>
      <c r="H22" s="174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2:27" ht="49" customHeight="1" thickBot="1" x14ac:dyDescent="0.25">
      <c r="B23" s="175"/>
      <c r="C23" s="176"/>
      <c r="D23" s="176"/>
      <c r="E23" s="176"/>
      <c r="F23" s="176"/>
      <c r="G23" s="176"/>
      <c r="H23" s="177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2:27" ht="21" customHeight="1" x14ac:dyDescent="0.2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2:27" ht="21" customHeight="1" x14ac:dyDescent="0.2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2:27" ht="21" customHeight="1" x14ac:dyDescent="0.2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2:27" ht="21" customHeight="1" x14ac:dyDescent="0.2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2:27" ht="21" customHeight="1" x14ac:dyDescent="0.2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2:27" ht="21" customHeight="1" x14ac:dyDescent="0.2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2:27" ht="21" customHeight="1" x14ac:dyDescent="0.2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2:27" ht="21" customHeight="1" x14ac:dyDescent="0.2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2:27" ht="21" customHeight="1" x14ac:dyDescent="0.2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21" customHeight="1" x14ac:dyDescent="0.2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2:27" ht="21" customHeight="1" x14ac:dyDescent="0.2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21" customHeight="1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2:27" ht="21" customHeight="1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2:27" ht="21" customHeight="1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2:27" ht="21" customHeight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2:27" ht="21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2:27" ht="21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2:27" ht="21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2:27" ht="21" customHeight="1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2:27" ht="21" customHeight="1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2:27" ht="21" customHeight="1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2:27" ht="21" customHeight="1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2:27" ht="21" customHeight="1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2:27" ht="21" customHeight="1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2:27" ht="21" customHeight="1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2:27" ht="21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2:27" ht="21" customHeight="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2:27" ht="21" customHeight="1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2:27" ht="21" customHeight="1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2:27" ht="21" customHeight="1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2:27" ht="21" customHeight="1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2:27" ht="21" customHeight="1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2:27" ht="21" customHeight="1" x14ac:dyDescent="0.2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2:27" ht="21" customHeight="1" x14ac:dyDescent="0.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2:27" ht="21" customHeight="1" x14ac:dyDescent="0.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2:27" ht="21" customHeight="1" x14ac:dyDescent="0.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2:27" ht="21" customHeight="1" x14ac:dyDescent="0.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2:27" ht="21" customHeight="1" x14ac:dyDescent="0.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2:27" ht="21" customHeight="1" x14ac:dyDescent="0.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2:27" ht="21" customHeight="1" x14ac:dyDescent="0.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2:27" ht="21" customHeight="1" x14ac:dyDescent="0.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2:27" ht="21" customHeight="1" x14ac:dyDescent="0.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2:27" ht="21" customHeight="1" x14ac:dyDescent="0.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2:27" ht="21" customHeight="1" x14ac:dyDescent="0.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2:27" ht="21" customHeight="1" x14ac:dyDescent="0.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2:27" ht="21" customHeight="1" x14ac:dyDescent="0.2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2:27" ht="21" customHeight="1" x14ac:dyDescent="0.2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2:27" ht="21" customHeight="1" x14ac:dyDescent="0.2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2:27" ht="21" customHeight="1" x14ac:dyDescent="0.2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2:27" ht="21" customHeight="1" x14ac:dyDescent="0.2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2:27" ht="21" customHeight="1" x14ac:dyDescent="0.2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2:27" ht="21" customHeight="1" x14ac:dyDescent="0.2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2:27" ht="21" customHeight="1" x14ac:dyDescent="0.2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2:27" ht="21" customHeight="1" x14ac:dyDescent="0.2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2:27" ht="21" customHeight="1" x14ac:dyDescent="0.2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2:27" ht="21" customHeight="1" x14ac:dyDescent="0.2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2:27" ht="21" customHeight="1" x14ac:dyDescent="0.2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2:27" ht="21" customHeight="1" x14ac:dyDescent="0.2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2:27" ht="21" customHeight="1" x14ac:dyDescent="0.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2:27" ht="21" customHeight="1" x14ac:dyDescent="0.2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2:27" ht="21" customHeight="1" x14ac:dyDescent="0.2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2:27" ht="21" customHeight="1" x14ac:dyDescent="0.2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2:27" ht="21" customHeight="1" x14ac:dyDescent="0.2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2:27" ht="21" customHeight="1" x14ac:dyDescent="0.2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2:27" ht="21" customHeight="1" x14ac:dyDescent="0.2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2:27" ht="21" customHeight="1" x14ac:dyDescent="0.2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2:27" ht="21" customHeight="1" x14ac:dyDescent="0.2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2:27" ht="21" customHeight="1" x14ac:dyDescent="0.2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2:27" ht="21" customHeight="1" x14ac:dyDescent="0.2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2:27" ht="21" customHeight="1" x14ac:dyDescent="0.2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2:27" ht="21" customHeight="1" x14ac:dyDescent="0.2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2:27" ht="21" customHeight="1" x14ac:dyDescent="0.2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2:27" ht="21" customHeight="1" x14ac:dyDescent="0.2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2:27" ht="21" customHeight="1" x14ac:dyDescent="0.2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2:27" ht="21" customHeight="1" x14ac:dyDescent="0.2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2:27" ht="21" customHeight="1" x14ac:dyDescent="0.2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2:27" ht="21" customHeight="1" x14ac:dyDescent="0.2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2:27" ht="21" customHeight="1" x14ac:dyDescent="0.2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2:27" ht="21" customHeight="1" x14ac:dyDescent="0.2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2:27" ht="21" customHeight="1" x14ac:dyDescent="0.2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2:27" ht="21" customHeight="1" x14ac:dyDescent="0.2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2:27" ht="21" customHeight="1" x14ac:dyDescent="0.2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2:27" ht="21" customHeight="1" x14ac:dyDescent="0.2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2:27" ht="21" customHeight="1" x14ac:dyDescent="0.2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2:27" ht="21" customHeight="1" x14ac:dyDescent="0.2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2:27" ht="21" customHeight="1" x14ac:dyDescent="0.2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2:27" ht="21" customHeight="1" x14ac:dyDescent="0.2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2:27" ht="21" customHeight="1" x14ac:dyDescent="0.2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2:27" ht="21" customHeight="1" x14ac:dyDescent="0.2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2:27" ht="21" customHeight="1" x14ac:dyDescent="0.2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2:27" ht="21" customHeight="1" x14ac:dyDescent="0.2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2:27" ht="21" customHeight="1" x14ac:dyDescent="0.2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2:27" ht="21" customHeight="1" x14ac:dyDescent="0.2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2:27" ht="21" customHeight="1" x14ac:dyDescent="0.2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2:27" ht="21" customHeight="1" x14ac:dyDescent="0.2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2:27" ht="21" customHeight="1" x14ac:dyDescent="0.2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2:27" ht="21" customHeight="1" x14ac:dyDescent="0.2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2:27" ht="21" customHeight="1" x14ac:dyDescent="0.2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2:27" ht="21" customHeight="1" x14ac:dyDescent="0.2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2:27" ht="21" customHeight="1" x14ac:dyDescent="0.2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2:27" ht="21" customHeight="1" x14ac:dyDescent="0.2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2:27" ht="21" customHeight="1" x14ac:dyDescent="0.2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2:27" ht="21" customHeight="1" x14ac:dyDescent="0.2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2:27" ht="21" customHeight="1" x14ac:dyDescent="0.2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2:27" ht="21" customHeight="1" x14ac:dyDescent="0.2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2:27" ht="21" customHeight="1" x14ac:dyDescent="0.2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2:27" ht="21" customHeight="1" x14ac:dyDescent="0.2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2:27" ht="21" customHeight="1" x14ac:dyDescent="0.2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2:27" ht="21" customHeight="1" x14ac:dyDescent="0.2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2:27" ht="21" customHeight="1" x14ac:dyDescent="0.2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2:27" ht="21" customHeight="1" x14ac:dyDescent="0.2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2:27" ht="21" customHeight="1" x14ac:dyDescent="0.2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2:27" ht="21" customHeight="1" x14ac:dyDescent="0.2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2:27" ht="21" customHeight="1" x14ac:dyDescent="0.2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2:27" ht="21" customHeight="1" x14ac:dyDescent="0.2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2:27" ht="21" customHeight="1" x14ac:dyDescent="0.2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2:27" ht="21" customHeight="1" x14ac:dyDescent="0.2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2:27" ht="21" customHeight="1" x14ac:dyDescent="0.2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2:27" ht="21" customHeight="1" x14ac:dyDescent="0.2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2:27" ht="21" customHeight="1" x14ac:dyDescent="0.2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2:27" ht="21" customHeight="1" x14ac:dyDescent="0.2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2:27" ht="21" customHeight="1" x14ac:dyDescent="0.2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2:27" ht="21" customHeight="1" x14ac:dyDescent="0.2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2:27" ht="21" customHeight="1" x14ac:dyDescent="0.2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2:27" ht="21" customHeight="1" x14ac:dyDescent="0.2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2:27" ht="21" customHeight="1" x14ac:dyDescent="0.2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2:27" ht="21" customHeight="1" x14ac:dyDescent="0.2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2:27" ht="21" customHeight="1" x14ac:dyDescent="0.2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2:27" ht="21" customHeight="1" x14ac:dyDescent="0.2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2:27" ht="21" customHeight="1" x14ac:dyDescent="0.2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2:27" ht="21" customHeight="1" x14ac:dyDescent="0.2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2:27" ht="15.75" customHeight="1" x14ac:dyDescent="0.2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2:27" ht="15.75" customHeight="1" x14ac:dyDescent="0.2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2:27" ht="15.75" customHeight="1" x14ac:dyDescent="0.2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2:27" ht="15.75" customHeight="1" x14ac:dyDescent="0.2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2:27" ht="15.75" customHeight="1" x14ac:dyDescent="0.2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2:27" ht="15.75" customHeight="1" x14ac:dyDescent="0.2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2:27" ht="15.75" customHeight="1" x14ac:dyDescent="0.2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2:27" ht="15.75" customHeight="1" x14ac:dyDescent="0.2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2:27" ht="15.75" customHeight="1" x14ac:dyDescent="0.2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2:27" ht="15.75" customHeight="1" x14ac:dyDescent="0.2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2:27" ht="15.75" customHeight="1" x14ac:dyDescent="0.2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2:27" ht="15.75" customHeight="1" x14ac:dyDescent="0.2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2:27" ht="15.75" customHeight="1" x14ac:dyDescent="0.2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2:27" ht="15.75" customHeight="1" x14ac:dyDescent="0.2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2:27" ht="15.75" customHeight="1" x14ac:dyDescent="0.2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2:27" ht="15.75" customHeight="1" x14ac:dyDescent="0.2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2:27" ht="15.75" customHeight="1" x14ac:dyDescent="0.2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2:27" ht="15.75" customHeight="1" x14ac:dyDescent="0.2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2:27" ht="15.75" customHeight="1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2:27" ht="15.75" customHeight="1" x14ac:dyDescent="0.2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2:27" ht="15.75" customHeight="1" x14ac:dyDescent="0.2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2:27" ht="15.75" customHeight="1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2:27" ht="15.75" customHeight="1" x14ac:dyDescent="0.2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2:27" ht="15.75" customHeight="1" x14ac:dyDescent="0.2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2:27" ht="15.75" customHeight="1" x14ac:dyDescent="0.2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2:27" ht="15.75" customHeight="1" x14ac:dyDescent="0.2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2:27" ht="15.75" customHeight="1" x14ac:dyDescent="0.2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2:27" ht="15.75" customHeight="1" x14ac:dyDescent="0.2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2:27" ht="15.75" customHeight="1" x14ac:dyDescent="0.2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2:27" ht="15.75" customHeight="1" x14ac:dyDescent="0.2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2:27" ht="15.75" customHeight="1" x14ac:dyDescent="0.2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2:27" ht="15.75" customHeight="1" x14ac:dyDescent="0.2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2:27" ht="15.75" customHeight="1" x14ac:dyDescent="0.2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2:27" ht="15.75" customHeight="1" x14ac:dyDescent="0.2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2:27" ht="15.75" customHeight="1" x14ac:dyDescent="0.2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2:27" ht="15.75" customHeight="1" x14ac:dyDescent="0.2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2:27" ht="15.75" customHeight="1" x14ac:dyDescent="0.2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2:27" ht="15.75" customHeight="1" x14ac:dyDescent="0.2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2:27" ht="15.75" customHeight="1" x14ac:dyDescent="0.2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2:27" ht="15.75" customHeight="1" x14ac:dyDescent="0.2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2:27" ht="15.75" customHeight="1" x14ac:dyDescent="0.2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2:27" ht="15.75" customHeight="1" x14ac:dyDescent="0.2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2:27" ht="15.75" customHeight="1" x14ac:dyDescent="0.2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2:27" ht="15.75" customHeight="1" x14ac:dyDescent="0.2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2:27" ht="15.75" customHeight="1" x14ac:dyDescent="0.2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2:27" ht="15.75" customHeight="1" x14ac:dyDescent="0.2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2:27" ht="15.75" customHeight="1" x14ac:dyDescent="0.2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2:27" ht="15.75" customHeight="1" x14ac:dyDescent="0.2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2:27" ht="15.75" customHeight="1" x14ac:dyDescent="0.2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2:27" ht="15.75" customHeight="1" x14ac:dyDescent="0.2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2:27" ht="15.75" customHeight="1" x14ac:dyDescent="0.2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2:27" ht="15.75" customHeight="1" x14ac:dyDescent="0.2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2:27" ht="15.75" customHeight="1" x14ac:dyDescent="0.2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2:27" ht="15.75" customHeight="1" x14ac:dyDescent="0.2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2:27" ht="15.75" customHeight="1" x14ac:dyDescent="0.2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2:27" ht="15.75" customHeight="1" x14ac:dyDescent="0.2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2:27" ht="15.75" customHeight="1" x14ac:dyDescent="0.2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2:27" ht="15.75" customHeight="1" x14ac:dyDescent="0.2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2:27" ht="15.75" customHeight="1" x14ac:dyDescent="0.2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2:27" ht="15.75" customHeight="1" x14ac:dyDescent="0.2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2:27" ht="15.75" customHeight="1" x14ac:dyDescent="0.2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2:27" ht="15.75" customHeight="1" x14ac:dyDescent="0.2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2:27" ht="15.75" customHeight="1" x14ac:dyDescent="0.2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2:27" ht="15.75" customHeight="1" x14ac:dyDescent="0.2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2:27" ht="15.75" customHeight="1" x14ac:dyDescent="0.2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2:27" ht="15.75" customHeight="1" x14ac:dyDescent="0.2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2:27" ht="15.75" customHeight="1" x14ac:dyDescent="0.2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2:27" ht="15.75" customHeight="1" x14ac:dyDescent="0.2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2:27" ht="15.75" customHeight="1" x14ac:dyDescent="0.2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2:27" ht="15.75" customHeight="1" x14ac:dyDescent="0.2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2:27" ht="15.75" customHeight="1" x14ac:dyDescent="0.2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2:27" ht="15.75" customHeight="1" x14ac:dyDescent="0.2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2:27" ht="15.75" customHeight="1" x14ac:dyDescent="0.2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2:27" ht="15.75" customHeight="1" x14ac:dyDescent="0.2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2:27" ht="15.75" customHeight="1" x14ac:dyDescent="0.2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2:27" ht="15.75" customHeight="1" x14ac:dyDescent="0.2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2:27" ht="15.75" customHeight="1" x14ac:dyDescent="0.2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2:27" ht="15.75" customHeight="1" x14ac:dyDescent="0.2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2:27" ht="15.75" customHeight="1" x14ac:dyDescent="0.2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2:27" ht="15.75" customHeight="1" x14ac:dyDescent="0.2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2:27" ht="15.75" customHeight="1" x14ac:dyDescent="0.2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2:27" ht="15.75" customHeight="1" x14ac:dyDescent="0.2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2:27" ht="15.75" customHeight="1" x14ac:dyDescent="0.2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2:27" ht="15.75" customHeight="1" x14ac:dyDescent="0.2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2:27" ht="15.75" customHeight="1" x14ac:dyDescent="0.2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2:27" ht="15.75" customHeight="1" x14ac:dyDescent="0.2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2:27" ht="15.75" customHeight="1" x14ac:dyDescent="0.2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2:27" ht="15.75" customHeight="1" x14ac:dyDescent="0.2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2:27" ht="15.75" customHeight="1" x14ac:dyDescent="0.2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2:27" ht="15.75" customHeight="1" x14ac:dyDescent="0.2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2:27" ht="15.75" customHeight="1" x14ac:dyDescent="0.2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2:27" ht="15.75" customHeight="1" x14ac:dyDescent="0.2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2:27" ht="15.75" customHeight="1" x14ac:dyDescent="0.2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2:27" ht="15.75" customHeight="1" x14ac:dyDescent="0.2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2:27" ht="15.75" customHeight="1" x14ac:dyDescent="0.2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2:27" ht="15.75" customHeight="1" x14ac:dyDescent="0.2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2:27" ht="15.75" customHeight="1" x14ac:dyDescent="0.2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2:27" ht="15.75" customHeight="1" x14ac:dyDescent="0.2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2:27" ht="15.75" customHeight="1" x14ac:dyDescent="0.2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2:27" ht="15.75" customHeight="1" x14ac:dyDescent="0.2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2:27" ht="15.75" customHeight="1" x14ac:dyDescent="0.2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2:27" ht="15.75" customHeight="1" x14ac:dyDescent="0.2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2:27" ht="15.75" customHeight="1" x14ac:dyDescent="0.2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2:27" ht="15.75" customHeight="1" x14ac:dyDescent="0.2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2:27" ht="15.75" customHeight="1" x14ac:dyDescent="0.2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2:27" ht="15.75" customHeight="1" x14ac:dyDescent="0.2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2:27" ht="15.75" customHeight="1" x14ac:dyDescent="0.2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2:27" ht="15.75" customHeight="1" x14ac:dyDescent="0.2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2:27" ht="15.75" customHeight="1" x14ac:dyDescent="0.2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2:27" ht="15.75" customHeight="1" x14ac:dyDescent="0.2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2:27" ht="15.75" customHeight="1" x14ac:dyDescent="0.2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2:27" ht="15.75" customHeight="1" x14ac:dyDescent="0.2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2:27" ht="15.75" customHeight="1" x14ac:dyDescent="0.2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2:27" ht="15.75" customHeight="1" x14ac:dyDescent="0.2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2:27" ht="15.75" customHeight="1" x14ac:dyDescent="0.2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2:27" ht="15.75" customHeight="1" x14ac:dyDescent="0.2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2:27" ht="15.75" customHeight="1" x14ac:dyDescent="0.2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2:27" ht="15.75" customHeight="1" x14ac:dyDescent="0.2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2:27" ht="15.75" customHeight="1" x14ac:dyDescent="0.2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2:27" ht="15.75" customHeight="1" x14ac:dyDescent="0.2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2:27" ht="15.75" customHeight="1" x14ac:dyDescent="0.2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2:27" ht="15.75" customHeight="1" x14ac:dyDescent="0.2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2:27" ht="15.75" customHeight="1" x14ac:dyDescent="0.2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2:27" ht="15.75" customHeight="1" x14ac:dyDescent="0.2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2:27" ht="15.75" customHeight="1" x14ac:dyDescent="0.2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2:27" ht="15.75" customHeight="1" x14ac:dyDescent="0.2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2:27" ht="15.75" customHeight="1" x14ac:dyDescent="0.2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2:27" ht="15.75" customHeight="1" x14ac:dyDescent="0.2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2:27" ht="15.75" customHeight="1" x14ac:dyDescent="0.2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2:27" ht="15.75" customHeight="1" x14ac:dyDescent="0.2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2:27" ht="15.75" customHeight="1" x14ac:dyDescent="0.2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2:27" ht="15.75" customHeight="1" x14ac:dyDescent="0.2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2:27" ht="15.75" customHeight="1" x14ac:dyDescent="0.2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2:27" ht="15.75" customHeight="1" x14ac:dyDescent="0.2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2:27" ht="15.75" customHeight="1" x14ac:dyDescent="0.2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2:27" ht="15.75" customHeight="1" x14ac:dyDescent="0.2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2:27" ht="15.75" customHeight="1" x14ac:dyDescent="0.2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2:27" ht="15.75" customHeight="1" x14ac:dyDescent="0.2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2:27" ht="15.75" customHeight="1" x14ac:dyDescent="0.2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2:27" ht="15.75" customHeight="1" x14ac:dyDescent="0.2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2:27" ht="15.75" customHeight="1" x14ac:dyDescent="0.2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2:27" ht="15.75" customHeight="1" x14ac:dyDescent="0.2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2:27" ht="15.75" customHeight="1" x14ac:dyDescent="0.2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2:27" ht="15.75" customHeight="1" x14ac:dyDescent="0.2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2:27" ht="15.75" customHeight="1" x14ac:dyDescent="0.2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2:27" ht="15.75" customHeight="1" x14ac:dyDescent="0.2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2:27" ht="15.75" customHeight="1" x14ac:dyDescent="0.2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2:27" ht="15.75" customHeight="1" x14ac:dyDescent="0.2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2:27" ht="15.75" customHeight="1" x14ac:dyDescent="0.2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2:27" ht="15.75" customHeight="1" x14ac:dyDescent="0.2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2:27" ht="15.75" customHeight="1" x14ac:dyDescent="0.2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2:27" ht="15.75" customHeight="1" x14ac:dyDescent="0.2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2:27" ht="15.75" customHeight="1" x14ac:dyDescent="0.2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2:27" ht="15.75" customHeight="1" x14ac:dyDescent="0.2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2:27" ht="15.75" customHeight="1" x14ac:dyDescent="0.2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2:27" ht="15.75" customHeight="1" x14ac:dyDescent="0.2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2:27" ht="15.75" customHeight="1" x14ac:dyDescent="0.2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2:27" ht="15.75" customHeight="1" x14ac:dyDescent="0.2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2:27" ht="15.75" customHeight="1" x14ac:dyDescent="0.2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2:27" ht="15.75" customHeight="1" x14ac:dyDescent="0.2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2:27" ht="15.75" customHeight="1" x14ac:dyDescent="0.2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2:27" ht="15.75" customHeight="1" x14ac:dyDescent="0.2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2:27" ht="15.75" customHeight="1" x14ac:dyDescent="0.2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2:27" ht="15.75" customHeight="1" x14ac:dyDescent="0.2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2:27" ht="15.75" customHeight="1" x14ac:dyDescent="0.2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2:27" ht="15.75" customHeight="1" x14ac:dyDescent="0.2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2:27" ht="15.75" customHeight="1" x14ac:dyDescent="0.2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2:27" ht="15.75" customHeight="1" x14ac:dyDescent="0.2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2:27" ht="15.75" customHeight="1" x14ac:dyDescent="0.2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2:27" ht="15.75" customHeight="1" x14ac:dyDescent="0.2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2:27" ht="15.75" customHeight="1" x14ac:dyDescent="0.2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2:27" ht="15.75" customHeight="1" x14ac:dyDescent="0.2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2:27" ht="15.75" customHeight="1" x14ac:dyDescent="0.2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2:27" ht="15.75" customHeight="1" x14ac:dyDescent="0.2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2:27" ht="15.75" customHeight="1" x14ac:dyDescent="0.2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2:27" ht="15.75" customHeight="1" x14ac:dyDescent="0.2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2:27" ht="15.75" customHeight="1" x14ac:dyDescent="0.2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2:27" ht="15.75" customHeight="1" x14ac:dyDescent="0.2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2:27" ht="15.75" customHeight="1" x14ac:dyDescent="0.2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2:27" ht="15.75" customHeight="1" x14ac:dyDescent="0.2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2:27" ht="15.75" customHeight="1" x14ac:dyDescent="0.2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2:27" ht="15.75" customHeight="1" x14ac:dyDescent="0.2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2:27" ht="15.75" customHeight="1" x14ac:dyDescent="0.2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2:27" ht="15.75" customHeight="1" x14ac:dyDescent="0.2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2:27" ht="15.75" customHeight="1" x14ac:dyDescent="0.2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2:27" ht="15.75" customHeight="1" x14ac:dyDescent="0.2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2:27" ht="15.75" customHeight="1" x14ac:dyDescent="0.2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2:27" ht="15.75" customHeight="1" x14ac:dyDescent="0.2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2:27" ht="15.75" customHeight="1" x14ac:dyDescent="0.2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2:27" ht="15.75" customHeight="1" x14ac:dyDescent="0.2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2:27" ht="15.75" customHeight="1" x14ac:dyDescent="0.2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2:27" ht="15.75" customHeight="1" x14ac:dyDescent="0.2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2:27" ht="15.75" customHeight="1" x14ac:dyDescent="0.2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2:27" ht="15.75" customHeight="1" x14ac:dyDescent="0.2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2:27" ht="15.75" customHeight="1" x14ac:dyDescent="0.2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2:27" ht="15.75" customHeight="1" x14ac:dyDescent="0.2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2:27" ht="15.75" customHeight="1" x14ac:dyDescent="0.2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2:27" ht="15.75" customHeight="1" x14ac:dyDescent="0.2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2:27" ht="15.75" customHeight="1" x14ac:dyDescent="0.2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2:27" ht="15.75" customHeight="1" x14ac:dyDescent="0.2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2:27" ht="15.75" customHeight="1" x14ac:dyDescent="0.2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2:27" ht="15.75" customHeight="1" x14ac:dyDescent="0.2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2:27" ht="15.75" customHeight="1" x14ac:dyDescent="0.2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2:27" ht="15.75" customHeight="1" x14ac:dyDescent="0.2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2:27" ht="15.75" customHeight="1" x14ac:dyDescent="0.2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2:27" ht="15.75" customHeight="1" x14ac:dyDescent="0.2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2:27" ht="15.75" customHeight="1" x14ac:dyDescent="0.2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2:27" ht="15.75" customHeight="1" x14ac:dyDescent="0.2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2:27" ht="15.75" customHeight="1" x14ac:dyDescent="0.2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2:27" ht="15.75" customHeight="1" x14ac:dyDescent="0.2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2:27" ht="15.75" customHeight="1" x14ac:dyDescent="0.2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2:27" ht="15.75" customHeight="1" x14ac:dyDescent="0.2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2:27" ht="15.75" customHeight="1" x14ac:dyDescent="0.2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2:27" ht="15.75" customHeight="1" x14ac:dyDescent="0.2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2:27" ht="15.75" customHeight="1" x14ac:dyDescent="0.2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2:27" ht="15.75" customHeight="1" x14ac:dyDescent="0.2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2:27" ht="15.75" customHeight="1" x14ac:dyDescent="0.2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2:27" ht="15.75" customHeight="1" x14ac:dyDescent="0.2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2:27" ht="15.75" customHeight="1" x14ac:dyDescent="0.2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2:27" ht="15.75" customHeight="1" x14ac:dyDescent="0.2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2:27" ht="15.75" customHeight="1" x14ac:dyDescent="0.2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2:27" ht="15.75" customHeight="1" x14ac:dyDescent="0.2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2:27" ht="15.75" customHeight="1" x14ac:dyDescent="0.2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2:27" ht="15.75" customHeight="1" x14ac:dyDescent="0.2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2:27" ht="15.75" customHeight="1" x14ac:dyDescent="0.2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2:27" ht="15.75" customHeight="1" x14ac:dyDescent="0.2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2:27" ht="15.75" customHeight="1" x14ac:dyDescent="0.2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2:27" ht="15.75" customHeight="1" x14ac:dyDescent="0.2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2:27" ht="15.75" customHeight="1" x14ac:dyDescent="0.2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2:27" ht="15.75" customHeight="1" x14ac:dyDescent="0.2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2:27" ht="15.75" customHeight="1" x14ac:dyDescent="0.2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2:27" ht="15.75" customHeight="1" x14ac:dyDescent="0.2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2:27" ht="15.75" customHeight="1" x14ac:dyDescent="0.2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2:27" ht="15.75" customHeight="1" x14ac:dyDescent="0.2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2:27" ht="15.75" customHeight="1" x14ac:dyDescent="0.2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2:27" ht="15.75" customHeight="1" x14ac:dyDescent="0.2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2:27" ht="15.75" customHeight="1" x14ac:dyDescent="0.2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2:27" ht="15.75" customHeight="1" x14ac:dyDescent="0.2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2:27" ht="15.75" customHeight="1" x14ac:dyDescent="0.2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2:27" ht="15.75" customHeight="1" x14ac:dyDescent="0.2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2:27" ht="15.75" customHeight="1" x14ac:dyDescent="0.2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2:27" ht="15.75" customHeight="1" x14ac:dyDescent="0.2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2:27" ht="15.75" customHeight="1" x14ac:dyDescent="0.2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2:27" ht="15.75" customHeight="1" x14ac:dyDescent="0.2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2:27" ht="15.75" customHeight="1" x14ac:dyDescent="0.2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2:27" ht="15.75" customHeight="1" x14ac:dyDescent="0.2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2:27" ht="15.75" customHeight="1" x14ac:dyDescent="0.2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2:27" ht="15.75" customHeight="1" x14ac:dyDescent="0.2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2:27" ht="15.75" customHeight="1" x14ac:dyDescent="0.2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2:27" ht="15.75" customHeight="1" x14ac:dyDescent="0.2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2:27" ht="15.75" customHeight="1" x14ac:dyDescent="0.2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2:27" ht="15.75" customHeight="1" x14ac:dyDescent="0.2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2:27" ht="15.75" customHeight="1" x14ac:dyDescent="0.2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2:27" ht="15.75" customHeight="1" x14ac:dyDescent="0.2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2:27" ht="15.75" customHeight="1" x14ac:dyDescent="0.2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2:27" ht="15.75" customHeight="1" x14ac:dyDescent="0.2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2:27" ht="15.75" customHeight="1" x14ac:dyDescent="0.2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2:27" ht="15.75" customHeight="1" x14ac:dyDescent="0.2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2:27" ht="15.75" customHeight="1" x14ac:dyDescent="0.2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2:27" ht="15.75" customHeight="1" x14ac:dyDescent="0.2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2:27" ht="15.75" customHeight="1" x14ac:dyDescent="0.2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2:27" ht="15.75" customHeight="1" x14ac:dyDescent="0.2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2:27" ht="15.75" customHeight="1" x14ac:dyDescent="0.2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2:27" ht="15.75" customHeight="1" x14ac:dyDescent="0.2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2:27" ht="15.75" customHeight="1" x14ac:dyDescent="0.2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2:27" ht="15.75" customHeight="1" x14ac:dyDescent="0.2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2:27" ht="15.75" customHeight="1" x14ac:dyDescent="0.2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2:27" ht="15.75" customHeight="1" x14ac:dyDescent="0.2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2:27" ht="15.75" customHeight="1" x14ac:dyDescent="0.2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2:27" ht="15.75" customHeight="1" x14ac:dyDescent="0.2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2:27" ht="15.75" customHeight="1" x14ac:dyDescent="0.2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2:27" ht="15.75" customHeight="1" x14ac:dyDescent="0.2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2:27" ht="15.75" customHeight="1" x14ac:dyDescent="0.2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2:27" ht="15.75" customHeight="1" x14ac:dyDescent="0.2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2:27" ht="15.75" customHeight="1" x14ac:dyDescent="0.2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2:27" ht="15.75" customHeight="1" x14ac:dyDescent="0.2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2:27" ht="15.75" customHeight="1" x14ac:dyDescent="0.2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2:27" ht="15.75" customHeight="1" x14ac:dyDescent="0.2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2:27" ht="15.75" customHeight="1" x14ac:dyDescent="0.2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2:27" ht="15.75" customHeight="1" x14ac:dyDescent="0.2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2:27" ht="15.75" customHeight="1" x14ac:dyDescent="0.2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2:27" ht="15.75" customHeight="1" x14ac:dyDescent="0.2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2:27" ht="15.75" customHeight="1" x14ac:dyDescent="0.2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2:27" ht="15.75" customHeight="1" x14ac:dyDescent="0.2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2:27" ht="15.75" customHeight="1" x14ac:dyDescent="0.2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2:27" ht="15.75" customHeight="1" x14ac:dyDescent="0.2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2:27" ht="15.75" customHeight="1" x14ac:dyDescent="0.2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2:27" ht="15.75" customHeight="1" x14ac:dyDescent="0.2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2:27" ht="15.75" customHeight="1" x14ac:dyDescent="0.2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2:27" ht="15.75" customHeight="1" x14ac:dyDescent="0.2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2:27" ht="15.75" customHeight="1" x14ac:dyDescent="0.2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2:27" ht="15.75" customHeight="1" x14ac:dyDescent="0.2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2:27" ht="15.75" customHeight="1" x14ac:dyDescent="0.2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2:27" ht="15.75" customHeight="1" x14ac:dyDescent="0.2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2:27" ht="15.75" customHeight="1" x14ac:dyDescent="0.2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2:27" ht="15.75" customHeight="1" x14ac:dyDescent="0.2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2:27" ht="15.75" customHeight="1" x14ac:dyDescent="0.2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2:27" ht="15.75" customHeight="1" x14ac:dyDescent="0.2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2:27" ht="15.75" customHeight="1" x14ac:dyDescent="0.2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2:27" ht="15.75" customHeight="1" x14ac:dyDescent="0.2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2:27" ht="15.75" customHeight="1" x14ac:dyDescent="0.2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2:27" ht="15.75" customHeight="1" x14ac:dyDescent="0.2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2:27" ht="15.75" customHeight="1" x14ac:dyDescent="0.2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2:27" ht="15.75" customHeight="1" x14ac:dyDescent="0.2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2:27" ht="15.75" customHeight="1" x14ac:dyDescent="0.2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2:27" ht="15.75" customHeight="1" x14ac:dyDescent="0.2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2:27" ht="15.75" customHeight="1" x14ac:dyDescent="0.2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2:27" ht="15.75" customHeight="1" x14ac:dyDescent="0.2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2:27" ht="15.75" customHeight="1" x14ac:dyDescent="0.2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2:27" ht="15.75" customHeight="1" x14ac:dyDescent="0.2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2:27" ht="15.75" customHeight="1" x14ac:dyDescent="0.2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2:27" ht="15.75" customHeight="1" x14ac:dyDescent="0.2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2:27" ht="15.75" customHeight="1" x14ac:dyDescent="0.2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2:27" ht="15.75" customHeight="1" x14ac:dyDescent="0.2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2:27" ht="15.75" customHeight="1" x14ac:dyDescent="0.2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2:27" ht="15.75" customHeight="1" x14ac:dyDescent="0.2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2:27" ht="15.75" customHeight="1" x14ac:dyDescent="0.2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2:27" ht="15.75" customHeight="1" x14ac:dyDescent="0.2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2:27" ht="15.75" customHeight="1" x14ac:dyDescent="0.2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2:27" ht="15.75" customHeight="1" x14ac:dyDescent="0.2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2:27" ht="15.75" customHeight="1" x14ac:dyDescent="0.2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2:27" ht="15.75" customHeight="1" x14ac:dyDescent="0.2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2:27" ht="15.75" customHeight="1" x14ac:dyDescent="0.2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2:27" ht="15.75" customHeight="1" x14ac:dyDescent="0.2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2:27" ht="15.75" customHeight="1" x14ac:dyDescent="0.2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2:27" ht="15.75" customHeight="1" x14ac:dyDescent="0.2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2:27" ht="15.75" customHeight="1" x14ac:dyDescent="0.2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2:27" ht="15.75" customHeight="1" x14ac:dyDescent="0.2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2:27" ht="15.75" customHeight="1" x14ac:dyDescent="0.2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2:27" ht="15.75" customHeight="1" x14ac:dyDescent="0.2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2:27" ht="15.75" customHeight="1" x14ac:dyDescent="0.2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2:27" ht="15.75" customHeight="1" x14ac:dyDescent="0.2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2:27" ht="15.75" customHeight="1" x14ac:dyDescent="0.2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2:27" ht="15.75" customHeight="1" x14ac:dyDescent="0.2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2:27" ht="15.75" customHeight="1" x14ac:dyDescent="0.2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2:27" ht="15.75" customHeight="1" x14ac:dyDescent="0.2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2:27" ht="15.75" customHeight="1" x14ac:dyDescent="0.2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2:27" ht="15.75" customHeight="1" x14ac:dyDescent="0.2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2:27" ht="15.75" customHeight="1" x14ac:dyDescent="0.2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2:27" ht="15.75" customHeight="1" x14ac:dyDescent="0.2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2:27" ht="15.75" customHeight="1" x14ac:dyDescent="0.2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2:27" ht="15.75" customHeight="1" x14ac:dyDescent="0.2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2:27" ht="15.75" customHeight="1" x14ac:dyDescent="0.2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2:27" ht="15.75" customHeight="1" x14ac:dyDescent="0.2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2:27" ht="15.75" customHeight="1" x14ac:dyDescent="0.2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2:27" ht="15.75" customHeight="1" x14ac:dyDescent="0.2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2:27" ht="15.75" customHeight="1" x14ac:dyDescent="0.2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2:27" ht="15.75" customHeight="1" x14ac:dyDescent="0.2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2:27" ht="15.75" customHeight="1" x14ac:dyDescent="0.2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2:27" ht="15.75" customHeight="1" x14ac:dyDescent="0.2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2:27" ht="15.75" customHeight="1" x14ac:dyDescent="0.2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2:27" ht="15.75" customHeight="1" x14ac:dyDescent="0.2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2:27" ht="15.75" customHeight="1" x14ac:dyDescent="0.2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2:27" ht="15.75" customHeight="1" x14ac:dyDescent="0.2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2:27" ht="15.75" customHeight="1" x14ac:dyDescent="0.2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2:27" ht="15.75" customHeight="1" x14ac:dyDescent="0.2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2:27" ht="15.75" customHeight="1" x14ac:dyDescent="0.2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2:27" ht="15.75" customHeight="1" x14ac:dyDescent="0.2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2:27" ht="15.75" customHeight="1" x14ac:dyDescent="0.2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2:27" ht="15.75" customHeight="1" x14ac:dyDescent="0.2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2:27" ht="15.75" customHeight="1" x14ac:dyDescent="0.2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2:27" ht="15.75" customHeight="1" x14ac:dyDescent="0.2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2:27" ht="15.75" customHeight="1" x14ac:dyDescent="0.2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2:27" ht="15.75" customHeight="1" x14ac:dyDescent="0.2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2:27" ht="15.75" customHeight="1" x14ac:dyDescent="0.2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2:27" ht="15.75" customHeight="1" x14ac:dyDescent="0.2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2:27" ht="15.75" customHeight="1" x14ac:dyDescent="0.2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2:27" ht="15.75" customHeight="1" x14ac:dyDescent="0.2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2:27" ht="15.75" customHeight="1" x14ac:dyDescent="0.2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2:27" ht="15.75" customHeight="1" x14ac:dyDescent="0.2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2:27" ht="15.75" customHeight="1" x14ac:dyDescent="0.2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2:27" ht="15.75" customHeight="1" x14ac:dyDescent="0.2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2:27" ht="15.75" customHeight="1" x14ac:dyDescent="0.2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2:27" ht="15.75" customHeight="1" x14ac:dyDescent="0.2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2:27" ht="15.75" customHeight="1" x14ac:dyDescent="0.2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2:27" ht="15.75" customHeight="1" x14ac:dyDescent="0.2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2:27" ht="15.75" customHeight="1" x14ac:dyDescent="0.2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2:27" ht="15.75" customHeight="1" x14ac:dyDescent="0.2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2:27" ht="15.75" customHeight="1" x14ac:dyDescent="0.2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2:27" ht="15.75" customHeight="1" x14ac:dyDescent="0.2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2:27" ht="15.75" customHeight="1" x14ac:dyDescent="0.2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2:27" ht="15.75" customHeight="1" x14ac:dyDescent="0.2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2:27" ht="15.75" customHeight="1" x14ac:dyDescent="0.2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2:27" ht="15.75" customHeight="1" x14ac:dyDescent="0.2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2:27" ht="15.75" customHeight="1" x14ac:dyDescent="0.2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2:27" ht="15.75" customHeight="1" x14ac:dyDescent="0.2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2:27" ht="15.75" customHeight="1" x14ac:dyDescent="0.2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2:27" ht="15.75" customHeight="1" x14ac:dyDescent="0.2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2:27" ht="15.75" customHeight="1" x14ac:dyDescent="0.2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2:27" ht="15.75" customHeight="1" x14ac:dyDescent="0.2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2:27" ht="15.75" customHeight="1" x14ac:dyDescent="0.2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2:27" ht="15.75" customHeight="1" x14ac:dyDescent="0.2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2:27" ht="15.75" customHeight="1" x14ac:dyDescent="0.2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2:27" ht="15.75" customHeight="1" x14ac:dyDescent="0.2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2:27" ht="15.75" customHeight="1" x14ac:dyDescent="0.2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2:27" ht="15.75" customHeight="1" x14ac:dyDescent="0.2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2:27" ht="15.75" customHeight="1" x14ac:dyDescent="0.2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2:27" ht="15.75" customHeight="1" x14ac:dyDescent="0.2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2:27" ht="15.75" customHeight="1" x14ac:dyDescent="0.2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2:27" ht="15.75" customHeight="1" x14ac:dyDescent="0.2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2:27" ht="15.75" customHeight="1" x14ac:dyDescent="0.2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2:27" ht="15.75" customHeight="1" x14ac:dyDescent="0.2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2:27" ht="15.75" customHeight="1" x14ac:dyDescent="0.2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2:27" ht="15.75" customHeight="1" x14ac:dyDescent="0.2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2:27" ht="15.75" customHeight="1" x14ac:dyDescent="0.2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2:27" ht="15.75" customHeight="1" x14ac:dyDescent="0.2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2:27" ht="15.75" customHeight="1" x14ac:dyDescent="0.2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2:27" ht="15.75" customHeight="1" x14ac:dyDescent="0.2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2:27" ht="15.75" customHeight="1" x14ac:dyDescent="0.2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2:27" ht="15.75" customHeight="1" x14ac:dyDescent="0.2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2:27" ht="15.75" customHeight="1" x14ac:dyDescent="0.2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2:27" ht="15.75" customHeight="1" x14ac:dyDescent="0.2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2:27" ht="15.75" customHeight="1" x14ac:dyDescent="0.2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2:27" ht="15.75" customHeight="1" x14ac:dyDescent="0.2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2:27" ht="15.75" customHeight="1" x14ac:dyDescent="0.2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2:27" ht="15.75" customHeight="1" x14ac:dyDescent="0.2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2:27" ht="15.75" customHeight="1" x14ac:dyDescent="0.2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2:27" ht="15.75" customHeight="1" x14ac:dyDescent="0.2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2:27" ht="15.75" customHeight="1" x14ac:dyDescent="0.2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2:27" ht="15.75" customHeight="1" x14ac:dyDescent="0.2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2:27" ht="15.75" customHeight="1" x14ac:dyDescent="0.2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2:27" ht="15.75" customHeight="1" x14ac:dyDescent="0.2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2:27" ht="15.75" customHeight="1" x14ac:dyDescent="0.2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2:27" ht="15.75" customHeight="1" x14ac:dyDescent="0.2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2:27" ht="15.75" customHeight="1" x14ac:dyDescent="0.2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2:27" ht="15.75" customHeight="1" x14ac:dyDescent="0.2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2:27" ht="15.75" customHeight="1" x14ac:dyDescent="0.2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2:27" ht="15.75" customHeight="1" x14ac:dyDescent="0.2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2:27" ht="15.75" customHeight="1" x14ac:dyDescent="0.2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2:27" ht="15.75" customHeight="1" x14ac:dyDescent="0.2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2:27" ht="15.75" customHeight="1" x14ac:dyDescent="0.2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2:27" ht="15.75" customHeight="1" x14ac:dyDescent="0.2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2:27" ht="15.75" customHeight="1" x14ac:dyDescent="0.2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2:27" ht="15.75" customHeight="1" x14ac:dyDescent="0.2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2:27" ht="15.75" customHeight="1" x14ac:dyDescent="0.2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2:27" ht="15.75" customHeight="1" x14ac:dyDescent="0.2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2:27" ht="15.75" customHeight="1" x14ac:dyDescent="0.2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2:27" ht="15.75" customHeight="1" x14ac:dyDescent="0.2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2:27" ht="15.75" customHeight="1" x14ac:dyDescent="0.2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2:27" ht="15.75" customHeight="1" x14ac:dyDescent="0.2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2:27" ht="15.75" customHeight="1" x14ac:dyDescent="0.2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2:27" ht="15.75" customHeight="1" x14ac:dyDescent="0.2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2:27" ht="15.75" customHeight="1" x14ac:dyDescent="0.2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2:27" ht="15.75" customHeight="1" x14ac:dyDescent="0.2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2:27" ht="15.75" customHeight="1" x14ac:dyDescent="0.2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2:27" ht="15.75" customHeight="1" x14ac:dyDescent="0.2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2:27" ht="15.75" customHeight="1" x14ac:dyDescent="0.2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2:27" ht="15.75" customHeight="1" x14ac:dyDescent="0.2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2:27" ht="15.75" customHeight="1" x14ac:dyDescent="0.2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2:27" ht="15.75" customHeight="1" x14ac:dyDescent="0.2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2:27" ht="15.75" customHeight="1" x14ac:dyDescent="0.2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2:27" ht="15.75" customHeight="1" x14ac:dyDescent="0.2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2:27" ht="15.75" customHeight="1" x14ac:dyDescent="0.2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2:27" ht="15.75" customHeight="1" x14ac:dyDescent="0.2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2:27" ht="15.75" customHeight="1" x14ac:dyDescent="0.2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2:27" ht="15.75" customHeight="1" x14ac:dyDescent="0.2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2:27" ht="15.75" customHeight="1" x14ac:dyDescent="0.2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2:27" ht="15.75" customHeight="1" x14ac:dyDescent="0.2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2:27" ht="15.75" customHeight="1" x14ac:dyDescent="0.2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2:27" ht="15.75" customHeight="1" x14ac:dyDescent="0.2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2:27" ht="15.75" customHeight="1" x14ac:dyDescent="0.2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2:27" ht="15.75" customHeight="1" x14ac:dyDescent="0.2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2:27" ht="15.75" customHeight="1" x14ac:dyDescent="0.2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2:27" ht="15.75" customHeight="1" x14ac:dyDescent="0.2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2:27" ht="15.75" customHeight="1" x14ac:dyDescent="0.2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2:27" ht="15.75" customHeight="1" x14ac:dyDescent="0.2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2:27" ht="15.75" customHeight="1" x14ac:dyDescent="0.2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2:27" ht="15.75" customHeight="1" x14ac:dyDescent="0.2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2:27" ht="15.75" customHeight="1" x14ac:dyDescent="0.2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2:27" ht="15.75" customHeight="1" x14ac:dyDescent="0.2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2:27" ht="15.75" customHeight="1" x14ac:dyDescent="0.2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2:27" ht="15.75" customHeight="1" x14ac:dyDescent="0.2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2:27" ht="15.75" customHeight="1" x14ac:dyDescent="0.2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2:27" ht="15.75" customHeight="1" x14ac:dyDescent="0.2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2:27" ht="15.75" customHeight="1" x14ac:dyDescent="0.2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2:27" ht="15.75" customHeight="1" x14ac:dyDescent="0.2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2:27" ht="15.75" customHeight="1" x14ac:dyDescent="0.2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2:27" ht="15.75" customHeight="1" x14ac:dyDescent="0.2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2:27" ht="15.75" customHeight="1" x14ac:dyDescent="0.2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2:27" ht="15.75" customHeight="1" x14ac:dyDescent="0.2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2:27" ht="15.75" customHeight="1" x14ac:dyDescent="0.2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2:27" ht="15.75" customHeight="1" x14ac:dyDescent="0.2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2:27" ht="15.75" customHeight="1" x14ac:dyDescent="0.2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2:27" ht="15.75" customHeight="1" x14ac:dyDescent="0.2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2:27" ht="15.75" customHeight="1" x14ac:dyDescent="0.2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2:27" ht="15.75" customHeight="1" x14ac:dyDescent="0.2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2:27" ht="15.75" customHeight="1" x14ac:dyDescent="0.2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2:27" ht="15.75" customHeight="1" x14ac:dyDescent="0.2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2:27" ht="15.75" customHeight="1" x14ac:dyDescent="0.2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2:27" ht="15.75" customHeight="1" x14ac:dyDescent="0.2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2:27" ht="15.75" customHeight="1" x14ac:dyDescent="0.2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2:27" ht="15.75" customHeight="1" x14ac:dyDescent="0.2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2:27" ht="15.75" customHeight="1" x14ac:dyDescent="0.2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2:27" ht="15.75" customHeight="1" x14ac:dyDescent="0.2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2:27" ht="15.75" customHeight="1" x14ac:dyDescent="0.2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2:27" ht="15.75" customHeight="1" x14ac:dyDescent="0.2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2:27" ht="15.75" customHeight="1" x14ac:dyDescent="0.2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2:27" ht="15.75" customHeight="1" x14ac:dyDescent="0.2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2:27" ht="15.75" customHeight="1" x14ac:dyDescent="0.2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2:27" ht="15.75" customHeight="1" x14ac:dyDescent="0.2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2:27" ht="15.75" customHeight="1" x14ac:dyDescent="0.2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2:27" ht="15.75" customHeight="1" x14ac:dyDescent="0.2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2:27" ht="15.75" customHeight="1" x14ac:dyDescent="0.2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2:27" ht="15.75" customHeight="1" x14ac:dyDescent="0.2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2:27" ht="15.75" customHeight="1" x14ac:dyDescent="0.2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2:27" ht="15.75" customHeight="1" x14ac:dyDescent="0.2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2:27" ht="15.75" customHeight="1" x14ac:dyDescent="0.2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2:27" ht="15.75" customHeight="1" x14ac:dyDescent="0.2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2:27" ht="15.75" customHeight="1" x14ac:dyDescent="0.2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2:27" ht="15.75" customHeight="1" x14ac:dyDescent="0.2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2:27" ht="15.75" customHeight="1" x14ac:dyDescent="0.2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2:27" ht="15.75" customHeight="1" x14ac:dyDescent="0.2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2:27" ht="15.75" customHeight="1" x14ac:dyDescent="0.2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2:27" ht="15.75" customHeight="1" x14ac:dyDescent="0.2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2:27" ht="15.75" customHeight="1" x14ac:dyDescent="0.2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2:27" ht="15.75" customHeight="1" x14ac:dyDescent="0.2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2:27" ht="15.75" customHeight="1" x14ac:dyDescent="0.2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2:27" ht="15.75" customHeight="1" x14ac:dyDescent="0.2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2:27" ht="15.75" customHeight="1" x14ac:dyDescent="0.2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2:27" ht="15.75" customHeight="1" x14ac:dyDescent="0.2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2:27" ht="15.75" customHeight="1" x14ac:dyDescent="0.2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2:27" ht="15.75" customHeight="1" x14ac:dyDescent="0.2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2:27" ht="15.75" customHeight="1" x14ac:dyDescent="0.2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2:27" ht="15.75" customHeight="1" x14ac:dyDescent="0.2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2:27" ht="15.75" customHeight="1" x14ac:dyDescent="0.2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2:27" ht="15.75" customHeight="1" x14ac:dyDescent="0.2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2:27" ht="15.75" customHeight="1" x14ac:dyDescent="0.2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2:27" ht="15.75" customHeight="1" x14ac:dyDescent="0.2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2:27" ht="15.75" customHeight="1" x14ac:dyDescent="0.2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2:27" ht="15.75" customHeight="1" x14ac:dyDescent="0.2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2:27" ht="15.75" customHeight="1" x14ac:dyDescent="0.2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2:27" ht="15.75" customHeight="1" x14ac:dyDescent="0.2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2:27" ht="15.75" customHeight="1" x14ac:dyDescent="0.2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2:27" ht="15.75" customHeight="1" x14ac:dyDescent="0.2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2:27" ht="15.75" customHeight="1" x14ac:dyDescent="0.2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2:27" ht="15.75" customHeight="1" x14ac:dyDescent="0.2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2:27" ht="15.75" customHeight="1" x14ac:dyDescent="0.2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2:27" ht="15.75" customHeight="1" x14ac:dyDescent="0.2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2:27" ht="15.75" customHeight="1" x14ac:dyDescent="0.2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2:27" ht="15.75" customHeight="1" x14ac:dyDescent="0.2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2:27" ht="15.75" customHeight="1" x14ac:dyDescent="0.2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2:27" ht="15.75" customHeight="1" x14ac:dyDescent="0.2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2:27" ht="15.75" customHeight="1" x14ac:dyDescent="0.2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2:27" ht="15.75" customHeight="1" x14ac:dyDescent="0.2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2:27" ht="15.75" customHeight="1" x14ac:dyDescent="0.2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2:27" ht="15.75" customHeight="1" x14ac:dyDescent="0.2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2:27" ht="15.75" customHeight="1" x14ac:dyDescent="0.2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2:27" ht="15.75" customHeight="1" x14ac:dyDescent="0.2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2:27" ht="15.75" customHeight="1" x14ac:dyDescent="0.2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2:27" ht="15.75" customHeight="1" x14ac:dyDescent="0.2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2:27" ht="15.75" customHeight="1" x14ac:dyDescent="0.2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2:27" ht="15.75" customHeight="1" x14ac:dyDescent="0.2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2:27" ht="15.75" customHeight="1" x14ac:dyDescent="0.2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2:27" ht="15.75" customHeight="1" x14ac:dyDescent="0.2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2:27" ht="15.75" customHeight="1" x14ac:dyDescent="0.2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2:27" ht="15.75" customHeight="1" x14ac:dyDescent="0.2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2:27" ht="15.75" customHeight="1" x14ac:dyDescent="0.2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2:27" ht="15.75" customHeight="1" x14ac:dyDescent="0.2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2:27" ht="15.75" customHeight="1" x14ac:dyDescent="0.2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2:27" ht="15.75" customHeight="1" x14ac:dyDescent="0.2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2:27" ht="15.75" customHeight="1" x14ac:dyDescent="0.2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2:27" ht="15.75" customHeight="1" x14ac:dyDescent="0.2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2:27" ht="15.75" customHeight="1" x14ac:dyDescent="0.2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2:27" ht="15.75" customHeight="1" x14ac:dyDescent="0.2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2:27" ht="15.75" customHeight="1" x14ac:dyDescent="0.2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2:27" ht="15.75" customHeight="1" x14ac:dyDescent="0.2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2:27" ht="15.75" customHeight="1" x14ac:dyDescent="0.2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2:27" ht="15.75" customHeight="1" x14ac:dyDescent="0.2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2:27" ht="15.75" customHeight="1" x14ac:dyDescent="0.2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2:27" ht="15.75" customHeight="1" x14ac:dyDescent="0.2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2:27" ht="15.75" customHeight="1" x14ac:dyDescent="0.2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2:27" ht="15.75" customHeight="1" x14ac:dyDescent="0.2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2:27" ht="15.75" customHeight="1" x14ac:dyDescent="0.2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2:27" ht="15.75" customHeight="1" x14ac:dyDescent="0.2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2:27" ht="15.75" customHeight="1" x14ac:dyDescent="0.2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2:27" ht="15.75" customHeight="1" x14ac:dyDescent="0.2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2:27" ht="15.75" customHeight="1" x14ac:dyDescent="0.2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2:27" ht="15.75" customHeight="1" x14ac:dyDescent="0.2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2:27" ht="15.75" customHeight="1" x14ac:dyDescent="0.2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2:27" ht="15.75" customHeight="1" x14ac:dyDescent="0.2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2:27" ht="15.75" customHeight="1" x14ac:dyDescent="0.2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2:27" ht="15.75" customHeight="1" x14ac:dyDescent="0.2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2:27" ht="15.75" customHeight="1" x14ac:dyDescent="0.2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2:27" ht="15.75" customHeight="1" x14ac:dyDescent="0.2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2:27" ht="15.75" customHeight="1" x14ac:dyDescent="0.2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2:27" ht="15.75" customHeight="1" x14ac:dyDescent="0.2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2:27" ht="15.75" customHeight="1" x14ac:dyDescent="0.2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2:27" ht="15.75" customHeight="1" x14ac:dyDescent="0.2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2:27" ht="15.75" customHeight="1" x14ac:dyDescent="0.2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2:27" ht="15.75" customHeight="1" x14ac:dyDescent="0.2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2:27" ht="15.75" customHeight="1" x14ac:dyDescent="0.2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2:27" ht="15.75" customHeight="1" x14ac:dyDescent="0.2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2:27" ht="15.75" customHeight="1" x14ac:dyDescent="0.2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2:27" ht="15.75" customHeight="1" x14ac:dyDescent="0.2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2:27" ht="15.75" customHeight="1" x14ac:dyDescent="0.2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2:27" ht="15.75" customHeight="1" x14ac:dyDescent="0.2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2:27" ht="15.75" customHeight="1" x14ac:dyDescent="0.2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2:27" ht="15.75" customHeight="1" x14ac:dyDescent="0.2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2:27" ht="15.75" customHeight="1" x14ac:dyDescent="0.2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2:27" ht="15.75" customHeight="1" x14ac:dyDescent="0.2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2:27" ht="15.75" customHeight="1" x14ac:dyDescent="0.2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2:27" ht="15.75" customHeight="1" x14ac:dyDescent="0.2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2:27" ht="15.75" customHeight="1" x14ac:dyDescent="0.2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2:27" ht="15.75" customHeight="1" x14ac:dyDescent="0.2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2:27" ht="15.75" customHeight="1" x14ac:dyDescent="0.2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2:27" ht="15.75" customHeight="1" x14ac:dyDescent="0.2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2:27" ht="15.75" customHeight="1" x14ac:dyDescent="0.2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2:27" ht="15.75" customHeight="1" x14ac:dyDescent="0.2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2:27" ht="15.75" customHeight="1" x14ac:dyDescent="0.2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2:27" ht="15.75" customHeight="1" x14ac:dyDescent="0.2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2:27" ht="15.75" customHeight="1" x14ac:dyDescent="0.2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2:27" ht="15.75" customHeight="1" x14ac:dyDescent="0.2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2:27" ht="15.75" customHeight="1" x14ac:dyDescent="0.2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2:27" ht="15.75" customHeight="1" x14ac:dyDescent="0.2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2:27" ht="15.75" customHeight="1" x14ac:dyDescent="0.2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2:27" ht="15.75" customHeight="1" x14ac:dyDescent="0.2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2:27" ht="15.75" customHeight="1" x14ac:dyDescent="0.2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2:27" ht="15.75" customHeight="1" x14ac:dyDescent="0.2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2:27" ht="15.75" customHeight="1" x14ac:dyDescent="0.2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2:27" ht="15.75" customHeight="1" x14ac:dyDescent="0.2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2:27" ht="15.75" customHeight="1" x14ac:dyDescent="0.2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2:27" ht="15.75" customHeight="1" x14ac:dyDescent="0.2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2:27" ht="15.75" customHeight="1" x14ac:dyDescent="0.2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2:27" ht="15.75" customHeight="1" x14ac:dyDescent="0.2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2:27" ht="15.75" customHeight="1" x14ac:dyDescent="0.2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2:27" ht="15.75" customHeight="1" x14ac:dyDescent="0.2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2:27" ht="15.75" customHeight="1" x14ac:dyDescent="0.2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2:27" ht="15.75" customHeight="1" x14ac:dyDescent="0.2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2:27" ht="15.75" customHeight="1" x14ac:dyDescent="0.2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2:27" ht="15.75" customHeight="1" x14ac:dyDescent="0.2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2:27" ht="15.75" customHeight="1" x14ac:dyDescent="0.2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2:27" ht="15.75" customHeight="1" x14ac:dyDescent="0.2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2:27" ht="15.75" customHeight="1" x14ac:dyDescent="0.2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2:27" ht="15.75" customHeight="1" x14ac:dyDescent="0.2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2:27" ht="15.75" customHeight="1" x14ac:dyDescent="0.2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2:27" ht="15.75" customHeight="1" x14ac:dyDescent="0.2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2:27" ht="15.75" customHeight="1" x14ac:dyDescent="0.2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2:27" ht="15.75" customHeight="1" x14ac:dyDescent="0.2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2:27" ht="15.75" customHeight="1" x14ac:dyDescent="0.2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2:27" ht="15.75" customHeight="1" x14ac:dyDescent="0.2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2:27" ht="15.75" customHeight="1" x14ac:dyDescent="0.2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2:27" ht="15.75" customHeight="1" x14ac:dyDescent="0.2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2:27" ht="15.75" customHeight="1" x14ac:dyDescent="0.2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2:27" ht="15.75" customHeight="1" x14ac:dyDescent="0.2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2:27" ht="15.75" customHeight="1" x14ac:dyDescent="0.2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2:27" ht="15.75" customHeight="1" x14ac:dyDescent="0.2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2:27" ht="15.75" customHeight="1" x14ac:dyDescent="0.2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2:27" ht="15.75" customHeight="1" x14ac:dyDescent="0.2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2:27" ht="15.75" customHeight="1" x14ac:dyDescent="0.2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2:27" ht="15.75" customHeight="1" x14ac:dyDescent="0.2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2:27" ht="15.75" customHeight="1" x14ac:dyDescent="0.2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2:27" ht="15.75" customHeight="1" x14ac:dyDescent="0.2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2:27" ht="15.75" customHeight="1" x14ac:dyDescent="0.2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2:27" ht="15.75" customHeight="1" x14ac:dyDescent="0.2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2:27" ht="15.75" customHeight="1" x14ac:dyDescent="0.2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2:27" ht="15.75" customHeight="1" x14ac:dyDescent="0.2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2:27" ht="15.75" customHeight="1" x14ac:dyDescent="0.2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2:27" ht="15.75" customHeight="1" x14ac:dyDescent="0.2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2:27" ht="15.75" customHeight="1" x14ac:dyDescent="0.2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2:27" ht="15.75" customHeight="1" x14ac:dyDescent="0.2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2:27" ht="15.75" customHeight="1" x14ac:dyDescent="0.2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2:27" ht="15.75" customHeight="1" x14ac:dyDescent="0.2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2:27" ht="15.75" customHeight="1" x14ac:dyDescent="0.2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2:27" ht="15.75" customHeight="1" x14ac:dyDescent="0.2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2:27" ht="15.75" customHeight="1" x14ac:dyDescent="0.2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2:27" ht="15.75" customHeight="1" x14ac:dyDescent="0.2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2:27" ht="15.75" customHeight="1" x14ac:dyDescent="0.2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2:27" ht="15.75" customHeight="1" x14ac:dyDescent="0.2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2:27" ht="15.75" customHeight="1" x14ac:dyDescent="0.2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2:27" ht="15.75" customHeight="1" x14ac:dyDescent="0.2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2:27" ht="15.75" customHeight="1" x14ac:dyDescent="0.2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2:27" ht="15.75" customHeight="1" x14ac:dyDescent="0.2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2:27" ht="15.75" customHeight="1" x14ac:dyDescent="0.2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2:27" ht="15.75" customHeight="1" x14ac:dyDescent="0.2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2:27" ht="15.75" customHeight="1" x14ac:dyDescent="0.2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2:27" ht="15.75" customHeight="1" x14ac:dyDescent="0.2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2:27" ht="15.75" customHeight="1" x14ac:dyDescent="0.2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2:27" ht="15.75" customHeight="1" x14ac:dyDescent="0.2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2:27" ht="15.75" customHeight="1" x14ac:dyDescent="0.2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2:27" ht="15.75" customHeight="1" x14ac:dyDescent="0.2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2:27" ht="15.75" customHeight="1" x14ac:dyDescent="0.2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2:27" ht="15.75" customHeight="1" x14ac:dyDescent="0.2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2:27" ht="15.75" customHeight="1" x14ac:dyDescent="0.2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2:27" ht="15.75" customHeight="1" x14ac:dyDescent="0.2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2:27" ht="15.75" customHeight="1" x14ac:dyDescent="0.2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2:27" ht="15.75" customHeight="1" x14ac:dyDescent="0.2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2:27" ht="15.75" customHeight="1" x14ac:dyDescent="0.2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2:27" ht="15.75" customHeight="1" x14ac:dyDescent="0.2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2:27" ht="15.75" customHeight="1" x14ac:dyDescent="0.2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2:27" ht="15.75" customHeight="1" x14ac:dyDescent="0.2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2:27" ht="15.75" customHeight="1" x14ac:dyDescent="0.2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2:27" ht="15.75" customHeight="1" x14ac:dyDescent="0.2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2:27" ht="15.75" customHeight="1" x14ac:dyDescent="0.2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2:27" ht="15.75" customHeight="1" x14ac:dyDescent="0.2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2:27" ht="15.75" customHeight="1" x14ac:dyDescent="0.2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2:27" ht="15.75" customHeight="1" x14ac:dyDescent="0.2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2:27" ht="15.75" customHeight="1" x14ac:dyDescent="0.2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2:27" ht="15.75" customHeight="1" x14ac:dyDescent="0.2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2:27" ht="15.75" customHeight="1" x14ac:dyDescent="0.2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2:27" ht="15.75" customHeight="1" x14ac:dyDescent="0.2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2:27" ht="15.75" customHeight="1" x14ac:dyDescent="0.2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2:27" ht="15.75" customHeight="1" x14ac:dyDescent="0.2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2:27" ht="15.75" customHeight="1" x14ac:dyDescent="0.2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2:27" ht="15.75" customHeight="1" x14ac:dyDescent="0.2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2:27" ht="15.75" customHeight="1" x14ac:dyDescent="0.2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2:27" ht="15.75" customHeight="1" x14ac:dyDescent="0.2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2:27" ht="15.75" customHeight="1" x14ac:dyDescent="0.2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2:27" ht="15.75" customHeight="1" x14ac:dyDescent="0.2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2:27" ht="15.75" customHeight="1" x14ac:dyDescent="0.2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2:27" ht="15.75" customHeight="1" x14ac:dyDescent="0.2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2:27" ht="15.75" customHeight="1" x14ac:dyDescent="0.2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2:27" ht="15.75" customHeight="1" x14ac:dyDescent="0.2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2:27" ht="15.75" customHeight="1" x14ac:dyDescent="0.2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2:27" ht="15.75" customHeight="1" x14ac:dyDescent="0.2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2:27" ht="15.75" customHeight="1" x14ac:dyDescent="0.2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2:27" ht="15.75" customHeight="1" x14ac:dyDescent="0.2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2:27" ht="15.75" customHeight="1" x14ac:dyDescent="0.2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2:27" ht="15.75" customHeight="1" x14ac:dyDescent="0.2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2:27" ht="15.75" customHeight="1" x14ac:dyDescent="0.2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2:27" ht="15.75" customHeight="1" x14ac:dyDescent="0.2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2:27" ht="15.75" customHeight="1" x14ac:dyDescent="0.2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2:27" ht="15.75" customHeight="1" x14ac:dyDescent="0.2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2:27" ht="15.75" customHeight="1" x14ac:dyDescent="0.2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2:27" ht="15.75" customHeight="1" x14ac:dyDescent="0.2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2:27" ht="15.75" customHeight="1" x14ac:dyDescent="0.2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2:27" ht="15.75" customHeight="1" x14ac:dyDescent="0.2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2:27" ht="15.75" customHeight="1" x14ac:dyDescent="0.2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2:27" ht="15.75" customHeight="1" x14ac:dyDescent="0.2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2:27" ht="15.75" customHeight="1" x14ac:dyDescent="0.2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2:27" ht="15.75" customHeight="1" x14ac:dyDescent="0.2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2:27" ht="15.75" customHeight="1" x14ac:dyDescent="0.2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2:27" ht="15.75" customHeight="1" x14ac:dyDescent="0.2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2:27" ht="15.75" customHeight="1" x14ac:dyDescent="0.2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2:27" ht="15.75" customHeight="1" x14ac:dyDescent="0.2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2:27" ht="15.75" customHeight="1" x14ac:dyDescent="0.2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2:27" ht="15.75" customHeight="1" x14ac:dyDescent="0.2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2:27" ht="15.75" customHeight="1" x14ac:dyDescent="0.2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2:27" ht="15.75" customHeight="1" x14ac:dyDescent="0.2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2:27" ht="15.75" customHeight="1" x14ac:dyDescent="0.2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</sheetData>
  <mergeCells count="14">
    <mergeCell ref="B18:H18"/>
    <mergeCell ref="B19:H21"/>
    <mergeCell ref="B22:H23"/>
    <mergeCell ref="B16:G16"/>
    <mergeCell ref="B2:C2"/>
    <mergeCell ref="E2:F2"/>
    <mergeCell ref="H2:I2"/>
    <mergeCell ref="K2:L2"/>
    <mergeCell ref="N4:N12"/>
    <mergeCell ref="B13:N13"/>
    <mergeCell ref="B14:B15"/>
    <mergeCell ref="C14:C15"/>
    <mergeCell ref="D14:D15"/>
    <mergeCell ref="E14:G15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BA090-BB90-2E4A-8FAD-41DA052B53B4}">
  <sheetPr codeName="Sheet2"/>
  <dimension ref="A1:AA909"/>
  <sheetViews>
    <sheetView zoomScale="60" workbookViewId="0">
      <selection activeCell="C2" sqref="C2:F2"/>
    </sheetView>
  </sheetViews>
  <sheetFormatPr baseColWidth="10" defaultColWidth="10.140625" defaultRowHeight="15" customHeight="1" x14ac:dyDescent="0.2"/>
  <cols>
    <col min="1" max="1" width="5.42578125" customWidth="1"/>
    <col min="2" max="2" width="25" customWidth="1"/>
    <col min="3" max="6" width="25.7109375" customWidth="1"/>
    <col min="7" max="13" width="25.5703125" customWidth="1"/>
    <col min="14" max="24" width="26" customWidth="1"/>
    <col min="25" max="27" width="11.42578125" customWidth="1"/>
  </cols>
  <sheetData>
    <row r="1" spans="1:27" ht="15" customHeight="1" thickBot="1" x14ac:dyDescent="0.25"/>
    <row r="2" spans="1:27" ht="46" customHeight="1" x14ac:dyDescent="0.2">
      <c r="B2" s="22" t="s">
        <v>104</v>
      </c>
      <c r="C2" s="220" t="s">
        <v>117</v>
      </c>
      <c r="D2" s="220"/>
      <c r="E2" s="220"/>
      <c r="F2" s="221"/>
      <c r="G2" s="218"/>
      <c r="H2" s="78" t="s">
        <v>242</v>
      </c>
      <c r="I2" s="65"/>
      <c r="J2" s="66" t="s">
        <v>243</v>
      </c>
      <c r="K2" s="210" t="s">
        <v>276</v>
      </c>
      <c r="L2" s="211"/>
      <c r="M2" s="211"/>
      <c r="N2" s="4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4" customHeight="1" x14ac:dyDescent="0.2">
      <c r="B3" s="23" t="s">
        <v>105</v>
      </c>
      <c r="C3" s="222" t="s">
        <v>12</v>
      </c>
      <c r="D3" s="222"/>
      <c r="E3" s="222"/>
      <c r="F3" s="223"/>
      <c r="G3" s="218"/>
      <c r="H3" s="79">
        <v>3.28</v>
      </c>
      <c r="I3" s="64" t="s">
        <v>224</v>
      </c>
      <c r="J3" s="52">
        <f>(H7*$C$27*$C$31)-SUM(J4:J6)</f>
        <v>62.399999999999977</v>
      </c>
      <c r="K3" s="210"/>
      <c r="L3" s="211"/>
      <c r="M3" s="21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4" customHeight="1" x14ac:dyDescent="0.2">
      <c r="B4" s="23" t="s">
        <v>9</v>
      </c>
      <c r="C4" s="222">
        <v>5</v>
      </c>
      <c r="D4" s="222"/>
      <c r="E4" s="222"/>
      <c r="F4" s="223"/>
      <c r="G4" s="218"/>
      <c r="H4" s="79">
        <v>3</v>
      </c>
      <c r="I4" s="64" t="s">
        <v>225</v>
      </c>
      <c r="J4" s="52">
        <f>ROUNDUP(3*$C$27*$C$31,0)</f>
        <v>58</v>
      </c>
      <c r="K4" s="210"/>
      <c r="L4" s="211"/>
      <c r="M4" s="21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4" customHeight="1" x14ac:dyDescent="0.2">
      <c r="B5" s="23" t="s">
        <v>10</v>
      </c>
      <c r="C5" s="222">
        <v>12</v>
      </c>
      <c r="D5" s="222"/>
      <c r="E5" s="222"/>
      <c r="F5" s="223"/>
      <c r="G5" s="218"/>
      <c r="H5" s="79">
        <v>0.12</v>
      </c>
      <c r="I5" s="64" t="s">
        <v>240</v>
      </c>
      <c r="J5" s="52">
        <f>ROUNDUP(H5*$C$27*$C$31,1)</f>
        <v>2.4</v>
      </c>
      <c r="K5" s="210" t="s">
        <v>248</v>
      </c>
      <c r="L5" s="211"/>
      <c r="M5" s="211"/>
      <c r="N5" s="68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9" customHeight="1" x14ac:dyDescent="0.2">
      <c r="B6" s="182" t="s">
        <v>277</v>
      </c>
      <c r="C6" s="193"/>
      <c r="D6" s="193"/>
      <c r="E6" s="193"/>
      <c r="F6" s="194"/>
      <c r="G6" s="218"/>
      <c r="H6" s="79">
        <v>0.6</v>
      </c>
      <c r="I6" s="64" t="s">
        <v>226</v>
      </c>
      <c r="J6" s="52">
        <f>ROUNDUP(H6*$C$27*$C$31,1)</f>
        <v>11.6</v>
      </c>
      <c r="K6" s="210"/>
      <c r="L6" s="211"/>
      <c r="M6" s="211"/>
      <c r="N6" s="184" t="s">
        <v>269</v>
      </c>
      <c r="O6" s="185"/>
      <c r="P6" s="186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9" customHeight="1" thickBot="1" x14ac:dyDescent="0.25">
      <c r="B7" s="183"/>
      <c r="C7" s="195"/>
      <c r="D7" s="195"/>
      <c r="E7" s="195"/>
      <c r="F7" s="196"/>
      <c r="G7" s="218"/>
      <c r="H7" s="80">
        <f>SUM(H3:H6)</f>
        <v>6.9999999999999991</v>
      </c>
      <c r="I7" s="67" t="s">
        <v>241</v>
      </c>
      <c r="J7" s="81">
        <f>ROUNDUP(H7*$C$27*$C$31,0)</f>
        <v>135</v>
      </c>
      <c r="K7" s="210"/>
      <c r="L7" s="211"/>
      <c r="M7" s="212"/>
      <c r="N7" s="187"/>
      <c r="O7" s="188"/>
      <c r="P7" s="189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22" customHeight="1" thickBot="1" x14ac:dyDescent="0.25">
      <c r="A8" s="77"/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17"/>
      <c r="N8" s="187"/>
      <c r="O8" s="188"/>
      <c r="P8" s="189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s="19" customFormat="1" ht="40" customHeight="1" x14ac:dyDescent="0.2">
      <c r="B9" s="29" t="s">
        <v>125</v>
      </c>
      <c r="C9" s="30" t="s">
        <v>17</v>
      </c>
      <c r="D9" s="31" t="s">
        <v>122</v>
      </c>
      <c r="E9" s="32" t="s">
        <v>123</v>
      </c>
      <c r="F9" s="33" t="s">
        <v>124</v>
      </c>
      <c r="G9" s="151"/>
      <c r="H9" s="215" t="s">
        <v>223</v>
      </c>
      <c r="I9" s="216"/>
      <c r="J9" s="50">
        <v>1</v>
      </c>
      <c r="K9" s="213" t="s">
        <v>249</v>
      </c>
      <c r="L9" s="213"/>
      <c r="M9" s="214"/>
      <c r="N9" s="187"/>
      <c r="O9" s="188"/>
      <c r="P9" s="189"/>
    </row>
    <row r="10" spans="1:27" s="20" customFormat="1" ht="47" customHeight="1" x14ac:dyDescent="0.2">
      <c r="B10" s="24" t="s">
        <v>16</v>
      </c>
      <c r="C10" s="34" t="s">
        <v>90</v>
      </c>
      <c r="D10" s="34" t="s">
        <v>212</v>
      </c>
      <c r="E10" s="21" t="s">
        <v>101</v>
      </c>
      <c r="F10" s="25" t="s">
        <v>211</v>
      </c>
      <c r="G10" s="151"/>
      <c r="H10" s="197" t="s">
        <v>230</v>
      </c>
      <c r="I10" s="198"/>
      <c r="J10" s="82">
        <f>H7*$C$30</f>
        <v>7.6999999999999993</v>
      </c>
      <c r="K10" s="201" t="s">
        <v>265</v>
      </c>
      <c r="L10" s="201"/>
      <c r="M10" s="202"/>
      <c r="N10" s="187"/>
      <c r="O10" s="188"/>
      <c r="P10" s="189"/>
    </row>
    <row r="11" spans="1:27" s="20" customFormat="1" ht="46" customHeight="1" x14ac:dyDescent="0.2">
      <c r="B11" s="24" t="s">
        <v>25</v>
      </c>
      <c r="C11" s="34" t="s">
        <v>279</v>
      </c>
      <c r="D11" s="34" t="s">
        <v>212</v>
      </c>
      <c r="E11" s="21" t="s">
        <v>101</v>
      </c>
      <c r="F11" s="25" t="s">
        <v>211</v>
      </c>
      <c r="G11" s="151"/>
      <c r="H11" s="197" t="s">
        <v>34</v>
      </c>
      <c r="I11" s="198"/>
      <c r="J11" s="82">
        <f>C4*$C$30</f>
        <v>5.5</v>
      </c>
      <c r="K11" s="203" t="s">
        <v>266</v>
      </c>
      <c r="L11" s="201"/>
      <c r="M11" s="202"/>
      <c r="N11" s="190"/>
      <c r="O11" s="191"/>
      <c r="P11" s="192"/>
    </row>
    <row r="12" spans="1:27" s="20" customFormat="1" ht="46" customHeight="1" x14ac:dyDescent="0.2">
      <c r="B12" s="24" t="s">
        <v>57</v>
      </c>
      <c r="C12" s="34" t="s">
        <v>280</v>
      </c>
      <c r="D12" s="34" t="s">
        <v>212</v>
      </c>
      <c r="E12" s="21" t="s">
        <v>101</v>
      </c>
      <c r="F12" s="25" t="s">
        <v>211</v>
      </c>
      <c r="G12" s="151"/>
      <c r="H12" s="197" t="s">
        <v>258</v>
      </c>
      <c r="I12" s="198"/>
      <c r="J12" s="51">
        <f>SUM(J10:J11)</f>
        <v>13.2</v>
      </c>
      <c r="K12" s="213" t="s">
        <v>267</v>
      </c>
      <c r="L12" s="213"/>
      <c r="M12" s="213"/>
      <c r="N12" s="47"/>
    </row>
    <row r="13" spans="1:27" s="20" customFormat="1" ht="46" customHeight="1" thickBot="1" x14ac:dyDescent="0.25">
      <c r="B13" s="24" t="s">
        <v>61</v>
      </c>
      <c r="C13" s="34" t="s">
        <v>91</v>
      </c>
      <c r="D13" s="34" t="s">
        <v>212</v>
      </c>
      <c r="E13" s="21" t="s">
        <v>101</v>
      </c>
      <c r="F13" s="25" t="s">
        <v>211</v>
      </c>
      <c r="G13" s="151"/>
      <c r="H13" s="199" t="s">
        <v>257</v>
      </c>
      <c r="I13" s="200"/>
      <c r="J13" s="84">
        <f>C5</f>
        <v>12</v>
      </c>
      <c r="K13" s="201" t="s">
        <v>268</v>
      </c>
      <c r="L13" s="201"/>
      <c r="M13" s="201"/>
      <c r="N13" s="47"/>
    </row>
    <row r="14" spans="1:27" s="20" customFormat="1" ht="47" customHeight="1" x14ac:dyDescent="0.2">
      <c r="B14" s="24" t="s">
        <v>63</v>
      </c>
      <c r="C14" s="34" t="s">
        <v>89</v>
      </c>
      <c r="D14" s="34" t="s">
        <v>212</v>
      </c>
      <c r="E14" s="21" t="s">
        <v>101</v>
      </c>
      <c r="F14" s="25" t="s">
        <v>211</v>
      </c>
      <c r="G14" s="151"/>
      <c r="H14" s="178"/>
      <c r="I14" s="178"/>
      <c r="J14" s="178"/>
      <c r="K14" s="83"/>
      <c r="N14" s="47"/>
    </row>
    <row r="15" spans="1:27" s="20" customFormat="1" ht="8" customHeight="1" thickBot="1" x14ac:dyDescent="0.25">
      <c r="B15" s="26"/>
      <c r="C15" s="35"/>
      <c r="D15" s="35"/>
      <c r="E15" s="27"/>
      <c r="F15" s="28"/>
      <c r="G15" s="151"/>
      <c r="H15" s="219"/>
      <c r="I15" s="219"/>
      <c r="J15" s="219"/>
    </row>
    <row r="16" spans="1:27" ht="50" customHeight="1" thickBot="1" x14ac:dyDescent="0.25"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21" customHeight="1" x14ac:dyDescent="0.2">
      <c r="A17" s="36"/>
      <c r="B17" s="37">
        <v>1</v>
      </c>
      <c r="C17" s="37">
        <v>2</v>
      </c>
      <c r="D17" s="37">
        <v>3</v>
      </c>
      <c r="E17" s="37">
        <v>4</v>
      </c>
      <c r="F17" s="37">
        <v>5</v>
      </c>
      <c r="G17" s="37">
        <v>6</v>
      </c>
      <c r="H17" s="37">
        <v>7</v>
      </c>
      <c r="I17" s="37">
        <v>8</v>
      </c>
      <c r="J17" s="37">
        <v>9</v>
      </c>
      <c r="K17" s="37">
        <v>10</v>
      </c>
      <c r="L17" s="37">
        <v>11</v>
      </c>
      <c r="M17" s="38">
        <v>12</v>
      </c>
      <c r="N17" s="15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66" customHeight="1" x14ac:dyDescent="0.2">
      <c r="A18" s="39" t="s">
        <v>26</v>
      </c>
      <c r="B18" s="90" t="str">
        <f>IF(ISBLANK('Plate Map'!B5),"",'Plate Map'!B5)</f>
        <v>S1</v>
      </c>
      <c r="C18" s="93" t="str">
        <f>IF(ISBLANK('Plate Map'!C5),"",'Plate Map'!C5)</f>
        <v>S7</v>
      </c>
      <c r="D18" s="4"/>
      <c r="E18" s="5"/>
      <c r="F18" s="4"/>
      <c r="G18" s="5"/>
      <c r="H18" s="4"/>
      <c r="I18" s="5"/>
      <c r="J18" s="4"/>
      <c r="K18" s="5"/>
      <c r="L18" s="4"/>
      <c r="M18" s="40"/>
      <c r="N18" s="15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66" customHeight="1" x14ac:dyDescent="0.2">
      <c r="A19" s="39" t="s">
        <v>27</v>
      </c>
      <c r="B19" s="93" t="str">
        <f>IF(ISBLANK('Plate Map'!B6),"",'Plate Map'!B6)</f>
        <v>S2</v>
      </c>
      <c r="C19" s="90" t="str">
        <f>IF(ISBLANK('Plate Map'!C6),"",'Plate Map'!C6)</f>
        <v>S8</v>
      </c>
      <c r="D19" s="5"/>
      <c r="E19" s="4"/>
      <c r="F19" s="5"/>
      <c r="G19" s="4"/>
      <c r="H19" s="5"/>
      <c r="I19" s="4"/>
      <c r="J19" s="5"/>
      <c r="K19" s="4"/>
      <c r="L19" s="5"/>
      <c r="M19" s="41"/>
      <c r="N19" s="15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66" customHeight="1" x14ac:dyDescent="0.2">
      <c r="A20" s="39" t="s">
        <v>28</v>
      </c>
      <c r="B20" s="90" t="str">
        <f>IF(ISBLANK('Plate Map'!B7),"",'Plate Map'!B7)</f>
        <v>S3</v>
      </c>
      <c r="C20" s="93" t="str">
        <f>IF(ISBLANK('Plate Map'!C7),"",'Plate Map'!C7)</f>
        <v>S9</v>
      </c>
      <c r="D20" s="4"/>
      <c r="E20" s="5"/>
      <c r="F20" s="4"/>
      <c r="G20" s="5"/>
      <c r="H20" s="4"/>
      <c r="I20" s="5"/>
      <c r="J20" s="4"/>
      <c r="K20" s="5"/>
      <c r="L20" s="4"/>
      <c r="M20" s="40"/>
      <c r="N20" s="15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66" customHeight="1" x14ac:dyDescent="0.2">
      <c r="A21" s="39" t="s">
        <v>29</v>
      </c>
      <c r="B21" s="93" t="str">
        <f>IF(ISBLANK('Plate Map'!B8),"",'Plate Map'!B8)</f>
        <v>S4</v>
      </c>
      <c r="C21" s="90" t="str">
        <f>IF(ISBLANK('Plate Map'!C8),"",'Plate Map'!C8)</f>
        <v>S10</v>
      </c>
      <c r="D21" s="5"/>
      <c r="E21" s="4"/>
      <c r="F21" s="5"/>
      <c r="G21" s="4"/>
      <c r="H21" s="5"/>
      <c r="I21" s="4"/>
      <c r="J21" s="5"/>
      <c r="K21" s="4"/>
      <c r="L21" s="5"/>
      <c r="M21" s="41"/>
      <c r="N21" s="15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66" customHeight="1" x14ac:dyDescent="0.2">
      <c r="A22" s="39" t="s">
        <v>30</v>
      </c>
      <c r="B22" s="91" t="str">
        <f>IF(ISBLANK('Plate Map'!B9),"",'Plate Map'!B9)</f>
        <v>S5</v>
      </c>
      <c r="C22" s="94" t="str">
        <f>IF(ISBLANK('Plate Map'!C9),"",'Plate Map'!C9)</f>
        <v>S11</v>
      </c>
      <c r="D22" s="4"/>
      <c r="E22" s="5"/>
      <c r="F22" s="4"/>
      <c r="G22" s="5"/>
      <c r="H22" s="4"/>
      <c r="I22" s="5"/>
      <c r="J22" s="4"/>
      <c r="K22" s="5"/>
      <c r="L22" s="4"/>
      <c r="M22" s="40"/>
      <c r="N22" s="15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66" customHeight="1" x14ac:dyDescent="0.2">
      <c r="A23" s="39" t="s">
        <v>31</v>
      </c>
      <c r="B23" s="93" t="str">
        <f>IF(ISBLANK('Plate Map'!B10),"",'Plate Map'!B10)</f>
        <v>S6</v>
      </c>
      <c r="C23" s="90" t="str">
        <f>IF(ISBLANK('Plate Map'!C10),"",'Plate Map'!C10)</f>
        <v>S12</v>
      </c>
      <c r="D23" s="5"/>
      <c r="E23" s="4"/>
      <c r="F23" s="5"/>
      <c r="G23" s="4"/>
      <c r="H23" s="5"/>
      <c r="I23" s="4"/>
      <c r="J23" s="5"/>
      <c r="K23" s="4"/>
      <c r="L23" s="5"/>
      <c r="M23" s="41"/>
      <c r="N23" s="15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66" customHeight="1" x14ac:dyDescent="0.2">
      <c r="A24" s="39" t="s">
        <v>32</v>
      </c>
      <c r="B24" s="90" t="str">
        <f>IF(ISBLANK('Plate Map'!B11),"",'Plate Map'!B11)</f>
        <v>EBLANK</v>
      </c>
      <c r="C24" s="93" t="str">
        <f>IF(ISBLANK('Plate Map'!C11),"",'Plate Map'!C11)</f>
        <v>EBLANK</v>
      </c>
      <c r="D24" s="4"/>
      <c r="E24" s="5"/>
      <c r="F24" s="4"/>
      <c r="G24" s="5"/>
      <c r="H24" s="4"/>
      <c r="I24" s="5"/>
      <c r="J24" s="4"/>
      <c r="K24" s="5"/>
      <c r="L24" s="4"/>
      <c r="M24" s="40"/>
      <c r="N24" s="15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66" customHeight="1" thickBot="1" x14ac:dyDescent="0.25">
      <c r="A25" s="42" t="s">
        <v>33</v>
      </c>
      <c r="B25" s="95" t="str">
        <f>IF(ISBLANK('Plate Map'!B12),"",'Plate Map'!B12)</f>
        <v>PPC</v>
      </c>
      <c r="C25" s="92" t="str">
        <f>IF(ISBLANK('Plate Map'!C12),"",'Plate Map'!C12)</f>
        <v>PNC</v>
      </c>
      <c r="D25" s="43"/>
      <c r="E25" s="44"/>
      <c r="F25" s="43"/>
      <c r="G25" s="44"/>
      <c r="H25" s="43"/>
      <c r="I25" s="44"/>
      <c r="J25" s="43"/>
      <c r="K25" s="44"/>
      <c r="L25" s="43"/>
      <c r="M25" s="45"/>
      <c r="N25" s="15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21" customHeight="1" thickBot="1" x14ac:dyDescent="0.25">
      <c r="B26" s="152"/>
      <c r="C26" s="152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25" customHeight="1" x14ac:dyDescent="0.2">
      <c r="B27" s="208" t="s">
        <v>263</v>
      </c>
      <c r="C27" s="155">
        <f>COUNTIF('Plate Map'!B5:'Plate Map'!C12,"&lt;&gt;"&amp;"")</f>
        <v>16</v>
      </c>
      <c r="D27" s="157" t="s">
        <v>250</v>
      </c>
      <c r="E27" s="159" t="s">
        <v>264</v>
      </c>
      <c r="F27" s="159"/>
      <c r="G27" s="160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25" customHeight="1" thickBot="1" x14ac:dyDescent="0.25">
      <c r="B28" s="209"/>
      <c r="C28" s="156"/>
      <c r="D28" s="158"/>
      <c r="E28" s="161"/>
      <c r="F28" s="161"/>
      <c r="G28" s="16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21" customHeight="1" thickBot="1" x14ac:dyDescent="0.25">
      <c r="B29" s="207"/>
      <c r="C29" s="207"/>
      <c r="D29" s="207"/>
      <c r="E29" s="207"/>
      <c r="F29" s="207"/>
      <c r="G29" s="207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1" customHeight="1" x14ac:dyDescent="0.2">
      <c r="B30" s="73" t="s">
        <v>253</v>
      </c>
      <c r="C30" s="74">
        <v>1.1000000000000001</v>
      </c>
      <c r="D30" s="204" t="s">
        <v>250</v>
      </c>
      <c r="E30" s="159" t="s">
        <v>252</v>
      </c>
      <c r="F30" s="159"/>
      <c r="G30" s="160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1" customHeight="1" thickBot="1" x14ac:dyDescent="0.25">
      <c r="B31" s="75" t="s">
        <v>254</v>
      </c>
      <c r="C31" s="76">
        <v>1.2</v>
      </c>
      <c r="D31" s="205"/>
      <c r="E31" s="161"/>
      <c r="F31" s="161"/>
      <c r="G31" s="16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21" customHeight="1" x14ac:dyDescent="0.2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21" customHeight="1" x14ac:dyDescent="0.2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2:27" ht="21" customHeight="1" x14ac:dyDescent="0.2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21" customHeight="1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2:27" ht="21" customHeight="1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2:27" ht="21" customHeight="1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2:27" ht="21" customHeight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2:27" ht="21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2:27" ht="21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2:27" ht="21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2:27" ht="21" customHeight="1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2:27" ht="21" customHeight="1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2:27" ht="21" customHeight="1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2:27" ht="21" customHeight="1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2:27" ht="21" customHeight="1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2:27" ht="21" customHeight="1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2:27" ht="21" customHeight="1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2:27" ht="21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2:27" ht="21" customHeight="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2:27" ht="21" customHeight="1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2:27" ht="21" customHeight="1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2:27" ht="21" customHeight="1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2:27" ht="21" customHeight="1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2:27" ht="21" customHeight="1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2:27" ht="21" customHeight="1" x14ac:dyDescent="0.2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2:27" ht="21" customHeight="1" x14ac:dyDescent="0.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2:27" ht="21" customHeight="1" x14ac:dyDescent="0.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2:27" ht="21" customHeight="1" x14ac:dyDescent="0.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2:27" ht="21" customHeight="1" x14ac:dyDescent="0.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2:27" ht="21" customHeight="1" x14ac:dyDescent="0.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2:27" ht="21" customHeight="1" x14ac:dyDescent="0.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2:27" ht="21" customHeight="1" x14ac:dyDescent="0.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2:27" ht="21" customHeight="1" x14ac:dyDescent="0.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2:27" ht="21" customHeight="1" x14ac:dyDescent="0.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2:27" ht="21" customHeight="1" x14ac:dyDescent="0.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2:27" ht="21" customHeight="1" x14ac:dyDescent="0.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2:27" ht="21" customHeight="1" x14ac:dyDescent="0.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2:27" ht="21" customHeight="1" x14ac:dyDescent="0.2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2:27" ht="21" customHeight="1" x14ac:dyDescent="0.2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2:27" ht="21" customHeight="1" x14ac:dyDescent="0.2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2:27" ht="21" customHeight="1" x14ac:dyDescent="0.2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2:27" ht="21" customHeight="1" x14ac:dyDescent="0.2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2:27" ht="21" customHeight="1" x14ac:dyDescent="0.2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2:27" ht="21" customHeight="1" x14ac:dyDescent="0.2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2:27" ht="21" customHeight="1" x14ac:dyDescent="0.2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2:27" ht="21" customHeight="1" x14ac:dyDescent="0.2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2:27" ht="21" customHeight="1" x14ac:dyDescent="0.2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2:27" ht="21" customHeight="1" x14ac:dyDescent="0.2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2:27" ht="21" customHeight="1" x14ac:dyDescent="0.2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2:27" ht="21" customHeight="1" x14ac:dyDescent="0.2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2:27" ht="21" customHeight="1" x14ac:dyDescent="0.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2:27" ht="21" customHeight="1" x14ac:dyDescent="0.2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2:27" ht="21" customHeight="1" x14ac:dyDescent="0.2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2:27" ht="21" customHeight="1" x14ac:dyDescent="0.2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2:27" ht="21" customHeight="1" x14ac:dyDescent="0.2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2:27" ht="21" customHeight="1" x14ac:dyDescent="0.2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2:27" ht="21" customHeight="1" x14ac:dyDescent="0.2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2:27" ht="21" customHeight="1" x14ac:dyDescent="0.2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2:27" ht="21" customHeight="1" x14ac:dyDescent="0.2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2:27" ht="21" customHeight="1" x14ac:dyDescent="0.2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2:27" ht="21" customHeight="1" x14ac:dyDescent="0.2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2:27" ht="21" customHeight="1" x14ac:dyDescent="0.2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2:27" ht="21" customHeight="1" x14ac:dyDescent="0.2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2:27" ht="21" customHeight="1" x14ac:dyDescent="0.2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2:27" ht="21" customHeight="1" x14ac:dyDescent="0.2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2:27" ht="21" customHeight="1" x14ac:dyDescent="0.2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2:27" ht="21" customHeight="1" x14ac:dyDescent="0.2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2:27" ht="21" customHeight="1" x14ac:dyDescent="0.2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2:27" ht="21" customHeight="1" x14ac:dyDescent="0.2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2:27" ht="21" customHeight="1" x14ac:dyDescent="0.2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2:27" ht="21" customHeight="1" x14ac:dyDescent="0.2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2:27" ht="21" customHeight="1" x14ac:dyDescent="0.2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2:27" ht="21" customHeight="1" x14ac:dyDescent="0.2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2:27" ht="21" customHeight="1" x14ac:dyDescent="0.2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2:27" ht="21" customHeight="1" x14ac:dyDescent="0.2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2:27" ht="21" customHeight="1" x14ac:dyDescent="0.2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2:27" ht="21" customHeight="1" x14ac:dyDescent="0.2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2:27" ht="21" customHeight="1" x14ac:dyDescent="0.2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2:27" ht="21" customHeight="1" x14ac:dyDescent="0.2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2:27" ht="21" customHeight="1" x14ac:dyDescent="0.2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2:27" ht="21" customHeight="1" x14ac:dyDescent="0.2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2:27" ht="21" customHeight="1" x14ac:dyDescent="0.2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2:27" ht="21" customHeight="1" x14ac:dyDescent="0.2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2:27" ht="21" customHeight="1" x14ac:dyDescent="0.2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2:27" ht="21" customHeight="1" x14ac:dyDescent="0.2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2:27" ht="21" customHeight="1" x14ac:dyDescent="0.2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2:27" ht="21" customHeight="1" x14ac:dyDescent="0.2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2:27" ht="21" customHeight="1" x14ac:dyDescent="0.2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2:27" ht="21" customHeight="1" x14ac:dyDescent="0.2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2:27" ht="21" customHeight="1" x14ac:dyDescent="0.2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2:27" ht="21" customHeight="1" x14ac:dyDescent="0.2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2:27" ht="21" customHeight="1" x14ac:dyDescent="0.2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2:27" ht="21" customHeight="1" x14ac:dyDescent="0.2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2:27" ht="21" customHeight="1" x14ac:dyDescent="0.2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2:27" ht="21" customHeight="1" x14ac:dyDescent="0.2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2:27" ht="21" customHeight="1" x14ac:dyDescent="0.2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2:27" ht="21" customHeight="1" x14ac:dyDescent="0.2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2:27" ht="21" customHeight="1" x14ac:dyDescent="0.2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2:27" ht="21" customHeight="1" x14ac:dyDescent="0.2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2:27" ht="21" customHeight="1" x14ac:dyDescent="0.2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2:27" ht="21" customHeight="1" x14ac:dyDescent="0.2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2:27" ht="21" customHeight="1" x14ac:dyDescent="0.2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2:27" ht="21" customHeight="1" x14ac:dyDescent="0.2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2:27" ht="21" customHeight="1" x14ac:dyDescent="0.2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2:27" ht="21" customHeight="1" x14ac:dyDescent="0.2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2:27" ht="21" customHeight="1" x14ac:dyDescent="0.2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2:27" ht="21" customHeight="1" x14ac:dyDescent="0.2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2:27" ht="21" customHeight="1" x14ac:dyDescent="0.2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2:27" ht="21" customHeight="1" x14ac:dyDescent="0.2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2:27" ht="21" customHeight="1" x14ac:dyDescent="0.2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2:27" ht="21" customHeight="1" x14ac:dyDescent="0.2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2:27" ht="21" customHeight="1" x14ac:dyDescent="0.2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2:27" ht="21" customHeight="1" x14ac:dyDescent="0.2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2:27" ht="21" customHeight="1" x14ac:dyDescent="0.2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2:27" ht="21" customHeight="1" x14ac:dyDescent="0.2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2:27" ht="21" customHeight="1" x14ac:dyDescent="0.2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2:27" ht="21" customHeight="1" x14ac:dyDescent="0.2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2:27" ht="21" customHeight="1" x14ac:dyDescent="0.2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2:27" ht="21" customHeight="1" x14ac:dyDescent="0.2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2:27" ht="21" customHeight="1" x14ac:dyDescent="0.2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2:27" ht="21" customHeight="1" x14ac:dyDescent="0.2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2:27" ht="21" customHeight="1" x14ac:dyDescent="0.2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2:27" ht="21" customHeight="1" x14ac:dyDescent="0.2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2:27" ht="21" customHeight="1" x14ac:dyDescent="0.2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2:27" ht="21" customHeight="1" x14ac:dyDescent="0.2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2:27" ht="21" customHeight="1" x14ac:dyDescent="0.2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2:27" ht="21" customHeight="1" x14ac:dyDescent="0.2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2:27" ht="21" customHeight="1" x14ac:dyDescent="0.2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2:27" ht="21" customHeight="1" x14ac:dyDescent="0.2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2:27" ht="21" customHeight="1" x14ac:dyDescent="0.2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2:27" ht="21" customHeight="1" x14ac:dyDescent="0.2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2:27" ht="21" customHeight="1" x14ac:dyDescent="0.2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2:27" ht="21" customHeight="1" x14ac:dyDescent="0.2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2:27" ht="21" customHeight="1" x14ac:dyDescent="0.2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2:27" ht="21" customHeight="1" x14ac:dyDescent="0.2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2:27" ht="21" customHeight="1" x14ac:dyDescent="0.2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2:27" ht="21" customHeight="1" x14ac:dyDescent="0.2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2:27" ht="21" customHeight="1" x14ac:dyDescent="0.2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2:27" ht="21" customHeight="1" x14ac:dyDescent="0.2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2:27" ht="15.75" customHeight="1" x14ac:dyDescent="0.2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2:27" ht="15.75" customHeight="1" x14ac:dyDescent="0.2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2:27" ht="15.75" customHeight="1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2:27" ht="15.75" customHeight="1" x14ac:dyDescent="0.2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2:27" ht="15.75" customHeight="1" x14ac:dyDescent="0.2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2:27" ht="15.75" customHeight="1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2:27" ht="15.75" customHeight="1" x14ac:dyDescent="0.2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2:27" ht="15.75" customHeight="1" x14ac:dyDescent="0.2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2:27" ht="15.75" customHeight="1" x14ac:dyDescent="0.2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2:27" ht="15.75" customHeight="1" x14ac:dyDescent="0.2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2:27" ht="15.75" customHeight="1" x14ac:dyDescent="0.2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2:27" ht="15.75" customHeight="1" x14ac:dyDescent="0.2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2:27" ht="15.75" customHeight="1" x14ac:dyDescent="0.2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2:27" ht="15.75" customHeight="1" x14ac:dyDescent="0.2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2:27" ht="15.75" customHeight="1" x14ac:dyDescent="0.2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2:27" ht="15.75" customHeight="1" x14ac:dyDescent="0.2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2:27" ht="15.75" customHeight="1" x14ac:dyDescent="0.2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2:27" ht="15.75" customHeight="1" x14ac:dyDescent="0.2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2:27" ht="15.75" customHeight="1" x14ac:dyDescent="0.2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2:27" ht="15.75" customHeight="1" x14ac:dyDescent="0.2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2:27" ht="15.75" customHeight="1" x14ac:dyDescent="0.2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2:27" ht="15.75" customHeight="1" x14ac:dyDescent="0.2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2:27" ht="15.75" customHeight="1" x14ac:dyDescent="0.2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2:27" ht="15.75" customHeight="1" x14ac:dyDescent="0.2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2:27" ht="15.75" customHeight="1" x14ac:dyDescent="0.2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2:27" ht="15.75" customHeight="1" x14ac:dyDescent="0.2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2:27" ht="15.75" customHeight="1" x14ac:dyDescent="0.2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2:27" ht="15.75" customHeight="1" x14ac:dyDescent="0.2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2:27" ht="15.75" customHeight="1" x14ac:dyDescent="0.2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2:27" ht="15.75" customHeight="1" x14ac:dyDescent="0.2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2:27" ht="15.75" customHeight="1" x14ac:dyDescent="0.2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2:27" ht="15.75" customHeight="1" x14ac:dyDescent="0.2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2:27" ht="15.75" customHeight="1" x14ac:dyDescent="0.2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2:27" ht="15.75" customHeight="1" x14ac:dyDescent="0.2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2:27" ht="15.75" customHeight="1" x14ac:dyDescent="0.2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2:27" ht="15.75" customHeight="1" x14ac:dyDescent="0.2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2:27" ht="15.75" customHeight="1" x14ac:dyDescent="0.2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2:27" ht="15.75" customHeight="1" x14ac:dyDescent="0.2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2:27" ht="15.75" customHeight="1" x14ac:dyDescent="0.2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2:27" ht="15.75" customHeight="1" x14ac:dyDescent="0.2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2:27" ht="15.75" customHeight="1" x14ac:dyDescent="0.2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2:27" ht="15.75" customHeight="1" x14ac:dyDescent="0.2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2:27" ht="15.75" customHeight="1" x14ac:dyDescent="0.2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2:27" ht="15.75" customHeight="1" x14ac:dyDescent="0.2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2:27" ht="15.75" customHeight="1" x14ac:dyDescent="0.2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2:27" ht="15.75" customHeight="1" x14ac:dyDescent="0.2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2:27" ht="15.75" customHeight="1" x14ac:dyDescent="0.2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2:27" ht="15.75" customHeight="1" x14ac:dyDescent="0.2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2:27" ht="15.75" customHeight="1" x14ac:dyDescent="0.2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2:27" ht="15.75" customHeight="1" x14ac:dyDescent="0.2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2:27" ht="15.75" customHeight="1" x14ac:dyDescent="0.2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2:27" ht="15.75" customHeight="1" x14ac:dyDescent="0.2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2:27" ht="15.75" customHeight="1" x14ac:dyDescent="0.2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2:27" ht="15.75" customHeight="1" x14ac:dyDescent="0.2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2:27" ht="15.75" customHeight="1" x14ac:dyDescent="0.2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2:27" ht="15.75" customHeight="1" x14ac:dyDescent="0.2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2:27" ht="15.75" customHeight="1" x14ac:dyDescent="0.2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2:27" ht="15.75" customHeight="1" x14ac:dyDescent="0.2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2:27" ht="15.75" customHeight="1" x14ac:dyDescent="0.2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2:27" ht="15.75" customHeight="1" x14ac:dyDescent="0.2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2:27" ht="15.75" customHeight="1" x14ac:dyDescent="0.2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2:27" ht="15.75" customHeight="1" x14ac:dyDescent="0.2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2:27" ht="15.75" customHeight="1" x14ac:dyDescent="0.2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2:27" ht="15.75" customHeight="1" x14ac:dyDescent="0.2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2:27" ht="15.75" customHeight="1" x14ac:dyDescent="0.2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2:27" ht="15.75" customHeight="1" x14ac:dyDescent="0.2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2:27" ht="15.75" customHeight="1" x14ac:dyDescent="0.2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2:27" ht="15.75" customHeight="1" x14ac:dyDescent="0.2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2:27" ht="15.75" customHeight="1" x14ac:dyDescent="0.2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2:27" ht="15.75" customHeight="1" x14ac:dyDescent="0.2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2:27" ht="15.75" customHeight="1" x14ac:dyDescent="0.2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2:27" ht="15.75" customHeight="1" x14ac:dyDescent="0.2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2:27" ht="15.75" customHeight="1" x14ac:dyDescent="0.2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2:27" ht="15.75" customHeight="1" x14ac:dyDescent="0.2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2:27" ht="15.75" customHeight="1" x14ac:dyDescent="0.2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2:27" ht="15.75" customHeight="1" x14ac:dyDescent="0.2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2:27" ht="15.75" customHeight="1" x14ac:dyDescent="0.2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2:27" ht="15.75" customHeight="1" x14ac:dyDescent="0.2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2:27" ht="15.75" customHeight="1" x14ac:dyDescent="0.2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2:27" ht="15.75" customHeight="1" x14ac:dyDescent="0.2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2:27" ht="15.75" customHeight="1" x14ac:dyDescent="0.2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2:27" ht="15.75" customHeight="1" x14ac:dyDescent="0.2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2:27" ht="15.75" customHeight="1" x14ac:dyDescent="0.2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2:27" ht="15.75" customHeight="1" x14ac:dyDescent="0.2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2:27" ht="15.75" customHeight="1" x14ac:dyDescent="0.2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2:27" ht="15.75" customHeight="1" x14ac:dyDescent="0.2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2:27" ht="15.75" customHeight="1" x14ac:dyDescent="0.2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2:27" ht="15.75" customHeight="1" x14ac:dyDescent="0.2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2:27" ht="15.75" customHeight="1" x14ac:dyDescent="0.2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2:27" ht="15.75" customHeight="1" x14ac:dyDescent="0.2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2:27" ht="15.75" customHeight="1" x14ac:dyDescent="0.2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2:27" ht="15.75" customHeight="1" x14ac:dyDescent="0.2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2:27" ht="15.75" customHeight="1" x14ac:dyDescent="0.2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2:27" ht="15.75" customHeight="1" x14ac:dyDescent="0.2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2:27" ht="15.75" customHeight="1" x14ac:dyDescent="0.2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2:27" ht="15.75" customHeight="1" x14ac:dyDescent="0.2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2:27" ht="15.75" customHeight="1" x14ac:dyDescent="0.2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2:27" ht="15.75" customHeight="1" x14ac:dyDescent="0.2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2:27" ht="15.75" customHeight="1" x14ac:dyDescent="0.2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2:27" ht="15.75" customHeight="1" x14ac:dyDescent="0.2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2:27" ht="15.75" customHeight="1" x14ac:dyDescent="0.2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2:27" ht="15.75" customHeight="1" x14ac:dyDescent="0.2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2:27" ht="15.75" customHeight="1" x14ac:dyDescent="0.2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2:27" ht="15.75" customHeight="1" x14ac:dyDescent="0.2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2:27" ht="15.75" customHeight="1" x14ac:dyDescent="0.2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2:27" ht="15.75" customHeight="1" x14ac:dyDescent="0.2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2:27" ht="15.75" customHeight="1" x14ac:dyDescent="0.2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2:27" ht="15.75" customHeight="1" x14ac:dyDescent="0.2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2:27" ht="15.75" customHeight="1" x14ac:dyDescent="0.2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2:27" ht="15.75" customHeight="1" x14ac:dyDescent="0.2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2:27" ht="15.75" customHeight="1" x14ac:dyDescent="0.2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2:27" ht="15.75" customHeight="1" x14ac:dyDescent="0.2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2:27" ht="15.75" customHeight="1" x14ac:dyDescent="0.2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2:27" ht="15.75" customHeight="1" x14ac:dyDescent="0.2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2:27" ht="15.75" customHeight="1" x14ac:dyDescent="0.2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2:27" ht="15.75" customHeight="1" x14ac:dyDescent="0.2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2:27" ht="15.75" customHeight="1" x14ac:dyDescent="0.2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2:27" ht="15.75" customHeight="1" x14ac:dyDescent="0.2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2:27" ht="15.75" customHeight="1" x14ac:dyDescent="0.2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2:27" ht="15.75" customHeight="1" x14ac:dyDescent="0.2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2:27" ht="15.75" customHeight="1" x14ac:dyDescent="0.2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2:27" ht="15.75" customHeight="1" x14ac:dyDescent="0.2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2:27" ht="15.75" customHeight="1" x14ac:dyDescent="0.2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2:27" ht="15.75" customHeight="1" x14ac:dyDescent="0.2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2:27" ht="15.75" customHeight="1" x14ac:dyDescent="0.2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2:27" ht="15.75" customHeight="1" x14ac:dyDescent="0.2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2:27" ht="15.75" customHeight="1" x14ac:dyDescent="0.2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2:27" ht="15.75" customHeight="1" x14ac:dyDescent="0.2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2:27" ht="15.75" customHeight="1" x14ac:dyDescent="0.2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2:27" ht="15.75" customHeight="1" x14ac:dyDescent="0.2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2:27" ht="15.75" customHeight="1" x14ac:dyDescent="0.2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2:27" ht="15.75" customHeight="1" x14ac:dyDescent="0.2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2:27" ht="15.75" customHeight="1" x14ac:dyDescent="0.2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2:27" ht="15.75" customHeight="1" x14ac:dyDescent="0.2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2:27" ht="15.75" customHeight="1" x14ac:dyDescent="0.2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2:27" ht="15.75" customHeight="1" x14ac:dyDescent="0.2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2:27" ht="15.75" customHeight="1" x14ac:dyDescent="0.2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2:27" ht="15.75" customHeight="1" x14ac:dyDescent="0.2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2:27" ht="15.75" customHeight="1" x14ac:dyDescent="0.2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2:27" ht="15.75" customHeight="1" x14ac:dyDescent="0.2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2:27" ht="15.75" customHeight="1" x14ac:dyDescent="0.2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2:27" ht="15.75" customHeight="1" x14ac:dyDescent="0.2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2:27" ht="15.75" customHeight="1" x14ac:dyDescent="0.2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2:27" ht="15.75" customHeight="1" x14ac:dyDescent="0.2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2:27" ht="15.75" customHeight="1" x14ac:dyDescent="0.2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2:27" ht="15.75" customHeight="1" x14ac:dyDescent="0.2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2:27" ht="15.75" customHeight="1" x14ac:dyDescent="0.2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2:27" ht="15.75" customHeight="1" x14ac:dyDescent="0.2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2:27" ht="15.75" customHeight="1" x14ac:dyDescent="0.2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2:27" ht="15.75" customHeight="1" x14ac:dyDescent="0.2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2:27" ht="15.75" customHeight="1" x14ac:dyDescent="0.2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2:27" ht="15.75" customHeight="1" x14ac:dyDescent="0.2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2:27" ht="15.75" customHeight="1" x14ac:dyDescent="0.2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2:27" ht="15.75" customHeight="1" x14ac:dyDescent="0.2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2:27" ht="15.75" customHeight="1" x14ac:dyDescent="0.2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2:27" ht="15.75" customHeight="1" x14ac:dyDescent="0.2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2:27" ht="15.75" customHeight="1" x14ac:dyDescent="0.2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2:27" ht="15.75" customHeight="1" x14ac:dyDescent="0.2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2:27" ht="15.75" customHeight="1" x14ac:dyDescent="0.2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2:27" ht="15.75" customHeight="1" x14ac:dyDescent="0.2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2:27" ht="15.75" customHeight="1" x14ac:dyDescent="0.2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2:27" ht="15.75" customHeight="1" x14ac:dyDescent="0.2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2:27" ht="15.75" customHeight="1" x14ac:dyDescent="0.2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2:27" ht="15.75" customHeight="1" x14ac:dyDescent="0.2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2:27" ht="15.75" customHeight="1" x14ac:dyDescent="0.2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2:27" ht="15.75" customHeight="1" x14ac:dyDescent="0.2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2:27" ht="15.75" customHeight="1" x14ac:dyDescent="0.2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2:27" ht="15.75" customHeight="1" x14ac:dyDescent="0.2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2:27" ht="15.75" customHeight="1" x14ac:dyDescent="0.2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2:27" ht="15.75" customHeight="1" x14ac:dyDescent="0.2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2:27" ht="15.75" customHeight="1" x14ac:dyDescent="0.2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2:27" ht="15.75" customHeight="1" x14ac:dyDescent="0.2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2:27" ht="15.75" customHeight="1" x14ac:dyDescent="0.2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2:27" ht="15.75" customHeight="1" x14ac:dyDescent="0.2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2:27" ht="15.75" customHeight="1" x14ac:dyDescent="0.2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2:27" ht="15.75" customHeight="1" x14ac:dyDescent="0.2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2:27" ht="15.75" customHeight="1" x14ac:dyDescent="0.2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2:27" ht="15.75" customHeight="1" x14ac:dyDescent="0.2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2:27" ht="15.75" customHeight="1" x14ac:dyDescent="0.2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2:27" ht="15.75" customHeight="1" x14ac:dyDescent="0.2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2:27" ht="15.75" customHeight="1" x14ac:dyDescent="0.2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2:27" ht="15.75" customHeight="1" x14ac:dyDescent="0.2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2:27" ht="15.75" customHeight="1" x14ac:dyDescent="0.2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2:27" ht="15.75" customHeight="1" x14ac:dyDescent="0.2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2:27" ht="15.75" customHeight="1" x14ac:dyDescent="0.2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2:27" ht="15.75" customHeight="1" x14ac:dyDescent="0.2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2:27" ht="15.75" customHeight="1" x14ac:dyDescent="0.2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2:27" ht="15.75" customHeight="1" x14ac:dyDescent="0.2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2:27" ht="15.75" customHeight="1" x14ac:dyDescent="0.2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2:27" ht="15.75" customHeight="1" x14ac:dyDescent="0.2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2:27" ht="15.75" customHeight="1" x14ac:dyDescent="0.2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2:27" ht="15.75" customHeight="1" x14ac:dyDescent="0.2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2:27" ht="15.75" customHeight="1" x14ac:dyDescent="0.2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2:27" ht="15.75" customHeight="1" x14ac:dyDescent="0.2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2:27" ht="15.75" customHeight="1" x14ac:dyDescent="0.2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2:27" ht="15.75" customHeight="1" x14ac:dyDescent="0.2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2:27" ht="15.75" customHeight="1" x14ac:dyDescent="0.2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2:27" ht="15.75" customHeight="1" x14ac:dyDescent="0.2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2:27" ht="15.75" customHeight="1" x14ac:dyDescent="0.2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2:27" ht="15.75" customHeight="1" x14ac:dyDescent="0.2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2:27" ht="15.75" customHeight="1" x14ac:dyDescent="0.2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2:27" ht="15.75" customHeight="1" x14ac:dyDescent="0.2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2:27" ht="15.75" customHeight="1" x14ac:dyDescent="0.2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2:27" ht="15.75" customHeight="1" x14ac:dyDescent="0.2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2:27" ht="15.75" customHeight="1" x14ac:dyDescent="0.2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2:27" ht="15.75" customHeight="1" x14ac:dyDescent="0.2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2:27" ht="15.75" customHeight="1" x14ac:dyDescent="0.2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2:27" ht="15.75" customHeight="1" x14ac:dyDescent="0.2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2:27" ht="15.75" customHeight="1" x14ac:dyDescent="0.2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2:27" ht="15.75" customHeight="1" x14ac:dyDescent="0.2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2:27" ht="15.75" customHeight="1" x14ac:dyDescent="0.2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2:27" ht="15.75" customHeight="1" x14ac:dyDescent="0.2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2:27" ht="15.75" customHeight="1" x14ac:dyDescent="0.2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2:27" ht="15.75" customHeight="1" x14ac:dyDescent="0.2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2:27" ht="15.75" customHeight="1" x14ac:dyDescent="0.2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2:27" ht="15.75" customHeight="1" x14ac:dyDescent="0.2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2:27" ht="15.75" customHeight="1" x14ac:dyDescent="0.2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2:27" ht="15.75" customHeight="1" x14ac:dyDescent="0.2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2:27" ht="15.75" customHeight="1" x14ac:dyDescent="0.2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2:27" ht="15.75" customHeight="1" x14ac:dyDescent="0.2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2:27" ht="15.75" customHeight="1" x14ac:dyDescent="0.2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2:27" ht="15.75" customHeight="1" x14ac:dyDescent="0.2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2:27" ht="15.75" customHeight="1" x14ac:dyDescent="0.2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2:27" ht="15.75" customHeight="1" x14ac:dyDescent="0.2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2:27" ht="15.75" customHeight="1" x14ac:dyDescent="0.2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2:27" ht="15.75" customHeight="1" x14ac:dyDescent="0.2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2:27" ht="15.75" customHeight="1" x14ac:dyDescent="0.2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2:27" ht="15.75" customHeight="1" x14ac:dyDescent="0.2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2:27" ht="15.75" customHeight="1" x14ac:dyDescent="0.2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2:27" ht="15.75" customHeight="1" x14ac:dyDescent="0.2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2:27" ht="15.75" customHeight="1" x14ac:dyDescent="0.2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2:27" ht="15.75" customHeight="1" x14ac:dyDescent="0.2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2:27" ht="15.75" customHeight="1" x14ac:dyDescent="0.2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2:27" ht="15.75" customHeight="1" x14ac:dyDescent="0.2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2:27" ht="15.75" customHeight="1" x14ac:dyDescent="0.2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2:27" ht="15.75" customHeight="1" x14ac:dyDescent="0.2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2:27" ht="15.75" customHeight="1" x14ac:dyDescent="0.2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2:27" ht="15.75" customHeight="1" x14ac:dyDescent="0.2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2:27" ht="15.75" customHeight="1" x14ac:dyDescent="0.2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2:27" ht="15.75" customHeight="1" x14ac:dyDescent="0.2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2:27" ht="15.75" customHeight="1" x14ac:dyDescent="0.2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2:27" ht="15.75" customHeight="1" x14ac:dyDescent="0.2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2:27" ht="15.75" customHeight="1" x14ac:dyDescent="0.2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2:27" ht="15.75" customHeight="1" x14ac:dyDescent="0.2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2:27" ht="15.75" customHeight="1" x14ac:dyDescent="0.2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2:27" ht="15.75" customHeight="1" x14ac:dyDescent="0.2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2:27" ht="15.75" customHeight="1" x14ac:dyDescent="0.2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2:27" ht="15.75" customHeight="1" x14ac:dyDescent="0.2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2:27" ht="15.75" customHeight="1" x14ac:dyDescent="0.2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2:27" ht="15.75" customHeight="1" x14ac:dyDescent="0.2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2:27" ht="15.75" customHeight="1" x14ac:dyDescent="0.2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2:27" ht="15.75" customHeight="1" x14ac:dyDescent="0.2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2:27" ht="15.75" customHeight="1" x14ac:dyDescent="0.2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2:27" ht="15.75" customHeight="1" x14ac:dyDescent="0.2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2:27" ht="15.75" customHeight="1" x14ac:dyDescent="0.2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2:27" ht="15.75" customHeight="1" x14ac:dyDescent="0.2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2:27" ht="15.75" customHeight="1" x14ac:dyDescent="0.2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2:27" ht="15.75" customHeight="1" x14ac:dyDescent="0.2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2:27" ht="15.75" customHeight="1" x14ac:dyDescent="0.2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2:27" ht="15.75" customHeight="1" x14ac:dyDescent="0.2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2:27" ht="15.75" customHeight="1" x14ac:dyDescent="0.2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2:27" ht="15.75" customHeight="1" x14ac:dyDescent="0.2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2:27" ht="15.75" customHeight="1" x14ac:dyDescent="0.2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2:27" ht="15.75" customHeight="1" x14ac:dyDescent="0.2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2:27" ht="15.75" customHeight="1" x14ac:dyDescent="0.2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2:27" ht="15.75" customHeight="1" x14ac:dyDescent="0.2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2:27" ht="15.75" customHeight="1" x14ac:dyDescent="0.2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2:27" ht="15.75" customHeight="1" x14ac:dyDescent="0.2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2:27" ht="15.75" customHeight="1" x14ac:dyDescent="0.2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2:27" ht="15.75" customHeight="1" x14ac:dyDescent="0.2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2:27" ht="15.75" customHeight="1" x14ac:dyDescent="0.2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2:27" ht="15.75" customHeight="1" x14ac:dyDescent="0.2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2:27" ht="15.75" customHeight="1" x14ac:dyDescent="0.2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2:27" ht="15.75" customHeight="1" x14ac:dyDescent="0.2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2:27" ht="15.75" customHeight="1" x14ac:dyDescent="0.2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2:27" ht="15.75" customHeight="1" x14ac:dyDescent="0.2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2:27" ht="15.75" customHeight="1" x14ac:dyDescent="0.2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2:27" ht="15.75" customHeight="1" x14ac:dyDescent="0.2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2:27" ht="15.75" customHeight="1" x14ac:dyDescent="0.2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2:27" ht="15.75" customHeight="1" x14ac:dyDescent="0.2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2:27" ht="15.75" customHeight="1" x14ac:dyDescent="0.2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2:27" ht="15.75" customHeight="1" x14ac:dyDescent="0.2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2:27" ht="15.75" customHeight="1" x14ac:dyDescent="0.2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2:27" ht="15.75" customHeight="1" x14ac:dyDescent="0.2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2:27" ht="15.75" customHeight="1" x14ac:dyDescent="0.2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2:27" ht="15.75" customHeight="1" x14ac:dyDescent="0.2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2:27" ht="15.75" customHeight="1" x14ac:dyDescent="0.2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2:27" ht="15.75" customHeight="1" x14ac:dyDescent="0.2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2:27" ht="15.75" customHeight="1" x14ac:dyDescent="0.2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2:27" ht="15.75" customHeight="1" x14ac:dyDescent="0.2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2:27" ht="15.75" customHeight="1" x14ac:dyDescent="0.2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2:27" ht="15.75" customHeight="1" x14ac:dyDescent="0.2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2:27" ht="15.75" customHeight="1" x14ac:dyDescent="0.2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2:27" ht="15.75" customHeight="1" x14ac:dyDescent="0.2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2:27" ht="15.75" customHeight="1" x14ac:dyDescent="0.2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2:27" ht="15.75" customHeight="1" x14ac:dyDescent="0.2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2:27" ht="15.75" customHeight="1" x14ac:dyDescent="0.2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2:27" ht="15.75" customHeight="1" x14ac:dyDescent="0.2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2:27" ht="15.75" customHeight="1" x14ac:dyDescent="0.2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2:27" ht="15.75" customHeight="1" x14ac:dyDescent="0.2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2:27" ht="15.75" customHeight="1" x14ac:dyDescent="0.2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2:27" ht="15.75" customHeight="1" x14ac:dyDescent="0.2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2:27" ht="15.75" customHeight="1" x14ac:dyDescent="0.2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2:27" ht="15.75" customHeight="1" x14ac:dyDescent="0.2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2:27" ht="15.75" customHeight="1" x14ac:dyDescent="0.2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2:27" ht="15.75" customHeight="1" x14ac:dyDescent="0.2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2:27" ht="15.75" customHeight="1" x14ac:dyDescent="0.2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2:27" ht="15.75" customHeight="1" x14ac:dyDescent="0.2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2:27" ht="15.75" customHeight="1" x14ac:dyDescent="0.2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2:27" ht="15.75" customHeight="1" x14ac:dyDescent="0.2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2:27" ht="15.75" customHeight="1" x14ac:dyDescent="0.2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2:27" ht="15.75" customHeight="1" x14ac:dyDescent="0.2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2:27" ht="15.75" customHeight="1" x14ac:dyDescent="0.2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2:27" ht="15.75" customHeight="1" x14ac:dyDescent="0.2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2:27" ht="15.75" customHeight="1" x14ac:dyDescent="0.2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2:27" ht="15.75" customHeight="1" x14ac:dyDescent="0.2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2:27" ht="15.75" customHeight="1" x14ac:dyDescent="0.2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2:27" ht="15.75" customHeight="1" x14ac:dyDescent="0.2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2:27" ht="15.75" customHeight="1" x14ac:dyDescent="0.2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2:27" ht="15.75" customHeight="1" x14ac:dyDescent="0.2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2:27" ht="15.75" customHeight="1" x14ac:dyDescent="0.2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2:27" ht="15.75" customHeight="1" x14ac:dyDescent="0.2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2:27" ht="15.75" customHeight="1" x14ac:dyDescent="0.2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2:27" ht="15.75" customHeight="1" x14ac:dyDescent="0.2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2:27" ht="15.75" customHeight="1" x14ac:dyDescent="0.2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2:27" ht="15.75" customHeight="1" x14ac:dyDescent="0.2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2:27" ht="15.75" customHeight="1" x14ac:dyDescent="0.2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2:27" ht="15.75" customHeight="1" x14ac:dyDescent="0.2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2:27" ht="15.75" customHeight="1" x14ac:dyDescent="0.2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2:27" ht="15.75" customHeight="1" x14ac:dyDescent="0.2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2:27" ht="15.75" customHeight="1" x14ac:dyDescent="0.2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2:27" ht="15.75" customHeight="1" x14ac:dyDescent="0.2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2:27" ht="15.75" customHeight="1" x14ac:dyDescent="0.2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2:27" ht="15.75" customHeight="1" x14ac:dyDescent="0.2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2:27" ht="15.75" customHeight="1" x14ac:dyDescent="0.2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2:27" ht="15.75" customHeight="1" x14ac:dyDescent="0.2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2:27" ht="15.75" customHeight="1" x14ac:dyDescent="0.2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2:27" ht="15.75" customHeight="1" x14ac:dyDescent="0.2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2:27" ht="15.75" customHeight="1" x14ac:dyDescent="0.2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2:27" ht="15.75" customHeight="1" x14ac:dyDescent="0.2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2:27" ht="15.75" customHeight="1" x14ac:dyDescent="0.2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2:27" ht="15.75" customHeight="1" x14ac:dyDescent="0.2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2:27" ht="15.75" customHeight="1" x14ac:dyDescent="0.2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2:27" ht="15.75" customHeight="1" x14ac:dyDescent="0.2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2:27" ht="15.75" customHeight="1" x14ac:dyDescent="0.2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2:27" ht="15.75" customHeight="1" x14ac:dyDescent="0.2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2:27" ht="15.75" customHeight="1" x14ac:dyDescent="0.2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2:27" ht="15.75" customHeight="1" x14ac:dyDescent="0.2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2:27" ht="15.75" customHeight="1" x14ac:dyDescent="0.2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2:27" ht="15.75" customHeight="1" x14ac:dyDescent="0.2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2:27" ht="15.75" customHeight="1" x14ac:dyDescent="0.2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2:27" ht="15.75" customHeight="1" x14ac:dyDescent="0.2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2:27" ht="15.75" customHeight="1" x14ac:dyDescent="0.2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2:27" ht="15.75" customHeight="1" x14ac:dyDescent="0.2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2:27" ht="15.75" customHeight="1" x14ac:dyDescent="0.2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2:27" ht="15.75" customHeight="1" x14ac:dyDescent="0.2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2:27" ht="15.75" customHeight="1" x14ac:dyDescent="0.2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2:27" ht="15.75" customHeight="1" x14ac:dyDescent="0.2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2:27" ht="15.75" customHeight="1" x14ac:dyDescent="0.2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2:27" ht="15.75" customHeight="1" x14ac:dyDescent="0.2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2:27" ht="15.75" customHeight="1" x14ac:dyDescent="0.2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2:27" ht="15.75" customHeight="1" x14ac:dyDescent="0.2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2:27" ht="15.75" customHeight="1" x14ac:dyDescent="0.2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2:27" ht="15.75" customHeight="1" x14ac:dyDescent="0.2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2:27" ht="15.75" customHeight="1" x14ac:dyDescent="0.2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2:27" ht="15.75" customHeight="1" x14ac:dyDescent="0.2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2:27" ht="15.75" customHeight="1" x14ac:dyDescent="0.2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2:27" ht="15.75" customHeight="1" x14ac:dyDescent="0.2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2:27" ht="15.75" customHeight="1" x14ac:dyDescent="0.2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2:27" ht="15.75" customHeight="1" x14ac:dyDescent="0.2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2:27" ht="15.75" customHeight="1" x14ac:dyDescent="0.2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2:27" ht="15.75" customHeight="1" x14ac:dyDescent="0.2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2:27" ht="15.75" customHeight="1" x14ac:dyDescent="0.2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2:27" ht="15.75" customHeight="1" x14ac:dyDescent="0.2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2:27" ht="15.75" customHeight="1" x14ac:dyDescent="0.2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2:27" ht="15.75" customHeight="1" x14ac:dyDescent="0.2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2:27" ht="15.75" customHeight="1" x14ac:dyDescent="0.2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2:27" ht="15.75" customHeight="1" x14ac:dyDescent="0.2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2:27" ht="15.75" customHeight="1" x14ac:dyDescent="0.2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2:27" ht="15.75" customHeight="1" x14ac:dyDescent="0.2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2:27" ht="15.75" customHeight="1" x14ac:dyDescent="0.2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2:27" ht="15.75" customHeight="1" x14ac:dyDescent="0.2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2:27" ht="15.75" customHeight="1" x14ac:dyDescent="0.2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2:27" ht="15.75" customHeight="1" x14ac:dyDescent="0.2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2:27" ht="15.75" customHeight="1" x14ac:dyDescent="0.2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2:27" ht="15.75" customHeight="1" x14ac:dyDescent="0.2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2:27" ht="15.75" customHeight="1" x14ac:dyDescent="0.2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2:27" ht="15.75" customHeight="1" x14ac:dyDescent="0.2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2:27" ht="15.75" customHeight="1" x14ac:dyDescent="0.2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2:27" ht="15.75" customHeight="1" x14ac:dyDescent="0.2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2:27" ht="15.75" customHeight="1" x14ac:dyDescent="0.2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2:27" ht="15.75" customHeight="1" x14ac:dyDescent="0.2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2:27" ht="15.75" customHeight="1" x14ac:dyDescent="0.2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2:27" ht="15.75" customHeight="1" x14ac:dyDescent="0.2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2:27" ht="15.75" customHeight="1" x14ac:dyDescent="0.2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2:27" ht="15.75" customHeight="1" x14ac:dyDescent="0.2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2:27" ht="15.75" customHeight="1" x14ac:dyDescent="0.2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2:27" ht="15.75" customHeight="1" x14ac:dyDescent="0.2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2:27" ht="15.75" customHeight="1" x14ac:dyDescent="0.2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2:27" ht="15.75" customHeight="1" x14ac:dyDescent="0.2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2:27" ht="15.75" customHeight="1" x14ac:dyDescent="0.2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2:27" ht="15.75" customHeight="1" x14ac:dyDescent="0.2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2:27" ht="15.75" customHeight="1" x14ac:dyDescent="0.2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2:27" ht="15.75" customHeight="1" x14ac:dyDescent="0.2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2:27" ht="15.75" customHeight="1" x14ac:dyDescent="0.2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2:27" ht="15.75" customHeight="1" x14ac:dyDescent="0.2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2:27" ht="15.75" customHeight="1" x14ac:dyDescent="0.2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2:27" ht="15.75" customHeight="1" x14ac:dyDescent="0.2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2:27" ht="15.75" customHeight="1" x14ac:dyDescent="0.2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2:27" ht="15.75" customHeight="1" x14ac:dyDescent="0.2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2:27" ht="15.75" customHeight="1" x14ac:dyDescent="0.2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2:27" ht="15.75" customHeight="1" x14ac:dyDescent="0.2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2:27" ht="15.75" customHeight="1" x14ac:dyDescent="0.2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2:27" ht="15.75" customHeight="1" x14ac:dyDescent="0.2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2:27" ht="15.75" customHeight="1" x14ac:dyDescent="0.2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2:27" ht="15.75" customHeight="1" x14ac:dyDescent="0.2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2:27" ht="15.75" customHeight="1" x14ac:dyDescent="0.2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2:27" ht="15.75" customHeight="1" x14ac:dyDescent="0.2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2:27" ht="15.75" customHeight="1" x14ac:dyDescent="0.2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2:27" ht="15.75" customHeight="1" x14ac:dyDescent="0.2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2:27" ht="15.75" customHeight="1" x14ac:dyDescent="0.2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2:27" ht="15.75" customHeight="1" x14ac:dyDescent="0.2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2:27" ht="15.75" customHeight="1" x14ac:dyDescent="0.2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2:27" ht="15.75" customHeight="1" x14ac:dyDescent="0.2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2:27" ht="15.75" customHeight="1" x14ac:dyDescent="0.2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2:27" ht="15.75" customHeight="1" x14ac:dyDescent="0.2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2:27" ht="15.75" customHeight="1" x14ac:dyDescent="0.2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2:27" ht="15.75" customHeight="1" x14ac:dyDescent="0.2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2:27" ht="15.75" customHeight="1" x14ac:dyDescent="0.2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2:27" ht="15.75" customHeight="1" x14ac:dyDescent="0.2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2:27" ht="15.75" customHeight="1" x14ac:dyDescent="0.2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2:27" ht="15.75" customHeight="1" x14ac:dyDescent="0.2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2:27" ht="15.75" customHeight="1" x14ac:dyDescent="0.2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2:27" ht="15.75" customHeight="1" x14ac:dyDescent="0.2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2:27" ht="15.75" customHeight="1" x14ac:dyDescent="0.2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2:27" ht="15.75" customHeight="1" x14ac:dyDescent="0.2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2:27" ht="15.75" customHeight="1" x14ac:dyDescent="0.2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2:27" ht="15.75" customHeight="1" x14ac:dyDescent="0.2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2:27" ht="15.75" customHeight="1" x14ac:dyDescent="0.2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2:27" ht="15.75" customHeight="1" x14ac:dyDescent="0.2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2:27" ht="15.75" customHeight="1" x14ac:dyDescent="0.2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2:27" ht="15.75" customHeight="1" x14ac:dyDescent="0.2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2:27" ht="15.75" customHeight="1" x14ac:dyDescent="0.2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2:27" ht="15.75" customHeight="1" x14ac:dyDescent="0.2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2:27" ht="15.75" customHeight="1" x14ac:dyDescent="0.2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2:27" ht="15.75" customHeight="1" x14ac:dyDescent="0.2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2:27" ht="15.75" customHeight="1" x14ac:dyDescent="0.2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2:27" ht="15.75" customHeight="1" x14ac:dyDescent="0.2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2:27" ht="15.75" customHeight="1" x14ac:dyDescent="0.2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2:27" ht="15.75" customHeight="1" x14ac:dyDescent="0.2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2:27" ht="15.75" customHeight="1" x14ac:dyDescent="0.2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2:27" ht="15.75" customHeight="1" x14ac:dyDescent="0.2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2:27" ht="15.75" customHeight="1" x14ac:dyDescent="0.2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2:27" ht="15.75" customHeight="1" x14ac:dyDescent="0.2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2:27" ht="15.75" customHeight="1" x14ac:dyDescent="0.2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2:27" ht="15.75" customHeight="1" x14ac:dyDescent="0.2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2:27" ht="15.75" customHeight="1" x14ac:dyDescent="0.2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2:27" ht="15.75" customHeight="1" x14ac:dyDescent="0.2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2:27" ht="15.75" customHeight="1" x14ac:dyDescent="0.2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2:27" ht="15.75" customHeight="1" x14ac:dyDescent="0.2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2:27" ht="15.75" customHeight="1" x14ac:dyDescent="0.2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2:27" ht="15.75" customHeight="1" x14ac:dyDescent="0.2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2:27" ht="15.75" customHeight="1" x14ac:dyDescent="0.2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2:27" ht="15.75" customHeight="1" x14ac:dyDescent="0.2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2:27" ht="15.75" customHeight="1" x14ac:dyDescent="0.2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2:27" ht="15.75" customHeight="1" x14ac:dyDescent="0.2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2:27" ht="15.75" customHeight="1" x14ac:dyDescent="0.2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2:27" ht="15.75" customHeight="1" x14ac:dyDescent="0.2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2:27" ht="15.75" customHeight="1" x14ac:dyDescent="0.2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2:27" ht="15.75" customHeight="1" x14ac:dyDescent="0.2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2:27" ht="15.75" customHeight="1" x14ac:dyDescent="0.2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2:27" ht="15.75" customHeight="1" x14ac:dyDescent="0.2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2:27" ht="15.75" customHeight="1" x14ac:dyDescent="0.2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2:27" ht="15.75" customHeight="1" x14ac:dyDescent="0.2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2:27" ht="15.75" customHeight="1" x14ac:dyDescent="0.2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2:27" ht="15.75" customHeight="1" x14ac:dyDescent="0.2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2:27" ht="15.75" customHeight="1" x14ac:dyDescent="0.2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2:27" ht="15.75" customHeight="1" x14ac:dyDescent="0.2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2:27" ht="15.75" customHeight="1" x14ac:dyDescent="0.2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2:27" ht="15.75" customHeight="1" x14ac:dyDescent="0.2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2:27" ht="15.75" customHeight="1" x14ac:dyDescent="0.2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2:27" ht="15.75" customHeight="1" x14ac:dyDescent="0.2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2:27" ht="15.75" customHeight="1" x14ac:dyDescent="0.2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2:27" ht="15.75" customHeight="1" x14ac:dyDescent="0.2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2:27" ht="15.75" customHeight="1" x14ac:dyDescent="0.2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2:27" ht="15.75" customHeight="1" x14ac:dyDescent="0.2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2:27" ht="15.75" customHeight="1" x14ac:dyDescent="0.2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2:27" ht="15.75" customHeight="1" x14ac:dyDescent="0.2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2:27" ht="15.75" customHeight="1" x14ac:dyDescent="0.2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2:27" ht="15.75" customHeight="1" x14ac:dyDescent="0.2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2:27" ht="15.75" customHeight="1" x14ac:dyDescent="0.2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2:27" ht="15.75" customHeight="1" x14ac:dyDescent="0.2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2:27" ht="15.75" customHeight="1" x14ac:dyDescent="0.2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2:27" ht="15.75" customHeight="1" x14ac:dyDescent="0.2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2:27" ht="15.75" customHeight="1" x14ac:dyDescent="0.2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2:27" ht="15.75" customHeight="1" x14ac:dyDescent="0.2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2:27" ht="15.75" customHeight="1" x14ac:dyDescent="0.2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2:27" ht="15.75" customHeight="1" x14ac:dyDescent="0.2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2:27" ht="15.75" customHeight="1" x14ac:dyDescent="0.2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2:27" ht="15.75" customHeight="1" x14ac:dyDescent="0.2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2:27" ht="15.75" customHeight="1" x14ac:dyDescent="0.2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2:27" ht="15.75" customHeight="1" x14ac:dyDescent="0.2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2:27" ht="15.75" customHeight="1" x14ac:dyDescent="0.2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2:27" ht="15.75" customHeight="1" x14ac:dyDescent="0.2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2:27" ht="15.75" customHeight="1" x14ac:dyDescent="0.2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2:27" ht="15.75" customHeight="1" x14ac:dyDescent="0.2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2:27" ht="15.75" customHeight="1" x14ac:dyDescent="0.2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2:27" ht="15.75" customHeight="1" x14ac:dyDescent="0.2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2:27" ht="15.75" customHeight="1" x14ac:dyDescent="0.2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2:27" ht="15.75" customHeight="1" x14ac:dyDescent="0.2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2:27" ht="15.75" customHeight="1" x14ac:dyDescent="0.2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2:27" ht="15.75" customHeight="1" x14ac:dyDescent="0.2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2:27" ht="15.75" customHeight="1" x14ac:dyDescent="0.2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2:27" ht="15.75" customHeight="1" x14ac:dyDescent="0.2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2:27" ht="15.75" customHeight="1" x14ac:dyDescent="0.2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2:27" ht="15.75" customHeight="1" x14ac:dyDescent="0.2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2:27" ht="15.75" customHeight="1" x14ac:dyDescent="0.2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2:27" ht="15.75" customHeight="1" x14ac:dyDescent="0.2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2:27" ht="15.75" customHeight="1" x14ac:dyDescent="0.2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2:27" ht="15.75" customHeight="1" x14ac:dyDescent="0.2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2:27" ht="15.75" customHeight="1" x14ac:dyDescent="0.2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2:27" ht="15.75" customHeight="1" x14ac:dyDescent="0.2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2:27" ht="15.75" customHeight="1" x14ac:dyDescent="0.2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2:27" ht="15.75" customHeight="1" x14ac:dyDescent="0.2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2:27" ht="15.75" customHeight="1" x14ac:dyDescent="0.2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2:27" ht="15.75" customHeight="1" x14ac:dyDescent="0.2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2:27" ht="15.75" customHeight="1" x14ac:dyDescent="0.2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2:27" ht="15.75" customHeight="1" x14ac:dyDescent="0.2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2:27" ht="15.75" customHeight="1" x14ac:dyDescent="0.2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2:27" ht="15.75" customHeight="1" x14ac:dyDescent="0.2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2:27" ht="15.75" customHeight="1" x14ac:dyDescent="0.2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2:27" ht="15.75" customHeight="1" x14ac:dyDescent="0.2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2:27" ht="15.75" customHeight="1" x14ac:dyDescent="0.2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2:27" ht="15.75" customHeight="1" x14ac:dyDescent="0.2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2:27" ht="15.75" customHeight="1" x14ac:dyDescent="0.2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2:27" ht="15.75" customHeight="1" x14ac:dyDescent="0.2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2:27" ht="15.75" customHeight="1" x14ac:dyDescent="0.2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2:27" ht="15.75" customHeight="1" x14ac:dyDescent="0.2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2:27" ht="15.75" customHeight="1" x14ac:dyDescent="0.2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2:27" ht="15.75" customHeight="1" x14ac:dyDescent="0.2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2:27" ht="15.75" customHeight="1" x14ac:dyDescent="0.2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2:27" ht="15.75" customHeight="1" x14ac:dyDescent="0.2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2:27" ht="15.75" customHeight="1" x14ac:dyDescent="0.2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2:27" ht="15.75" customHeight="1" x14ac:dyDescent="0.2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2:27" ht="15.75" customHeight="1" x14ac:dyDescent="0.2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2:27" ht="15.75" customHeight="1" x14ac:dyDescent="0.2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2:27" ht="15.75" customHeight="1" x14ac:dyDescent="0.2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2:27" ht="15.75" customHeight="1" x14ac:dyDescent="0.2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2:27" ht="15.75" customHeight="1" x14ac:dyDescent="0.2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2:27" ht="15.75" customHeight="1" x14ac:dyDescent="0.2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2:27" ht="15.75" customHeight="1" x14ac:dyDescent="0.2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2:27" ht="15.75" customHeight="1" x14ac:dyDescent="0.2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2:27" ht="15.75" customHeight="1" x14ac:dyDescent="0.2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2:27" ht="15.75" customHeight="1" x14ac:dyDescent="0.2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2:27" ht="15.75" customHeight="1" x14ac:dyDescent="0.2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2:27" ht="15.75" customHeight="1" x14ac:dyDescent="0.2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2:27" ht="15.75" customHeight="1" x14ac:dyDescent="0.2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2:27" ht="15.75" customHeight="1" x14ac:dyDescent="0.2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2:27" ht="15.75" customHeight="1" x14ac:dyDescent="0.2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2:27" ht="15.75" customHeight="1" x14ac:dyDescent="0.2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2:27" ht="15.75" customHeight="1" x14ac:dyDescent="0.2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2:27" ht="15.75" customHeight="1" x14ac:dyDescent="0.2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2:27" ht="15.75" customHeight="1" x14ac:dyDescent="0.2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2:27" ht="15.75" customHeight="1" x14ac:dyDescent="0.2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2:27" ht="15.75" customHeight="1" x14ac:dyDescent="0.2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2:27" ht="15.75" customHeight="1" x14ac:dyDescent="0.2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2:27" ht="15.75" customHeight="1" x14ac:dyDescent="0.2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2:27" ht="15.75" customHeight="1" x14ac:dyDescent="0.2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2:27" ht="15.75" customHeight="1" x14ac:dyDescent="0.2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2:27" ht="15.75" customHeight="1" x14ac:dyDescent="0.2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2:27" ht="15.75" customHeight="1" x14ac:dyDescent="0.2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2:27" ht="15.75" customHeight="1" x14ac:dyDescent="0.2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2:27" ht="15.75" customHeight="1" x14ac:dyDescent="0.2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2:27" ht="15.75" customHeight="1" x14ac:dyDescent="0.2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2:27" ht="15.75" customHeight="1" x14ac:dyDescent="0.2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2:27" ht="15.75" customHeight="1" x14ac:dyDescent="0.2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2:27" ht="15.75" customHeight="1" x14ac:dyDescent="0.2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2:27" ht="15.75" customHeight="1" x14ac:dyDescent="0.2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2:27" ht="15.75" customHeight="1" x14ac:dyDescent="0.2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2:27" ht="15.75" customHeight="1" x14ac:dyDescent="0.2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2:27" ht="15.75" customHeight="1" x14ac:dyDescent="0.2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2:27" ht="15.75" customHeight="1" x14ac:dyDescent="0.2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2:27" ht="15.75" customHeight="1" x14ac:dyDescent="0.2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2:27" ht="15.75" customHeight="1" x14ac:dyDescent="0.2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2:27" ht="15.75" customHeight="1" x14ac:dyDescent="0.2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2:27" ht="15.75" customHeight="1" x14ac:dyDescent="0.2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2:27" ht="15.75" customHeight="1" x14ac:dyDescent="0.2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2:27" ht="15.75" customHeight="1" x14ac:dyDescent="0.2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2:27" ht="15.75" customHeight="1" x14ac:dyDescent="0.2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2:27" ht="15.75" customHeight="1" x14ac:dyDescent="0.2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2:27" ht="15.75" customHeight="1" x14ac:dyDescent="0.2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2:27" ht="15.75" customHeight="1" x14ac:dyDescent="0.2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2:27" ht="15.75" customHeight="1" x14ac:dyDescent="0.2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2:27" ht="15.75" customHeight="1" x14ac:dyDescent="0.2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2:27" ht="15.75" customHeight="1" x14ac:dyDescent="0.2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2:27" ht="15.75" customHeight="1" x14ac:dyDescent="0.2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2:27" ht="15.75" customHeight="1" x14ac:dyDescent="0.2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2:27" ht="15.75" customHeight="1" x14ac:dyDescent="0.2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2:27" ht="15.75" customHeight="1" x14ac:dyDescent="0.2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2:27" ht="15.75" customHeight="1" x14ac:dyDescent="0.2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2:27" ht="15.75" customHeight="1" x14ac:dyDescent="0.2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2:27" ht="15.75" customHeight="1" x14ac:dyDescent="0.2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2:27" ht="15.75" customHeight="1" x14ac:dyDescent="0.2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2:27" ht="15.75" customHeight="1" x14ac:dyDescent="0.2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2:27" ht="15.75" customHeight="1" x14ac:dyDescent="0.2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2:27" ht="15.75" customHeight="1" x14ac:dyDescent="0.2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2:27" ht="15.75" customHeight="1" x14ac:dyDescent="0.2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2:27" ht="15.75" customHeight="1" x14ac:dyDescent="0.2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2:27" ht="15.75" customHeight="1" x14ac:dyDescent="0.2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2:27" ht="15.75" customHeight="1" x14ac:dyDescent="0.2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2:27" ht="15.75" customHeight="1" x14ac:dyDescent="0.2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2:27" ht="15.75" customHeight="1" x14ac:dyDescent="0.2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2:27" ht="15.75" customHeight="1" x14ac:dyDescent="0.2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2:27" ht="15.75" customHeight="1" x14ac:dyDescent="0.2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2:27" ht="15.75" customHeight="1" x14ac:dyDescent="0.2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2:27" ht="15.75" customHeight="1" x14ac:dyDescent="0.2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2:27" ht="15.75" customHeight="1" x14ac:dyDescent="0.2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2:27" ht="15.75" customHeight="1" x14ac:dyDescent="0.2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2:27" ht="15.75" customHeight="1" x14ac:dyDescent="0.2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2:27" ht="15.75" customHeight="1" x14ac:dyDescent="0.2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2:27" ht="15.75" customHeight="1" x14ac:dyDescent="0.2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2:27" ht="15.75" customHeight="1" x14ac:dyDescent="0.2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2:27" ht="15.75" customHeight="1" x14ac:dyDescent="0.2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2:27" ht="15.75" customHeight="1" x14ac:dyDescent="0.2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2:27" ht="15.75" customHeight="1" x14ac:dyDescent="0.2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2:27" ht="15.75" customHeight="1" x14ac:dyDescent="0.2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2:27" ht="15.75" customHeight="1" x14ac:dyDescent="0.2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2:27" ht="15.75" customHeight="1" x14ac:dyDescent="0.2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2:27" ht="15.75" customHeight="1" x14ac:dyDescent="0.2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2:27" ht="15.75" customHeight="1" x14ac:dyDescent="0.2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2:27" ht="15.75" customHeight="1" x14ac:dyDescent="0.2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2:27" ht="15.75" customHeight="1" x14ac:dyDescent="0.2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2:27" ht="15.75" customHeight="1" x14ac:dyDescent="0.2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2:27" ht="15.75" customHeight="1" x14ac:dyDescent="0.2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2:27" ht="15.75" customHeight="1" x14ac:dyDescent="0.2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2:27" ht="15.75" customHeight="1" x14ac:dyDescent="0.2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2:27" ht="15.75" customHeight="1" x14ac:dyDescent="0.2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2:27" ht="15.75" customHeight="1" x14ac:dyDescent="0.2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2:27" ht="15.75" customHeight="1" x14ac:dyDescent="0.2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2:27" ht="15.75" customHeight="1" x14ac:dyDescent="0.2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2:27" ht="15.75" customHeight="1" x14ac:dyDescent="0.2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2:27" ht="15.75" customHeight="1" x14ac:dyDescent="0.2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2:27" ht="15.75" customHeight="1" x14ac:dyDescent="0.2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2:27" ht="15.75" customHeight="1" x14ac:dyDescent="0.2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2:27" ht="15.75" customHeight="1" x14ac:dyDescent="0.2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2:27" ht="15.75" customHeight="1" x14ac:dyDescent="0.2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2:27" ht="15.75" customHeight="1" x14ac:dyDescent="0.2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2:27" ht="15.75" customHeight="1" x14ac:dyDescent="0.2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2:27" ht="15.75" customHeight="1" x14ac:dyDescent="0.2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2:27" ht="15.75" customHeight="1" x14ac:dyDescent="0.2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2:27" ht="15.75" customHeight="1" x14ac:dyDescent="0.2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2:27" ht="15.75" customHeight="1" x14ac:dyDescent="0.2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2:27" ht="15.75" customHeight="1" x14ac:dyDescent="0.2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2:27" ht="15.75" customHeight="1" x14ac:dyDescent="0.2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2:27" ht="15.75" customHeight="1" x14ac:dyDescent="0.2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2:27" ht="15.75" customHeight="1" x14ac:dyDescent="0.2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2:27" ht="15.75" customHeight="1" x14ac:dyDescent="0.2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2:27" ht="15.75" customHeight="1" x14ac:dyDescent="0.2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2:27" ht="15.75" customHeight="1" x14ac:dyDescent="0.2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2:27" ht="15.75" customHeight="1" x14ac:dyDescent="0.2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2:27" ht="15.75" customHeight="1" x14ac:dyDescent="0.2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2:27" ht="15.75" customHeight="1" x14ac:dyDescent="0.2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2:27" ht="15.75" customHeight="1" x14ac:dyDescent="0.2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2:27" ht="15.75" customHeight="1" x14ac:dyDescent="0.2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2:27" ht="15.75" customHeight="1" x14ac:dyDescent="0.2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2:27" ht="15.75" customHeight="1" x14ac:dyDescent="0.2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2:27" ht="15.75" customHeight="1" x14ac:dyDescent="0.2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2:27" ht="15.75" customHeight="1" x14ac:dyDescent="0.2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2:27" ht="15.75" customHeight="1" x14ac:dyDescent="0.2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2:27" ht="15.75" customHeight="1" x14ac:dyDescent="0.2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2:27" ht="15.75" customHeight="1" x14ac:dyDescent="0.2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2:27" ht="15.75" customHeight="1" x14ac:dyDescent="0.2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2:27" ht="15.75" customHeight="1" x14ac:dyDescent="0.2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2:27" ht="15.75" customHeight="1" x14ac:dyDescent="0.2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2:27" ht="15.75" customHeight="1" x14ac:dyDescent="0.2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2:27" ht="15.75" customHeight="1" x14ac:dyDescent="0.2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2:27" ht="15.75" customHeight="1" x14ac:dyDescent="0.2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2:27" ht="15.75" customHeight="1" x14ac:dyDescent="0.2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2:27" ht="15.75" customHeight="1" x14ac:dyDescent="0.2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2:27" ht="15.75" customHeight="1" x14ac:dyDescent="0.2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2:27" ht="15.75" customHeight="1" x14ac:dyDescent="0.2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2:27" ht="15.75" customHeight="1" x14ac:dyDescent="0.2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2:27" ht="15.75" customHeight="1" x14ac:dyDescent="0.2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2:27" ht="15.75" customHeight="1" x14ac:dyDescent="0.2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2:27" ht="15.75" customHeight="1" x14ac:dyDescent="0.2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2:27" ht="15.75" customHeight="1" x14ac:dyDescent="0.2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2:27" ht="15.75" customHeight="1" x14ac:dyDescent="0.2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2:27" ht="15.75" customHeight="1" x14ac:dyDescent="0.2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2:27" ht="15.75" customHeight="1" x14ac:dyDescent="0.2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2:27" ht="15.75" customHeight="1" x14ac:dyDescent="0.2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2:27" ht="15.75" customHeight="1" x14ac:dyDescent="0.2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2:27" ht="15.75" customHeight="1" x14ac:dyDescent="0.2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2:27" ht="15.75" customHeight="1" x14ac:dyDescent="0.2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2:27" ht="15.75" customHeight="1" x14ac:dyDescent="0.2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2:27" ht="15.75" customHeight="1" x14ac:dyDescent="0.2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2:27" ht="15.75" customHeight="1" x14ac:dyDescent="0.2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2:27" ht="15.75" customHeight="1" x14ac:dyDescent="0.2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2:27" ht="15.75" customHeight="1" x14ac:dyDescent="0.2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2:27" ht="15.75" customHeight="1" x14ac:dyDescent="0.2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2:27" ht="15.75" customHeight="1" x14ac:dyDescent="0.2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2:27" ht="15.75" customHeight="1" x14ac:dyDescent="0.2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2:27" ht="15.75" customHeight="1" x14ac:dyDescent="0.2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2:27" ht="15.75" customHeight="1" x14ac:dyDescent="0.2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2:27" ht="15.75" customHeight="1" x14ac:dyDescent="0.2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2:27" ht="15.75" customHeight="1" x14ac:dyDescent="0.2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2:27" ht="15.75" customHeight="1" x14ac:dyDescent="0.2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2:27" ht="15.75" customHeight="1" x14ac:dyDescent="0.2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2:27" ht="15.75" customHeight="1" x14ac:dyDescent="0.2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2:27" ht="15.75" customHeight="1" x14ac:dyDescent="0.2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2:27" ht="15.75" customHeight="1" x14ac:dyDescent="0.2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2:27" ht="15.75" customHeight="1" x14ac:dyDescent="0.2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2:27" ht="15.75" customHeight="1" x14ac:dyDescent="0.2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2:27" ht="15.75" customHeight="1" x14ac:dyDescent="0.2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2:27" ht="15.75" customHeight="1" x14ac:dyDescent="0.2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2:27" ht="15.75" customHeight="1" x14ac:dyDescent="0.2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2:27" ht="15.75" customHeight="1" x14ac:dyDescent="0.2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2:27" ht="15.75" customHeight="1" x14ac:dyDescent="0.2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2:27" ht="15.75" customHeight="1" x14ac:dyDescent="0.2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2:27" ht="15.75" customHeight="1" x14ac:dyDescent="0.2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2:27" ht="15.75" customHeight="1" x14ac:dyDescent="0.2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2:27" ht="15.75" customHeight="1" x14ac:dyDescent="0.2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2:27" ht="15.75" customHeight="1" x14ac:dyDescent="0.2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2:27" ht="15.75" customHeight="1" x14ac:dyDescent="0.2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2:27" ht="15.75" customHeight="1" x14ac:dyDescent="0.2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2:27" ht="15.75" customHeight="1" x14ac:dyDescent="0.2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2:27" ht="15.75" customHeight="1" x14ac:dyDescent="0.2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2:27" ht="15.75" customHeight="1" x14ac:dyDescent="0.2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2:27" ht="15.75" customHeight="1" x14ac:dyDescent="0.2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2:27" ht="15.75" customHeight="1" x14ac:dyDescent="0.2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2:27" ht="15.75" customHeight="1" x14ac:dyDescent="0.2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2:27" ht="15.75" customHeight="1" x14ac:dyDescent="0.2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2:27" ht="15.75" customHeight="1" x14ac:dyDescent="0.2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2:27" ht="15.75" customHeight="1" x14ac:dyDescent="0.2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2:27" ht="15.75" customHeight="1" x14ac:dyDescent="0.2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2:27" ht="15.75" customHeight="1" x14ac:dyDescent="0.2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2:27" ht="15.75" customHeight="1" x14ac:dyDescent="0.2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2:27" ht="15.75" customHeight="1" x14ac:dyDescent="0.2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2:27" ht="15.75" customHeight="1" x14ac:dyDescent="0.2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2:27" ht="15.75" customHeight="1" x14ac:dyDescent="0.2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</sheetData>
  <mergeCells count="35">
    <mergeCell ref="K4:M4"/>
    <mergeCell ref="K7:M7"/>
    <mergeCell ref="K9:M9"/>
    <mergeCell ref="H9:I9"/>
    <mergeCell ref="B8:M8"/>
    <mergeCell ref="G2:G7"/>
    <mergeCell ref="G9:G15"/>
    <mergeCell ref="H14:J15"/>
    <mergeCell ref="K5:M6"/>
    <mergeCell ref="C2:F2"/>
    <mergeCell ref="C3:F3"/>
    <mergeCell ref="C4:F4"/>
    <mergeCell ref="C5:F5"/>
    <mergeCell ref="K12:M12"/>
    <mergeCell ref="K13:M13"/>
    <mergeCell ref="K2:M3"/>
    <mergeCell ref="D30:D31"/>
    <mergeCell ref="E30:G31"/>
    <mergeCell ref="B16:M16"/>
    <mergeCell ref="N17:N25"/>
    <mergeCell ref="B26:N26"/>
    <mergeCell ref="B29:G29"/>
    <mergeCell ref="B27:B28"/>
    <mergeCell ref="C27:C28"/>
    <mergeCell ref="B6:B7"/>
    <mergeCell ref="N6:P11"/>
    <mergeCell ref="D27:D28"/>
    <mergeCell ref="E27:G28"/>
    <mergeCell ref="C6:F7"/>
    <mergeCell ref="H10:I10"/>
    <mergeCell ref="H11:I11"/>
    <mergeCell ref="H12:I12"/>
    <mergeCell ref="H13:I13"/>
    <mergeCell ref="K10:M10"/>
    <mergeCell ref="K11:M11"/>
  </mergeCell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DFD11E4E-36A5-5245-A8D5-732D17DDF405}">
          <x14:formula1>
            <xm:f>Lists!$J$2:$J$25</xm:f>
          </x14:formula1>
          <xm:sqref>C2</xm:sqref>
        </x14:dataValidation>
        <x14:dataValidation type="list" allowBlank="1" showInputMessage="1" showErrorMessage="1" xr:uid="{F59905F9-285B-8D48-BAC7-DD35F50F390E}">
          <x14:formula1>
            <xm:f>Lists!$E$2:$E$10</xm:f>
          </x14:formula1>
          <xm:sqref>E10:E15</xm:sqref>
        </x14:dataValidation>
        <x14:dataValidation type="list" allowBlank="1" showInputMessage="1" showErrorMessage="1" xr:uid="{74884DEA-6D6B-934F-BEB5-78B5B20436D5}">
          <x14:formula1>
            <xm:f>Lists!$G$2:$G$9</xm:f>
          </x14:formula1>
          <xm:sqref>B10:B15</xm:sqref>
        </x14:dataValidation>
        <x14:dataValidation type="list" allowBlank="1" showInputMessage="1" showErrorMessage="1" xr:uid="{D9611285-BFF1-0643-BDC0-F2FABEEEF4E1}">
          <x14:formula1>
            <xm:f>Lists!$B$2:$B$21</xm:f>
          </x14:formula1>
          <xm:sqref>C10:C14</xm:sqref>
        </x14:dataValidation>
        <x14:dataValidation type="list" allowBlank="1" showInputMessage="1" showErrorMessage="1" xr:uid="{DE2DB381-5D88-2C42-B4B0-50CD8AFC9CFB}">
          <x14:formula1>
            <xm:f>Lists!$M$2:$M$97</xm:f>
          </x14:formula1>
          <xm:sqref>D10:D15 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722C0-5DFB-7446-9906-1ECC234EEE52}">
  <sheetPr codeName="Sheet3"/>
  <dimension ref="A1:AA909"/>
  <sheetViews>
    <sheetView zoomScale="60" workbookViewId="0">
      <selection activeCell="C2" sqref="C2:F2"/>
    </sheetView>
  </sheetViews>
  <sheetFormatPr baseColWidth="10" defaultColWidth="10.140625" defaultRowHeight="15" customHeight="1" x14ac:dyDescent="0.2"/>
  <cols>
    <col min="1" max="1" width="5.42578125" customWidth="1"/>
    <col min="2" max="2" width="25" customWidth="1"/>
    <col min="3" max="6" width="25.7109375" customWidth="1"/>
    <col min="7" max="13" width="25.5703125" customWidth="1"/>
    <col min="14" max="24" width="26" customWidth="1"/>
    <col min="25" max="27" width="11.42578125" customWidth="1"/>
  </cols>
  <sheetData>
    <row r="1" spans="1:27" ht="15" customHeight="1" thickBot="1" x14ac:dyDescent="0.25"/>
    <row r="2" spans="1:27" ht="46" customHeight="1" x14ac:dyDescent="0.2">
      <c r="B2" s="22" t="s">
        <v>104</v>
      </c>
      <c r="C2" s="224" t="s">
        <v>114</v>
      </c>
      <c r="D2" s="224"/>
      <c r="E2" s="224"/>
      <c r="F2" s="225"/>
      <c r="G2" s="218"/>
      <c r="H2" s="78" t="s">
        <v>242</v>
      </c>
      <c r="I2" s="65"/>
      <c r="J2" s="66" t="s">
        <v>243</v>
      </c>
      <c r="K2" s="203" t="s">
        <v>276</v>
      </c>
      <c r="L2" s="201"/>
      <c r="M2" s="201"/>
      <c r="N2" s="4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4" customHeight="1" x14ac:dyDescent="0.2">
      <c r="B3" s="23" t="s">
        <v>105</v>
      </c>
      <c r="C3" s="222" t="s">
        <v>12</v>
      </c>
      <c r="D3" s="222"/>
      <c r="E3" s="222"/>
      <c r="F3" s="223"/>
      <c r="G3" s="218"/>
      <c r="H3" s="79">
        <v>3.28</v>
      </c>
      <c r="I3" s="64" t="s">
        <v>224</v>
      </c>
      <c r="J3" s="52">
        <f>(H7*$C$27*$C$31)-SUM(J4:J6)</f>
        <v>62.399999999999977</v>
      </c>
      <c r="K3" s="203"/>
      <c r="L3" s="201"/>
      <c r="M3" s="20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4" customHeight="1" x14ac:dyDescent="0.2">
      <c r="B4" s="23" t="s">
        <v>9</v>
      </c>
      <c r="C4" s="222">
        <v>5</v>
      </c>
      <c r="D4" s="222"/>
      <c r="E4" s="222"/>
      <c r="F4" s="223"/>
      <c r="G4" s="218"/>
      <c r="H4" s="79">
        <v>3</v>
      </c>
      <c r="I4" s="64" t="s">
        <v>225</v>
      </c>
      <c r="J4" s="52">
        <f>ROUNDUP(3*$C$27*$C$31,0)</f>
        <v>58</v>
      </c>
      <c r="K4" s="210"/>
      <c r="L4" s="211"/>
      <c r="M4" s="21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4" customHeight="1" x14ac:dyDescent="0.2">
      <c r="B5" s="23" t="s">
        <v>10</v>
      </c>
      <c r="C5" s="222">
        <v>12</v>
      </c>
      <c r="D5" s="222"/>
      <c r="E5" s="222"/>
      <c r="F5" s="223"/>
      <c r="G5" s="218"/>
      <c r="H5" s="79">
        <v>0.12</v>
      </c>
      <c r="I5" s="64" t="s">
        <v>240</v>
      </c>
      <c r="J5" s="52">
        <f>ROUNDUP(H5*$C$27*$C$31,1)</f>
        <v>2.4</v>
      </c>
      <c r="K5" s="203" t="s">
        <v>248</v>
      </c>
      <c r="L5" s="201"/>
      <c r="M5" s="201"/>
      <c r="N5" s="68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9" customHeight="1" x14ac:dyDescent="0.2">
      <c r="B6" s="182" t="s">
        <v>277</v>
      </c>
      <c r="C6" s="193"/>
      <c r="D6" s="193"/>
      <c r="E6" s="193"/>
      <c r="F6" s="194"/>
      <c r="G6" s="218"/>
      <c r="H6" s="79">
        <v>0.6</v>
      </c>
      <c r="I6" s="64" t="s">
        <v>226</v>
      </c>
      <c r="J6" s="52">
        <f>ROUNDUP(H6*$C$27*$C$31,1)</f>
        <v>11.6</v>
      </c>
      <c r="K6" s="203"/>
      <c r="L6" s="201"/>
      <c r="M6" s="201"/>
      <c r="N6" s="184" t="s">
        <v>269</v>
      </c>
      <c r="O6" s="185"/>
      <c r="P6" s="186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9" customHeight="1" thickBot="1" x14ac:dyDescent="0.25">
      <c r="B7" s="183"/>
      <c r="C7" s="195"/>
      <c r="D7" s="195"/>
      <c r="E7" s="195"/>
      <c r="F7" s="196"/>
      <c r="G7" s="218"/>
      <c r="H7" s="80">
        <f>SUM(H3:H6)</f>
        <v>6.9999999999999991</v>
      </c>
      <c r="I7" s="67" t="s">
        <v>241</v>
      </c>
      <c r="J7" s="81">
        <f>ROUNDUP(H7*$C$27*$C$31,0)</f>
        <v>135</v>
      </c>
      <c r="K7" s="226"/>
      <c r="L7" s="227"/>
      <c r="M7" s="228"/>
      <c r="N7" s="187"/>
      <c r="O7" s="188"/>
      <c r="P7" s="189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22" customHeight="1" thickBot="1" x14ac:dyDescent="0.25">
      <c r="A8" s="77"/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17"/>
      <c r="N8" s="187"/>
      <c r="O8" s="188"/>
      <c r="P8" s="189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s="19" customFormat="1" ht="40" customHeight="1" x14ac:dyDescent="0.2">
      <c r="B9" s="85" t="s">
        <v>125</v>
      </c>
      <c r="C9" s="86" t="s">
        <v>17</v>
      </c>
      <c r="D9" s="87" t="s">
        <v>122</v>
      </c>
      <c r="E9" s="88" t="s">
        <v>123</v>
      </c>
      <c r="F9" s="89" t="s">
        <v>124</v>
      </c>
      <c r="G9" s="219"/>
      <c r="H9" s="215" t="s">
        <v>223</v>
      </c>
      <c r="I9" s="216"/>
      <c r="J9" s="50">
        <v>1</v>
      </c>
      <c r="K9" s="213" t="s">
        <v>249</v>
      </c>
      <c r="L9" s="213"/>
      <c r="M9" s="214"/>
      <c r="N9" s="187"/>
      <c r="O9" s="188"/>
      <c r="P9" s="189"/>
    </row>
    <row r="10" spans="1:27" s="20" customFormat="1" ht="47" customHeight="1" x14ac:dyDescent="0.2">
      <c r="B10" s="24" t="s">
        <v>16</v>
      </c>
      <c r="C10" s="34" t="s">
        <v>99</v>
      </c>
      <c r="D10" s="34" t="s">
        <v>215</v>
      </c>
      <c r="E10" s="21" t="s">
        <v>101</v>
      </c>
      <c r="F10" s="25" t="s">
        <v>214</v>
      </c>
      <c r="G10" s="219"/>
      <c r="H10" s="197" t="s">
        <v>230</v>
      </c>
      <c r="I10" s="198"/>
      <c r="J10" s="82">
        <f>H7*$C$30</f>
        <v>7.6999999999999993</v>
      </c>
      <c r="K10" s="201" t="s">
        <v>265</v>
      </c>
      <c r="L10" s="201"/>
      <c r="M10" s="202"/>
      <c r="N10" s="187"/>
      <c r="O10" s="188"/>
      <c r="P10" s="189"/>
    </row>
    <row r="11" spans="1:27" s="20" customFormat="1" ht="46" customHeight="1" thickBot="1" x14ac:dyDescent="0.25">
      <c r="B11" s="26" t="s">
        <v>25</v>
      </c>
      <c r="C11" s="35" t="s">
        <v>100</v>
      </c>
      <c r="D11" s="35" t="s">
        <v>215</v>
      </c>
      <c r="E11" s="27" t="s">
        <v>101</v>
      </c>
      <c r="F11" s="28" t="s">
        <v>214</v>
      </c>
      <c r="G11" s="219"/>
      <c r="H11" s="197" t="s">
        <v>34</v>
      </c>
      <c r="I11" s="198"/>
      <c r="J11" s="82">
        <f>C4*$C$30</f>
        <v>5.5</v>
      </c>
      <c r="K11" s="203" t="s">
        <v>266</v>
      </c>
      <c r="L11" s="201"/>
      <c r="M11" s="202"/>
      <c r="N11" s="190"/>
      <c r="O11" s="191"/>
      <c r="P11" s="192"/>
    </row>
    <row r="12" spans="1:27" s="20" customFormat="1" ht="46" customHeight="1" x14ac:dyDescent="0.2">
      <c r="B12" s="178"/>
      <c r="C12" s="178"/>
      <c r="D12" s="178"/>
      <c r="E12" s="178"/>
      <c r="F12" s="178"/>
      <c r="G12" s="219"/>
      <c r="H12" s="197" t="s">
        <v>258</v>
      </c>
      <c r="I12" s="198"/>
      <c r="J12" s="51">
        <f>SUM(J10:J11)</f>
        <v>13.2</v>
      </c>
      <c r="K12" s="213" t="s">
        <v>267</v>
      </c>
      <c r="L12" s="213"/>
      <c r="M12" s="213"/>
      <c r="N12" s="47"/>
    </row>
    <row r="13" spans="1:27" s="20" customFormat="1" ht="46" customHeight="1" thickBot="1" x14ac:dyDescent="0.25">
      <c r="B13" s="219"/>
      <c r="C13" s="219"/>
      <c r="D13" s="219"/>
      <c r="E13" s="219"/>
      <c r="F13" s="219"/>
      <c r="G13" s="219"/>
      <c r="H13" s="229" t="s">
        <v>257</v>
      </c>
      <c r="I13" s="230"/>
      <c r="J13" s="84">
        <f>C5</f>
        <v>12</v>
      </c>
      <c r="K13" s="201" t="s">
        <v>268</v>
      </c>
      <c r="L13" s="201"/>
      <c r="M13" s="201"/>
      <c r="N13" s="47"/>
    </row>
    <row r="14" spans="1:27" s="20" customFormat="1" ht="47" customHeight="1" x14ac:dyDescent="0.2">
      <c r="B14" s="219"/>
      <c r="C14" s="219"/>
      <c r="D14" s="219"/>
      <c r="E14" s="219"/>
      <c r="F14" s="219"/>
      <c r="G14" s="219"/>
      <c r="H14" s="178"/>
      <c r="I14" s="178"/>
      <c r="J14" s="178"/>
      <c r="K14" s="83"/>
      <c r="N14" s="47"/>
    </row>
    <row r="15" spans="1:27" s="20" customFormat="1" ht="8" customHeight="1" x14ac:dyDescent="0.2">
      <c r="B15" s="219"/>
      <c r="C15" s="219"/>
      <c r="D15" s="219"/>
      <c r="E15" s="219"/>
      <c r="F15" s="219"/>
      <c r="G15" s="219"/>
      <c r="H15" s="219"/>
      <c r="I15" s="219"/>
      <c r="J15" s="219"/>
    </row>
    <row r="16" spans="1:27" ht="50" customHeight="1" thickBot="1" x14ac:dyDescent="0.25"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21" customHeight="1" x14ac:dyDescent="0.2">
      <c r="A17" s="36"/>
      <c r="B17" s="37">
        <v>1</v>
      </c>
      <c r="C17" s="37">
        <v>2</v>
      </c>
      <c r="D17" s="37">
        <v>3</v>
      </c>
      <c r="E17" s="37">
        <v>4</v>
      </c>
      <c r="F17" s="37">
        <v>5</v>
      </c>
      <c r="G17" s="37">
        <v>6</v>
      </c>
      <c r="H17" s="37">
        <v>7</v>
      </c>
      <c r="I17" s="37">
        <v>8</v>
      </c>
      <c r="J17" s="37">
        <v>9</v>
      </c>
      <c r="K17" s="37">
        <v>10</v>
      </c>
      <c r="L17" s="37">
        <v>11</v>
      </c>
      <c r="M17" s="38">
        <v>12</v>
      </c>
      <c r="N17" s="15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66" customHeight="1" x14ac:dyDescent="0.2">
      <c r="A18" s="39" t="s">
        <v>26</v>
      </c>
      <c r="B18" s="4"/>
      <c r="C18" s="5"/>
      <c r="D18" s="4"/>
      <c r="E18" s="96" t="str">
        <f>IF(ISBLANK('Plate Map'!E5),"",'Plate Map'!E5)</f>
        <v>S1</v>
      </c>
      <c r="F18" s="99" t="str">
        <f>IF(ISBLANK('Plate Map'!F5),"",'Plate Map'!F5)</f>
        <v>S7</v>
      </c>
      <c r="G18" s="5"/>
      <c r="H18" s="4"/>
      <c r="I18" s="5"/>
      <c r="J18" s="4"/>
      <c r="K18" s="5"/>
      <c r="L18" s="4"/>
      <c r="M18" s="40"/>
      <c r="N18" s="15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66" customHeight="1" x14ac:dyDescent="0.2">
      <c r="A19" s="39" t="s">
        <v>27</v>
      </c>
      <c r="B19" s="5"/>
      <c r="C19" s="4"/>
      <c r="D19" s="5"/>
      <c r="E19" s="99" t="str">
        <f>IF(ISBLANK('Plate Map'!E6),"",'Plate Map'!E6)</f>
        <v>S2</v>
      </c>
      <c r="F19" s="96" t="str">
        <f>IF(ISBLANK('Plate Map'!F6),"",'Plate Map'!F6)</f>
        <v>S8</v>
      </c>
      <c r="G19" s="4"/>
      <c r="H19" s="5"/>
      <c r="I19" s="4"/>
      <c r="J19" s="5"/>
      <c r="K19" s="4"/>
      <c r="L19" s="5"/>
      <c r="M19" s="41"/>
      <c r="N19" s="15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66" customHeight="1" x14ac:dyDescent="0.2">
      <c r="A20" s="39" t="s">
        <v>28</v>
      </c>
      <c r="B20" s="4"/>
      <c r="C20" s="5"/>
      <c r="D20" s="4"/>
      <c r="E20" s="96" t="str">
        <f>IF(ISBLANK('Plate Map'!E7),"",'Plate Map'!E7)</f>
        <v>S3</v>
      </c>
      <c r="F20" s="99" t="str">
        <f>IF(ISBLANK('Plate Map'!F7),"",'Plate Map'!F7)</f>
        <v>S9</v>
      </c>
      <c r="G20" s="5"/>
      <c r="H20" s="4"/>
      <c r="I20" s="5"/>
      <c r="J20" s="4"/>
      <c r="K20" s="5"/>
      <c r="L20" s="4"/>
      <c r="M20" s="40"/>
      <c r="N20" s="15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66" customHeight="1" x14ac:dyDescent="0.2">
      <c r="A21" s="39" t="s">
        <v>29</v>
      </c>
      <c r="B21" s="5"/>
      <c r="C21" s="4"/>
      <c r="D21" s="5"/>
      <c r="E21" s="99" t="str">
        <f>IF(ISBLANK('Plate Map'!E8),"",'Plate Map'!E8)</f>
        <v>S4</v>
      </c>
      <c r="F21" s="96" t="str">
        <f>IF(ISBLANK('Plate Map'!F8),"",'Plate Map'!F8)</f>
        <v>S10</v>
      </c>
      <c r="G21" s="4"/>
      <c r="H21" s="5"/>
      <c r="I21" s="4"/>
      <c r="J21" s="5"/>
      <c r="K21" s="4"/>
      <c r="L21" s="5"/>
      <c r="M21" s="41"/>
      <c r="N21" s="15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66" customHeight="1" x14ac:dyDescent="0.2">
      <c r="A22" s="39" t="s">
        <v>30</v>
      </c>
      <c r="B22" s="69"/>
      <c r="C22" s="70"/>
      <c r="D22" s="4"/>
      <c r="E22" s="97" t="str">
        <f>IF(ISBLANK('Plate Map'!E9),"",'Plate Map'!E9)</f>
        <v>S5</v>
      </c>
      <c r="F22" s="100" t="str">
        <f>IF(ISBLANK('Plate Map'!F9),"",'Plate Map'!F9)</f>
        <v>S11</v>
      </c>
      <c r="G22" s="5"/>
      <c r="H22" s="4"/>
      <c r="I22" s="5"/>
      <c r="J22" s="4"/>
      <c r="K22" s="5"/>
      <c r="L22" s="4"/>
      <c r="M22" s="40"/>
      <c r="N22" s="15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66" customHeight="1" x14ac:dyDescent="0.2">
      <c r="A23" s="39" t="s">
        <v>31</v>
      </c>
      <c r="B23" s="5"/>
      <c r="C23" s="4"/>
      <c r="D23" s="5"/>
      <c r="E23" s="99" t="str">
        <f>IF(ISBLANK('Plate Map'!E10),"",'Plate Map'!E10)</f>
        <v>S6</v>
      </c>
      <c r="F23" s="96" t="str">
        <f>IF(ISBLANK('Plate Map'!F10),"",'Plate Map'!F10)</f>
        <v>S12</v>
      </c>
      <c r="G23" s="4"/>
      <c r="H23" s="5"/>
      <c r="I23" s="4"/>
      <c r="J23" s="5"/>
      <c r="K23" s="4"/>
      <c r="L23" s="5"/>
      <c r="M23" s="41"/>
      <c r="N23" s="15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66" customHeight="1" x14ac:dyDescent="0.2">
      <c r="A24" s="39" t="s">
        <v>32</v>
      </c>
      <c r="B24" s="4"/>
      <c r="C24" s="5"/>
      <c r="D24" s="4"/>
      <c r="E24" s="96" t="str">
        <f>IF(ISBLANK('Plate Map'!E11),"",'Plate Map'!E11)</f>
        <v>EBLANK</v>
      </c>
      <c r="F24" s="99" t="str">
        <f>IF(ISBLANK('Plate Map'!F11),"",'Plate Map'!F11)</f>
        <v>EBLANK</v>
      </c>
      <c r="G24" s="5"/>
      <c r="H24" s="4"/>
      <c r="I24" s="5"/>
      <c r="J24" s="4"/>
      <c r="K24" s="5"/>
      <c r="L24" s="4"/>
      <c r="M24" s="40"/>
      <c r="N24" s="15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66" customHeight="1" thickBot="1" x14ac:dyDescent="0.25">
      <c r="A25" s="42" t="s">
        <v>33</v>
      </c>
      <c r="B25" s="43"/>
      <c r="C25" s="44"/>
      <c r="D25" s="43"/>
      <c r="E25" s="101" t="str">
        <f>IF(ISBLANK('Plate Map'!E12),"",'Plate Map'!E12)</f>
        <v>PPC</v>
      </c>
      <c r="F25" s="98" t="str">
        <f>IF(ISBLANK('Plate Map'!F12),"",'Plate Map'!F12)</f>
        <v>PNC</v>
      </c>
      <c r="G25" s="44"/>
      <c r="H25" s="43"/>
      <c r="I25" s="44"/>
      <c r="J25" s="43"/>
      <c r="K25" s="44"/>
      <c r="L25" s="43"/>
      <c r="M25" s="45"/>
      <c r="N25" s="15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21" customHeight="1" thickBot="1" x14ac:dyDescent="0.25">
      <c r="B26" s="152"/>
      <c r="C26" s="152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25" customHeight="1" x14ac:dyDescent="0.2">
      <c r="B27" s="208" t="s">
        <v>263</v>
      </c>
      <c r="C27" s="155">
        <f>COUNTIF('Plate Map'!E5:'Plate Map'!F12,"&lt;&gt;"&amp;"")</f>
        <v>16</v>
      </c>
      <c r="D27" s="157" t="s">
        <v>250</v>
      </c>
      <c r="E27" s="159" t="s">
        <v>264</v>
      </c>
      <c r="F27" s="159"/>
      <c r="G27" s="160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25" customHeight="1" thickBot="1" x14ac:dyDescent="0.25">
      <c r="B28" s="209"/>
      <c r="C28" s="156"/>
      <c r="D28" s="158"/>
      <c r="E28" s="161"/>
      <c r="F28" s="161"/>
      <c r="G28" s="16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21" customHeight="1" thickBot="1" x14ac:dyDescent="0.25">
      <c r="B29" s="207"/>
      <c r="C29" s="207"/>
      <c r="D29" s="207"/>
      <c r="E29" s="207"/>
      <c r="F29" s="207"/>
      <c r="G29" s="207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1" customHeight="1" x14ac:dyDescent="0.2">
      <c r="B30" s="73" t="s">
        <v>253</v>
      </c>
      <c r="C30" s="74">
        <v>1.1000000000000001</v>
      </c>
      <c r="D30" s="204" t="s">
        <v>250</v>
      </c>
      <c r="E30" s="159" t="s">
        <v>252</v>
      </c>
      <c r="F30" s="159"/>
      <c r="G30" s="160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1" customHeight="1" thickBot="1" x14ac:dyDescent="0.25">
      <c r="B31" s="75" t="s">
        <v>254</v>
      </c>
      <c r="C31" s="76">
        <v>1.2</v>
      </c>
      <c r="D31" s="205"/>
      <c r="E31" s="161"/>
      <c r="F31" s="161"/>
      <c r="G31" s="16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21" customHeight="1" x14ac:dyDescent="0.2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21" customHeight="1" x14ac:dyDescent="0.2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2:27" ht="21" customHeight="1" x14ac:dyDescent="0.2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21" customHeight="1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2:27" ht="21" customHeight="1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2:27" ht="21" customHeight="1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2:27" ht="21" customHeight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2:27" ht="21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2:27" ht="21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2:27" ht="21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2:27" ht="21" customHeight="1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2:27" ht="21" customHeight="1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2:27" ht="21" customHeight="1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2:27" ht="21" customHeight="1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2:27" ht="21" customHeight="1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2:27" ht="21" customHeight="1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2:27" ht="21" customHeight="1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2:27" ht="21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2:27" ht="21" customHeight="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2:27" ht="21" customHeight="1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2:27" ht="21" customHeight="1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2:27" ht="21" customHeight="1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2:27" ht="21" customHeight="1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2:27" ht="21" customHeight="1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2:27" ht="21" customHeight="1" x14ac:dyDescent="0.2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2:27" ht="21" customHeight="1" x14ac:dyDescent="0.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2:27" ht="21" customHeight="1" x14ac:dyDescent="0.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2:27" ht="21" customHeight="1" x14ac:dyDescent="0.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2:27" ht="21" customHeight="1" x14ac:dyDescent="0.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2:27" ht="21" customHeight="1" x14ac:dyDescent="0.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2:27" ht="21" customHeight="1" x14ac:dyDescent="0.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2:27" ht="21" customHeight="1" x14ac:dyDescent="0.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2:27" ht="21" customHeight="1" x14ac:dyDescent="0.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2:27" ht="21" customHeight="1" x14ac:dyDescent="0.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2:27" ht="21" customHeight="1" x14ac:dyDescent="0.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2:27" ht="21" customHeight="1" x14ac:dyDescent="0.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2:27" ht="21" customHeight="1" x14ac:dyDescent="0.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2:27" ht="21" customHeight="1" x14ac:dyDescent="0.2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2:27" ht="21" customHeight="1" x14ac:dyDescent="0.2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2:27" ht="21" customHeight="1" x14ac:dyDescent="0.2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2:27" ht="21" customHeight="1" x14ac:dyDescent="0.2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2:27" ht="21" customHeight="1" x14ac:dyDescent="0.2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2:27" ht="21" customHeight="1" x14ac:dyDescent="0.2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2:27" ht="21" customHeight="1" x14ac:dyDescent="0.2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2:27" ht="21" customHeight="1" x14ac:dyDescent="0.2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2:27" ht="21" customHeight="1" x14ac:dyDescent="0.2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2:27" ht="21" customHeight="1" x14ac:dyDescent="0.2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2:27" ht="21" customHeight="1" x14ac:dyDescent="0.2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2:27" ht="21" customHeight="1" x14ac:dyDescent="0.2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2:27" ht="21" customHeight="1" x14ac:dyDescent="0.2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2:27" ht="21" customHeight="1" x14ac:dyDescent="0.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2:27" ht="21" customHeight="1" x14ac:dyDescent="0.2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2:27" ht="21" customHeight="1" x14ac:dyDescent="0.2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2:27" ht="21" customHeight="1" x14ac:dyDescent="0.2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2:27" ht="21" customHeight="1" x14ac:dyDescent="0.2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2:27" ht="21" customHeight="1" x14ac:dyDescent="0.2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2:27" ht="21" customHeight="1" x14ac:dyDescent="0.2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2:27" ht="21" customHeight="1" x14ac:dyDescent="0.2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2:27" ht="21" customHeight="1" x14ac:dyDescent="0.2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2:27" ht="21" customHeight="1" x14ac:dyDescent="0.2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2:27" ht="21" customHeight="1" x14ac:dyDescent="0.2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2:27" ht="21" customHeight="1" x14ac:dyDescent="0.2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2:27" ht="21" customHeight="1" x14ac:dyDescent="0.2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2:27" ht="21" customHeight="1" x14ac:dyDescent="0.2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2:27" ht="21" customHeight="1" x14ac:dyDescent="0.2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2:27" ht="21" customHeight="1" x14ac:dyDescent="0.2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2:27" ht="21" customHeight="1" x14ac:dyDescent="0.2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2:27" ht="21" customHeight="1" x14ac:dyDescent="0.2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2:27" ht="21" customHeight="1" x14ac:dyDescent="0.2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2:27" ht="21" customHeight="1" x14ac:dyDescent="0.2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2:27" ht="21" customHeight="1" x14ac:dyDescent="0.2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2:27" ht="21" customHeight="1" x14ac:dyDescent="0.2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2:27" ht="21" customHeight="1" x14ac:dyDescent="0.2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2:27" ht="21" customHeight="1" x14ac:dyDescent="0.2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2:27" ht="21" customHeight="1" x14ac:dyDescent="0.2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2:27" ht="21" customHeight="1" x14ac:dyDescent="0.2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2:27" ht="21" customHeight="1" x14ac:dyDescent="0.2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2:27" ht="21" customHeight="1" x14ac:dyDescent="0.2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2:27" ht="21" customHeight="1" x14ac:dyDescent="0.2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2:27" ht="21" customHeight="1" x14ac:dyDescent="0.2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2:27" ht="21" customHeight="1" x14ac:dyDescent="0.2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2:27" ht="21" customHeight="1" x14ac:dyDescent="0.2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2:27" ht="21" customHeight="1" x14ac:dyDescent="0.2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2:27" ht="21" customHeight="1" x14ac:dyDescent="0.2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2:27" ht="21" customHeight="1" x14ac:dyDescent="0.2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2:27" ht="21" customHeight="1" x14ac:dyDescent="0.2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2:27" ht="21" customHeight="1" x14ac:dyDescent="0.2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2:27" ht="21" customHeight="1" x14ac:dyDescent="0.2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2:27" ht="21" customHeight="1" x14ac:dyDescent="0.2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2:27" ht="21" customHeight="1" x14ac:dyDescent="0.2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2:27" ht="21" customHeight="1" x14ac:dyDescent="0.2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2:27" ht="21" customHeight="1" x14ac:dyDescent="0.2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2:27" ht="21" customHeight="1" x14ac:dyDescent="0.2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2:27" ht="21" customHeight="1" x14ac:dyDescent="0.2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2:27" ht="21" customHeight="1" x14ac:dyDescent="0.2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2:27" ht="21" customHeight="1" x14ac:dyDescent="0.2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2:27" ht="21" customHeight="1" x14ac:dyDescent="0.2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2:27" ht="21" customHeight="1" x14ac:dyDescent="0.2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2:27" ht="21" customHeight="1" x14ac:dyDescent="0.2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2:27" ht="21" customHeight="1" x14ac:dyDescent="0.2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2:27" ht="21" customHeight="1" x14ac:dyDescent="0.2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2:27" ht="21" customHeight="1" x14ac:dyDescent="0.2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2:27" ht="21" customHeight="1" x14ac:dyDescent="0.2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2:27" ht="21" customHeight="1" x14ac:dyDescent="0.2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2:27" ht="21" customHeight="1" x14ac:dyDescent="0.2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2:27" ht="21" customHeight="1" x14ac:dyDescent="0.2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2:27" ht="21" customHeight="1" x14ac:dyDescent="0.2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2:27" ht="21" customHeight="1" x14ac:dyDescent="0.2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2:27" ht="21" customHeight="1" x14ac:dyDescent="0.2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2:27" ht="21" customHeight="1" x14ac:dyDescent="0.2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2:27" ht="21" customHeight="1" x14ac:dyDescent="0.2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2:27" ht="21" customHeight="1" x14ac:dyDescent="0.2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2:27" ht="21" customHeight="1" x14ac:dyDescent="0.2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2:27" ht="21" customHeight="1" x14ac:dyDescent="0.2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2:27" ht="21" customHeight="1" x14ac:dyDescent="0.2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2:27" ht="21" customHeight="1" x14ac:dyDescent="0.2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2:27" ht="21" customHeight="1" x14ac:dyDescent="0.2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2:27" ht="21" customHeight="1" x14ac:dyDescent="0.2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2:27" ht="21" customHeight="1" x14ac:dyDescent="0.2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2:27" ht="21" customHeight="1" x14ac:dyDescent="0.2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2:27" ht="21" customHeight="1" x14ac:dyDescent="0.2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2:27" ht="21" customHeight="1" x14ac:dyDescent="0.2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2:27" ht="21" customHeight="1" x14ac:dyDescent="0.2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2:27" ht="21" customHeight="1" x14ac:dyDescent="0.2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2:27" ht="21" customHeight="1" x14ac:dyDescent="0.2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2:27" ht="21" customHeight="1" x14ac:dyDescent="0.2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2:27" ht="21" customHeight="1" x14ac:dyDescent="0.2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2:27" ht="21" customHeight="1" x14ac:dyDescent="0.2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2:27" ht="21" customHeight="1" x14ac:dyDescent="0.2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2:27" ht="21" customHeight="1" x14ac:dyDescent="0.2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2:27" ht="21" customHeight="1" x14ac:dyDescent="0.2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2:27" ht="21" customHeight="1" x14ac:dyDescent="0.2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2:27" ht="21" customHeight="1" x14ac:dyDescent="0.2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2:27" ht="21" customHeight="1" x14ac:dyDescent="0.2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2:27" ht="21" customHeight="1" x14ac:dyDescent="0.2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2:27" ht="21" customHeight="1" x14ac:dyDescent="0.2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2:27" ht="21" customHeight="1" x14ac:dyDescent="0.2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2:27" ht="21" customHeight="1" x14ac:dyDescent="0.2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2:27" ht="21" customHeight="1" x14ac:dyDescent="0.2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2:27" ht="15.75" customHeight="1" x14ac:dyDescent="0.2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2:27" ht="15.75" customHeight="1" x14ac:dyDescent="0.2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2:27" ht="15.75" customHeight="1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2:27" ht="15.75" customHeight="1" x14ac:dyDescent="0.2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2:27" ht="15.75" customHeight="1" x14ac:dyDescent="0.2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2:27" ht="15.75" customHeight="1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2:27" ht="15.75" customHeight="1" x14ac:dyDescent="0.2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2:27" ht="15.75" customHeight="1" x14ac:dyDescent="0.2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2:27" ht="15.75" customHeight="1" x14ac:dyDescent="0.2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2:27" ht="15.75" customHeight="1" x14ac:dyDescent="0.2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2:27" ht="15.75" customHeight="1" x14ac:dyDescent="0.2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2:27" ht="15.75" customHeight="1" x14ac:dyDescent="0.2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2:27" ht="15.75" customHeight="1" x14ac:dyDescent="0.2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2:27" ht="15.75" customHeight="1" x14ac:dyDescent="0.2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2:27" ht="15.75" customHeight="1" x14ac:dyDescent="0.2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2:27" ht="15.75" customHeight="1" x14ac:dyDescent="0.2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2:27" ht="15.75" customHeight="1" x14ac:dyDescent="0.2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2:27" ht="15.75" customHeight="1" x14ac:dyDescent="0.2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2:27" ht="15.75" customHeight="1" x14ac:dyDescent="0.2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2:27" ht="15.75" customHeight="1" x14ac:dyDescent="0.2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2:27" ht="15.75" customHeight="1" x14ac:dyDescent="0.2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2:27" ht="15.75" customHeight="1" x14ac:dyDescent="0.2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2:27" ht="15.75" customHeight="1" x14ac:dyDescent="0.2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2:27" ht="15.75" customHeight="1" x14ac:dyDescent="0.2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2:27" ht="15.75" customHeight="1" x14ac:dyDescent="0.2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2:27" ht="15.75" customHeight="1" x14ac:dyDescent="0.2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2:27" ht="15.75" customHeight="1" x14ac:dyDescent="0.2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2:27" ht="15.75" customHeight="1" x14ac:dyDescent="0.2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2:27" ht="15.75" customHeight="1" x14ac:dyDescent="0.2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2:27" ht="15.75" customHeight="1" x14ac:dyDescent="0.2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2:27" ht="15.75" customHeight="1" x14ac:dyDescent="0.2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2:27" ht="15.75" customHeight="1" x14ac:dyDescent="0.2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2:27" ht="15.75" customHeight="1" x14ac:dyDescent="0.2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2:27" ht="15.75" customHeight="1" x14ac:dyDescent="0.2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2:27" ht="15.75" customHeight="1" x14ac:dyDescent="0.2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2:27" ht="15.75" customHeight="1" x14ac:dyDescent="0.2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2:27" ht="15.75" customHeight="1" x14ac:dyDescent="0.2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2:27" ht="15.75" customHeight="1" x14ac:dyDescent="0.2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2:27" ht="15.75" customHeight="1" x14ac:dyDescent="0.2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2:27" ht="15.75" customHeight="1" x14ac:dyDescent="0.2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2:27" ht="15.75" customHeight="1" x14ac:dyDescent="0.2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2:27" ht="15.75" customHeight="1" x14ac:dyDescent="0.2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2:27" ht="15.75" customHeight="1" x14ac:dyDescent="0.2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2:27" ht="15.75" customHeight="1" x14ac:dyDescent="0.2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2:27" ht="15.75" customHeight="1" x14ac:dyDescent="0.2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2:27" ht="15.75" customHeight="1" x14ac:dyDescent="0.2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2:27" ht="15.75" customHeight="1" x14ac:dyDescent="0.2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2:27" ht="15.75" customHeight="1" x14ac:dyDescent="0.2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2:27" ht="15.75" customHeight="1" x14ac:dyDescent="0.2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2:27" ht="15.75" customHeight="1" x14ac:dyDescent="0.2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2:27" ht="15.75" customHeight="1" x14ac:dyDescent="0.2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2:27" ht="15.75" customHeight="1" x14ac:dyDescent="0.2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2:27" ht="15.75" customHeight="1" x14ac:dyDescent="0.2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2:27" ht="15.75" customHeight="1" x14ac:dyDescent="0.2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2:27" ht="15.75" customHeight="1" x14ac:dyDescent="0.2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2:27" ht="15.75" customHeight="1" x14ac:dyDescent="0.2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2:27" ht="15.75" customHeight="1" x14ac:dyDescent="0.2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2:27" ht="15.75" customHeight="1" x14ac:dyDescent="0.2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2:27" ht="15.75" customHeight="1" x14ac:dyDescent="0.2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2:27" ht="15.75" customHeight="1" x14ac:dyDescent="0.2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2:27" ht="15.75" customHeight="1" x14ac:dyDescent="0.2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2:27" ht="15.75" customHeight="1" x14ac:dyDescent="0.2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2:27" ht="15.75" customHeight="1" x14ac:dyDescent="0.2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2:27" ht="15.75" customHeight="1" x14ac:dyDescent="0.2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2:27" ht="15.75" customHeight="1" x14ac:dyDescent="0.2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2:27" ht="15.75" customHeight="1" x14ac:dyDescent="0.2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2:27" ht="15.75" customHeight="1" x14ac:dyDescent="0.2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2:27" ht="15.75" customHeight="1" x14ac:dyDescent="0.2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2:27" ht="15.75" customHeight="1" x14ac:dyDescent="0.2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2:27" ht="15.75" customHeight="1" x14ac:dyDescent="0.2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2:27" ht="15.75" customHeight="1" x14ac:dyDescent="0.2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2:27" ht="15.75" customHeight="1" x14ac:dyDescent="0.2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2:27" ht="15.75" customHeight="1" x14ac:dyDescent="0.2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2:27" ht="15.75" customHeight="1" x14ac:dyDescent="0.2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2:27" ht="15.75" customHeight="1" x14ac:dyDescent="0.2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2:27" ht="15.75" customHeight="1" x14ac:dyDescent="0.2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2:27" ht="15.75" customHeight="1" x14ac:dyDescent="0.2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2:27" ht="15.75" customHeight="1" x14ac:dyDescent="0.2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2:27" ht="15.75" customHeight="1" x14ac:dyDescent="0.2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2:27" ht="15.75" customHeight="1" x14ac:dyDescent="0.2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2:27" ht="15.75" customHeight="1" x14ac:dyDescent="0.2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2:27" ht="15.75" customHeight="1" x14ac:dyDescent="0.2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2:27" ht="15.75" customHeight="1" x14ac:dyDescent="0.2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2:27" ht="15.75" customHeight="1" x14ac:dyDescent="0.2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2:27" ht="15.75" customHeight="1" x14ac:dyDescent="0.2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2:27" ht="15.75" customHeight="1" x14ac:dyDescent="0.2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2:27" ht="15.75" customHeight="1" x14ac:dyDescent="0.2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2:27" ht="15.75" customHeight="1" x14ac:dyDescent="0.2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2:27" ht="15.75" customHeight="1" x14ac:dyDescent="0.2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2:27" ht="15.75" customHeight="1" x14ac:dyDescent="0.2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2:27" ht="15.75" customHeight="1" x14ac:dyDescent="0.2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2:27" ht="15.75" customHeight="1" x14ac:dyDescent="0.2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2:27" ht="15.75" customHeight="1" x14ac:dyDescent="0.2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2:27" ht="15.75" customHeight="1" x14ac:dyDescent="0.2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2:27" ht="15.75" customHeight="1" x14ac:dyDescent="0.2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2:27" ht="15.75" customHeight="1" x14ac:dyDescent="0.2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2:27" ht="15.75" customHeight="1" x14ac:dyDescent="0.2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2:27" ht="15.75" customHeight="1" x14ac:dyDescent="0.2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2:27" ht="15.75" customHeight="1" x14ac:dyDescent="0.2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2:27" ht="15.75" customHeight="1" x14ac:dyDescent="0.2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2:27" ht="15.75" customHeight="1" x14ac:dyDescent="0.2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2:27" ht="15.75" customHeight="1" x14ac:dyDescent="0.2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2:27" ht="15.75" customHeight="1" x14ac:dyDescent="0.2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2:27" ht="15.75" customHeight="1" x14ac:dyDescent="0.2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2:27" ht="15.75" customHeight="1" x14ac:dyDescent="0.2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2:27" ht="15.75" customHeight="1" x14ac:dyDescent="0.2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2:27" ht="15.75" customHeight="1" x14ac:dyDescent="0.2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2:27" ht="15.75" customHeight="1" x14ac:dyDescent="0.2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2:27" ht="15.75" customHeight="1" x14ac:dyDescent="0.2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2:27" ht="15.75" customHeight="1" x14ac:dyDescent="0.2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2:27" ht="15.75" customHeight="1" x14ac:dyDescent="0.2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2:27" ht="15.75" customHeight="1" x14ac:dyDescent="0.2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2:27" ht="15.75" customHeight="1" x14ac:dyDescent="0.2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2:27" ht="15.75" customHeight="1" x14ac:dyDescent="0.2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2:27" ht="15.75" customHeight="1" x14ac:dyDescent="0.2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2:27" ht="15.75" customHeight="1" x14ac:dyDescent="0.2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2:27" ht="15.75" customHeight="1" x14ac:dyDescent="0.2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2:27" ht="15.75" customHeight="1" x14ac:dyDescent="0.2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2:27" ht="15.75" customHeight="1" x14ac:dyDescent="0.2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2:27" ht="15.75" customHeight="1" x14ac:dyDescent="0.2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2:27" ht="15.75" customHeight="1" x14ac:dyDescent="0.2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2:27" ht="15.75" customHeight="1" x14ac:dyDescent="0.2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2:27" ht="15.75" customHeight="1" x14ac:dyDescent="0.2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2:27" ht="15.75" customHeight="1" x14ac:dyDescent="0.2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2:27" ht="15.75" customHeight="1" x14ac:dyDescent="0.2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2:27" ht="15.75" customHeight="1" x14ac:dyDescent="0.2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2:27" ht="15.75" customHeight="1" x14ac:dyDescent="0.2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2:27" ht="15.75" customHeight="1" x14ac:dyDescent="0.2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2:27" ht="15.75" customHeight="1" x14ac:dyDescent="0.2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2:27" ht="15.75" customHeight="1" x14ac:dyDescent="0.2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2:27" ht="15.75" customHeight="1" x14ac:dyDescent="0.2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2:27" ht="15.75" customHeight="1" x14ac:dyDescent="0.2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2:27" ht="15.75" customHeight="1" x14ac:dyDescent="0.2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2:27" ht="15.75" customHeight="1" x14ac:dyDescent="0.2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2:27" ht="15.75" customHeight="1" x14ac:dyDescent="0.2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2:27" ht="15.75" customHeight="1" x14ac:dyDescent="0.2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2:27" ht="15.75" customHeight="1" x14ac:dyDescent="0.2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2:27" ht="15.75" customHeight="1" x14ac:dyDescent="0.2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2:27" ht="15.75" customHeight="1" x14ac:dyDescent="0.2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2:27" ht="15.75" customHeight="1" x14ac:dyDescent="0.2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2:27" ht="15.75" customHeight="1" x14ac:dyDescent="0.2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2:27" ht="15.75" customHeight="1" x14ac:dyDescent="0.2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2:27" ht="15.75" customHeight="1" x14ac:dyDescent="0.2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2:27" ht="15.75" customHeight="1" x14ac:dyDescent="0.2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2:27" ht="15.75" customHeight="1" x14ac:dyDescent="0.2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2:27" ht="15.75" customHeight="1" x14ac:dyDescent="0.2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2:27" ht="15.75" customHeight="1" x14ac:dyDescent="0.2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2:27" ht="15.75" customHeight="1" x14ac:dyDescent="0.2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2:27" ht="15.75" customHeight="1" x14ac:dyDescent="0.2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2:27" ht="15.75" customHeight="1" x14ac:dyDescent="0.2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2:27" ht="15.75" customHeight="1" x14ac:dyDescent="0.2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2:27" ht="15.75" customHeight="1" x14ac:dyDescent="0.2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2:27" ht="15.75" customHeight="1" x14ac:dyDescent="0.2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2:27" ht="15.75" customHeight="1" x14ac:dyDescent="0.2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2:27" ht="15.75" customHeight="1" x14ac:dyDescent="0.2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2:27" ht="15.75" customHeight="1" x14ac:dyDescent="0.2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2:27" ht="15.75" customHeight="1" x14ac:dyDescent="0.2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2:27" ht="15.75" customHeight="1" x14ac:dyDescent="0.2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2:27" ht="15.75" customHeight="1" x14ac:dyDescent="0.2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2:27" ht="15.75" customHeight="1" x14ac:dyDescent="0.2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2:27" ht="15.75" customHeight="1" x14ac:dyDescent="0.2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2:27" ht="15.75" customHeight="1" x14ac:dyDescent="0.2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2:27" ht="15.75" customHeight="1" x14ac:dyDescent="0.2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2:27" ht="15.75" customHeight="1" x14ac:dyDescent="0.2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2:27" ht="15.75" customHeight="1" x14ac:dyDescent="0.2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2:27" ht="15.75" customHeight="1" x14ac:dyDescent="0.2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2:27" ht="15.75" customHeight="1" x14ac:dyDescent="0.2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2:27" ht="15.75" customHeight="1" x14ac:dyDescent="0.2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2:27" ht="15.75" customHeight="1" x14ac:dyDescent="0.2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2:27" ht="15.75" customHeight="1" x14ac:dyDescent="0.2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2:27" ht="15.75" customHeight="1" x14ac:dyDescent="0.2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2:27" ht="15.75" customHeight="1" x14ac:dyDescent="0.2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2:27" ht="15.75" customHeight="1" x14ac:dyDescent="0.2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2:27" ht="15.75" customHeight="1" x14ac:dyDescent="0.2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2:27" ht="15.75" customHeight="1" x14ac:dyDescent="0.2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2:27" ht="15.75" customHeight="1" x14ac:dyDescent="0.2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2:27" ht="15.75" customHeight="1" x14ac:dyDescent="0.2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2:27" ht="15.75" customHeight="1" x14ac:dyDescent="0.2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2:27" ht="15.75" customHeight="1" x14ac:dyDescent="0.2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2:27" ht="15.75" customHeight="1" x14ac:dyDescent="0.2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2:27" ht="15.75" customHeight="1" x14ac:dyDescent="0.2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2:27" ht="15.75" customHeight="1" x14ac:dyDescent="0.2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2:27" ht="15.75" customHeight="1" x14ac:dyDescent="0.2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2:27" ht="15.75" customHeight="1" x14ac:dyDescent="0.2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2:27" ht="15.75" customHeight="1" x14ac:dyDescent="0.2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2:27" ht="15.75" customHeight="1" x14ac:dyDescent="0.2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2:27" ht="15.75" customHeight="1" x14ac:dyDescent="0.2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2:27" ht="15.75" customHeight="1" x14ac:dyDescent="0.2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2:27" ht="15.75" customHeight="1" x14ac:dyDescent="0.2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2:27" ht="15.75" customHeight="1" x14ac:dyDescent="0.2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2:27" ht="15.75" customHeight="1" x14ac:dyDescent="0.2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2:27" ht="15.75" customHeight="1" x14ac:dyDescent="0.2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2:27" ht="15.75" customHeight="1" x14ac:dyDescent="0.2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2:27" ht="15.75" customHeight="1" x14ac:dyDescent="0.2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2:27" ht="15.75" customHeight="1" x14ac:dyDescent="0.2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2:27" ht="15.75" customHeight="1" x14ac:dyDescent="0.2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2:27" ht="15.75" customHeight="1" x14ac:dyDescent="0.2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2:27" ht="15.75" customHeight="1" x14ac:dyDescent="0.2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2:27" ht="15.75" customHeight="1" x14ac:dyDescent="0.2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2:27" ht="15.75" customHeight="1" x14ac:dyDescent="0.2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2:27" ht="15.75" customHeight="1" x14ac:dyDescent="0.2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2:27" ht="15.75" customHeight="1" x14ac:dyDescent="0.2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2:27" ht="15.75" customHeight="1" x14ac:dyDescent="0.2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2:27" ht="15.75" customHeight="1" x14ac:dyDescent="0.2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2:27" ht="15.75" customHeight="1" x14ac:dyDescent="0.2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2:27" ht="15.75" customHeight="1" x14ac:dyDescent="0.2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2:27" ht="15.75" customHeight="1" x14ac:dyDescent="0.2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2:27" ht="15.75" customHeight="1" x14ac:dyDescent="0.2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2:27" ht="15.75" customHeight="1" x14ac:dyDescent="0.2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2:27" ht="15.75" customHeight="1" x14ac:dyDescent="0.2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2:27" ht="15.75" customHeight="1" x14ac:dyDescent="0.2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2:27" ht="15.75" customHeight="1" x14ac:dyDescent="0.2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2:27" ht="15.75" customHeight="1" x14ac:dyDescent="0.2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2:27" ht="15.75" customHeight="1" x14ac:dyDescent="0.2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2:27" ht="15.75" customHeight="1" x14ac:dyDescent="0.2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2:27" ht="15.75" customHeight="1" x14ac:dyDescent="0.2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2:27" ht="15.75" customHeight="1" x14ac:dyDescent="0.2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2:27" ht="15.75" customHeight="1" x14ac:dyDescent="0.2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2:27" ht="15.75" customHeight="1" x14ac:dyDescent="0.2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2:27" ht="15.75" customHeight="1" x14ac:dyDescent="0.2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2:27" ht="15.75" customHeight="1" x14ac:dyDescent="0.2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2:27" ht="15.75" customHeight="1" x14ac:dyDescent="0.2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2:27" ht="15.75" customHeight="1" x14ac:dyDescent="0.2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2:27" ht="15.75" customHeight="1" x14ac:dyDescent="0.2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2:27" ht="15.75" customHeight="1" x14ac:dyDescent="0.2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2:27" ht="15.75" customHeight="1" x14ac:dyDescent="0.2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2:27" ht="15.75" customHeight="1" x14ac:dyDescent="0.2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2:27" ht="15.75" customHeight="1" x14ac:dyDescent="0.2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2:27" ht="15.75" customHeight="1" x14ac:dyDescent="0.2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2:27" ht="15.75" customHeight="1" x14ac:dyDescent="0.2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2:27" ht="15.75" customHeight="1" x14ac:dyDescent="0.2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2:27" ht="15.75" customHeight="1" x14ac:dyDescent="0.2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2:27" ht="15.75" customHeight="1" x14ac:dyDescent="0.2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2:27" ht="15.75" customHeight="1" x14ac:dyDescent="0.2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2:27" ht="15.75" customHeight="1" x14ac:dyDescent="0.2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2:27" ht="15.75" customHeight="1" x14ac:dyDescent="0.2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2:27" ht="15.75" customHeight="1" x14ac:dyDescent="0.2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2:27" ht="15.75" customHeight="1" x14ac:dyDescent="0.2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2:27" ht="15.75" customHeight="1" x14ac:dyDescent="0.2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2:27" ht="15.75" customHeight="1" x14ac:dyDescent="0.2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2:27" ht="15.75" customHeight="1" x14ac:dyDescent="0.2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2:27" ht="15.75" customHeight="1" x14ac:dyDescent="0.2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2:27" ht="15.75" customHeight="1" x14ac:dyDescent="0.2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2:27" ht="15.75" customHeight="1" x14ac:dyDescent="0.2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2:27" ht="15.75" customHeight="1" x14ac:dyDescent="0.2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2:27" ht="15.75" customHeight="1" x14ac:dyDescent="0.2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2:27" ht="15.75" customHeight="1" x14ac:dyDescent="0.2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2:27" ht="15.75" customHeight="1" x14ac:dyDescent="0.2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2:27" ht="15.75" customHeight="1" x14ac:dyDescent="0.2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2:27" ht="15.75" customHeight="1" x14ac:dyDescent="0.2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2:27" ht="15.75" customHeight="1" x14ac:dyDescent="0.2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2:27" ht="15.75" customHeight="1" x14ac:dyDescent="0.2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2:27" ht="15.75" customHeight="1" x14ac:dyDescent="0.2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2:27" ht="15.75" customHeight="1" x14ac:dyDescent="0.2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2:27" ht="15.75" customHeight="1" x14ac:dyDescent="0.2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2:27" ht="15.75" customHeight="1" x14ac:dyDescent="0.2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2:27" ht="15.75" customHeight="1" x14ac:dyDescent="0.2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2:27" ht="15.75" customHeight="1" x14ac:dyDescent="0.2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2:27" ht="15.75" customHeight="1" x14ac:dyDescent="0.2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2:27" ht="15.75" customHeight="1" x14ac:dyDescent="0.2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2:27" ht="15.75" customHeight="1" x14ac:dyDescent="0.2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2:27" ht="15.75" customHeight="1" x14ac:dyDescent="0.2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2:27" ht="15.75" customHeight="1" x14ac:dyDescent="0.2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2:27" ht="15.75" customHeight="1" x14ac:dyDescent="0.2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2:27" ht="15.75" customHeight="1" x14ac:dyDescent="0.2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2:27" ht="15.75" customHeight="1" x14ac:dyDescent="0.2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2:27" ht="15.75" customHeight="1" x14ac:dyDescent="0.2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2:27" ht="15.75" customHeight="1" x14ac:dyDescent="0.2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2:27" ht="15.75" customHeight="1" x14ac:dyDescent="0.2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2:27" ht="15.75" customHeight="1" x14ac:dyDescent="0.2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2:27" ht="15.75" customHeight="1" x14ac:dyDescent="0.2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2:27" ht="15.75" customHeight="1" x14ac:dyDescent="0.2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2:27" ht="15.75" customHeight="1" x14ac:dyDescent="0.2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2:27" ht="15.75" customHeight="1" x14ac:dyDescent="0.2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2:27" ht="15.75" customHeight="1" x14ac:dyDescent="0.2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2:27" ht="15.75" customHeight="1" x14ac:dyDescent="0.2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2:27" ht="15.75" customHeight="1" x14ac:dyDescent="0.2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2:27" ht="15.75" customHeight="1" x14ac:dyDescent="0.2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2:27" ht="15.75" customHeight="1" x14ac:dyDescent="0.2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2:27" ht="15.75" customHeight="1" x14ac:dyDescent="0.2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2:27" ht="15.75" customHeight="1" x14ac:dyDescent="0.2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2:27" ht="15.75" customHeight="1" x14ac:dyDescent="0.2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2:27" ht="15.75" customHeight="1" x14ac:dyDescent="0.2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2:27" ht="15.75" customHeight="1" x14ac:dyDescent="0.2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2:27" ht="15.75" customHeight="1" x14ac:dyDescent="0.2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2:27" ht="15.75" customHeight="1" x14ac:dyDescent="0.2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2:27" ht="15.75" customHeight="1" x14ac:dyDescent="0.2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2:27" ht="15.75" customHeight="1" x14ac:dyDescent="0.2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2:27" ht="15.75" customHeight="1" x14ac:dyDescent="0.2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2:27" ht="15.75" customHeight="1" x14ac:dyDescent="0.2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2:27" ht="15.75" customHeight="1" x14ac:dyDescent="0.2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2:27" ht="15.75" customHeight="1" x14ac:dyDescent="0.2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2:27" ht="15.75" customHeight="1" x14ac:dyDescent="0.2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2:27" ht="15.75" customHeight="1" x14ac:dyDescent="0.2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2:27" ht="15.75" customHeight="1" x14ac:dyDescent="0.2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2:27" ht="15.75" customHeight="1" x14ac:dyDescent="0.2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2:27" ht="15.75" customHeight="1" x14ac:dyDescent="0.2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2:27" ht="15.75" customHeight="1" x14ac:dyDescent="0.2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2:27" ht="15.75" customHeight="1" x14ac:dyDescent="0.2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2:27" ht="15.75" customHeight="1" x14ac:dyDescent="0.2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2:27" ht="15.75" customHeight="1" x14ac:dyDescent="0.2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2:27" ht="15.75" customHeight="1" x14ac:dyDescent="0.2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2:27" ht="15.75" customHeight="1" x14ac:dyDescent="0.2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2:27" ht="15.75" customHeight="1" x14ac:dyDescent="0.2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2:27" ht="15.75" customHeight="1" x14ac:dyDescent="0.2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2:27" ht="15.75" customHeight="1" x14ac:dyDescent="0.2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2:27" ht="15.75" customHeight="1" x14ac:dyDescent="0.2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2:27" ht="15.75" customHeight="1" x14ac:dyDescent="0.2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2:27" ht="15.75" customHeight="1" x14ac:dyDescent="0.2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2:27" ht="15.75" customHeight="1" x14ac:dyDescent="0.2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2:27" ht="15.75" customHeight="1" x14ac:dyDescent="0.2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2:27" ht="15.75" customHeight="1" x14ac:dyDescent="0.2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2:27" ht="15.75" customHeight="1" x14ac:dyDescent="0.2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2:27" ht="15.75" customHeight="1" x14ac:dyDescent="0.2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2:27" ht="15.75" customHeight="1" x14ac:dyDescent="0.2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2:27" ht="15.75" customHeight="1" x14ac:dyDescent="0.2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2:27" ht="15.75" customHeight="1" x14ac:dyDescent="0.2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2:27" ht="15.75" customHeight="1" x14ac:dyDescent="0.2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2:27" ht="15.75" customHeight="1" x14ac:dyDescent="0.2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2:27" ht="15.75" customHeight="1" x14ac:dyDescent="0.2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2:27" ht="15.75" customHeight="1" x14ac:dyDescent="0.2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2:27" ht="15.75" customHeight="1" x14ac:dyDescent="0.2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2:27" ht="15.75" customHeight="1" x14ac:dyDescent="0.2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2:27" ht="15.75" customHeight="1" x14ac:dyDescent="0.2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2:27" ht="15.75" customHeight="1" x14ac:dyDescent="0.2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2:27" ht="15.75" customHeight="1" x14ac:dyDescent="0.2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2:27" ht="15.75" customHeight="1" x14ac:dyDescent="0.2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2:27" ht="15.75" customHeight="1" x14ac:dyDescent="0.2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2:27" ht="15.75" customHeight="1" x14ac:dyDescent="0.2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2:27" ht="15.75" customHeight="1" x14ac:dyDescent="0.2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2:27" ht="15.75" customHeight="1" x14ac:dyDescent="0.2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2:27" ht="15.75" customHeight="1" x14ac:dyDescent="0.2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2:27" ht="15.75" customHeight="1" x14ac:dyDescent="0.2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2:27" ht="15.75" customHeight="1" x14ac:dyDescent="0.2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2:27" ht="15.75" customHeight="1" x14ac:dyDescent="0.2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2:27" ht="15.75" customHeight="1" x14ac:dyDescent="0.2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2:27" ht="15.75" customHeight="1" x14ac:dyDescent="0.2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2:27" ht="15.75" customHeight="1" x14ac:dyDescent="0.2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2:27" ht="15.75" customHeight="1" x14ac:dyDescent="0.2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2:27" ht="15.75" customHeight="1" x14ac:dyDescent="0.2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2:27" ht="15.75" customHeight="1" x14ac:dyDescent="0.2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2:27" ht="15.75" customHeight="1" x14ac:dyDescent="0.2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2:27" ht="15.75" customHeight="1" x14ac:dyDescent="0.2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2:27" ht="15.75" customHeight="1" x14ac:dyDescent="0.2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2:27" ht="15.75" customHeight="1" x14ac:dyDescent="0.2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2:27" ht="15.75" customHeight="1" x14ac:dyDescent="0.2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2:27" ht="15.75" customHeight="1" x14ac:dyDescent="0.2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2:27" ht="15.75" customHeight="1" x14ac:dyDescent="0.2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2:27" ht="15.75" customHeight="1" x14ac:dyDescent="0.2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2:27" ht="15.75" customHeight="1" x14ac:dyDescent="0.2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2:27" ht="15.75" customHeight="1" x14ac:dyDescent="0.2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2:27" ht="15.75" customHeight="1" x14ac:dyDescent="0.2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2:27" ht="15.75" customHeight="1" x14ac:dyDescent="0.2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2:27" ht="15.75" customHeight="1" x14ac:dyDescent="0.2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2:27" ht="15.75" customHeight="1" x14ac:dyDescent="0.2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2:27" ht="15.75" customHeight="1" x14ac:dyDescent="0.2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2:27" ht="15.75" customHeight="1" x14ac:dyDescent="0.2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2:27" ht="15.75" customHeight="1" x14ac:dyDescent="0.2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2:27" ht="15.75" customHeight="1" x14ac:dyDescent="0.2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2:27" ht="15.75" customHeight="1" x14ac:dyDescent="0.2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2:27" ht="15.75" customHeight="1" x14ac:dyDescent="0.2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2:27" ht="15.75" customHeight="1" x14ac:dyDescent="0.2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2:27" ht="15.75" customHeight="1" x14ac:dyDescent="0.2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2:27" ht="15.75" customHeight="1" x14ac:dyDescent="0.2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2:27" ht="15.75" customHeight="1" x14ac:dyDescent="0.2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2:27" ht="15.75" customHeight="1" x14ac:dyDescent="0.2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2:27" ht="15.75" customHeight="1" x14ac:dyDescent="0.2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2:27" ht="15.75" customHeight="1" x14ac:dyDescent="0.2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2:27" ht="15.75" customHeight="1" x14ac:dyDescent="0.2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2:27" ht="15.75" customHeight="1" x14ac:dyDescent="0.2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2:27" ht="15.75" customHeight="1" x14ac:dyDescent="0.2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2:27" ht="15.75" customHeight="1" x14ac:dyDescent="0.2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2:27" ht="15.75" customHeight="1" x14ac:dyDescent="0.2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2:27" ht="15.75" customHeight="1" x14ac:dyDescent="0.2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2:27" ht="15.75" customHeight="1" x14ac:dyDescent="0.2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2:27" ht="15.75" customHeight="1" x14ac:dyDescent="0.2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2:27" ht="15.75" customHeight="1" x14ac:dyDescent="0.2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2:27" ht="15.75" customHeight="1" x14ac:dyDescent="0.2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2:27" ht="15.75" customHeight="1" x14ac:dyDescent="0.2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2:27" ht="15.75" customHeight="1" x14ac:dyDescent="0.2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2:27" ht="15.75" customHeight="1" x14ac:dyDescent="0.2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2:27" ht="15.75" customHeight="1" x14ac:dyDescent="0.2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2:27" ht="15.75" customHeight="1" x14ac:dyDescent="0.2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2:27" ht="15.75" customHeight="1" x14ac:dyDescent="0.2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2:27" ht="15.75" customHeight="1" x14ac:dyDescent="0.2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2:27" ht="15.75" customHeight="1" x14ac:dyDescent="0.2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2:27" ht="15.75" customHeight="1" x14ac:dyDescent="0.2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2:27" ht="15.75" customHeight="1" x14ac:dyDescent="0.2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2:27" ht="15.75" customHeight="1" x14ac:dyDescent="0.2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2:27" ht="15.75" customHeight="1" x14ac:dyDescent="0.2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2:27" ht="15.75" customHeight="1" x14ac:dyDescent="0.2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2:27" ht="15.75" customHeight="1" x14ac:dyDescent="0.2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2:27" ht="15.75" customHeight="1" x14ac:dyDescent="0.2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2:27" ht="15.75" customHeight="1" x14ac:dyDescent="0.2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2:27" ht="15.75" customHeight="1" x14ac:dyDescent="0.2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2:27" ht="15.75" customHeight="1" x14ac:dyDescent="0.2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2:27" ht="15.75" customHeight="1" x14ac:dyDescent="0.2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2:27" ht="15.75" customHeight="1" x14ac:dyDescent="0.2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2:27" ht="15.75" customHeight="1" x14ac:dyDescent="0.2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2:27" ht="15.75" customHeight="1" x14ac:dyDescent="0.2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2:27" ht="15.75" customHeight="1" x14ac:dyDescent="0.2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2:27" ht="15.75" customHeight="1" x14ac:dyDescent="0.2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2:27" ht="15.75" customHeight="1" x14ac:dyDescent="0.2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2:27" ht="15.75" customHeight="1" x14ac:dyDescent="0.2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2:27" ht="15.75" customHeight="1" x14ac:dyDescent="0.2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2:27" ht="15.75" customHeight="1" x14ac:dyDescent="0.2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2:27" ht="15.75" customHeight="1" x14ac:dyDescent="0.2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2:27" ht="15.75" customHeight="1" x14ac:dyDescent="0.2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2:27" ht="15.75" customHeight="1" x14ac:dyDescent="0.2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2:27" ht="15.75" customHeight="1" x14ac:dyDescent="0.2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2:27" ht="15.75" customHeight="1" x14ac:dyDescent="0.2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2:27" ht="15.75" customHeight="1" x14ac:dyDescent="0.2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2:27" ht="15.75" customHeight="1" x14ac:dyDescent="0.2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2:27" ht="15.75" customHeight="1" x14ac:dyDescent="0.2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2:27" ht="15.75" customHeight="1" x14ac:dyDescent="0.2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2:27" ht="15.75" customHeight="1" x14ac:dyDescent="0.2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2:27" ht="15.75" customHeight="1" x14ac:dyDescent="0.2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2:27" ht="15.75" customHeight="1" x14ac:dyDescent="0.2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2:27" ht="15.75" customHeight="1" x14ac:dyDescent="0.2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2:27" ht="15.75" customHeight="1" x14ac:dyDescent="0.2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2:27" ht="15.75" customHeight="1" x14ac:dyDescent="0.2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2:27" ht="15.75" customHeight="1" x14ac:dyDescent="0.2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2:27" ht="15.75" customHeight="1" x14ac:dyDescent="0.2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2:27" ht="15.75" customHeight="1" x14ac:dyDescent="0.2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2:27" ht="15.75" customHeight="1" x14ac:dyDescent="0.2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2:27" ht="15.75" customHeight="1" x14ac:dyDescent="0.2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2:27" ht="15.75" customHeight="1" x14ac:dyDescent="0.2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2:27" ht="15.75" customHeight="1" x14ac:dyDescent="0.2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2:27" ht="15.75" customHeight="1" x14ac:dyDescent="0.2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2:27" ht="15.75" customHeight="1" x14ac:dyDescent="0.2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2:27" ht="15.75" customHeight="1" x14ac:dyDescent="0.2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2:27" ht="15.75" customHeight="1" x14ac:dyDescent="0.2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2:27" ht="15.75" customHeight="1" x14ac:dyDescent="0.2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2:27" ht="15.75" customHeight="1" x14ac:dyDescent="0.2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2:27" ht="15.75" customHeight="1" x14ac:dyDescent="0.2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2:27" ht="15.75" customHeight="1" x14ac:dyDescent="0.2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2:27" ht="15.75" customHeight="1" x14ac:dyDescent="0.2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2:27" ht="15.75" customHeight="1" x14ac:dyDescent="0.2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2:27" ht="15.75" customHeight="1" x14ac:dyDescent="0.2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2:27" ht="15.75" customHeight="1" x14ac:dyDescent="0.2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2:27" ht="15.75" customHeight="1" x14ac:dyDescent="0.2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2:27" ht="15.75" customHeight="1" x14ac:dyDescent="0.2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2:27" ht="15.75" customHeight="1" x14ac:dyDescent="0.2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2:27" ht="15.75" customHeight="1" x14ac:dyDescent="0.2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2:27" ht="15.75" customHeight="1" x14ac:dyDescent="0.2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2:27" ht="15.75" customHeight="1" x14ac:dyDescent="0.2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2:27" ht="15.75" customHeight="1" x14ac:dyDescent="0.2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2:27" ht="15.75" customHeight="1" x14ac:dyDescent="0.2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2:27" ht="15.75" customHeight="1" x14ac:dyDescent="0.2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2:27" ht="15.75" customHeight="1" x14ac:dyDescent="0.2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2:27" ht="15.75" customHeight="1" x14ac:dyDescent="0.2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2:27" ht="15.75" customHeight="1" x14ac:dyDescent="0.2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2:27" ht="15.75" customHeight="1" x14ac:dyDescent="0.2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2:27" ht="15.75" customHeight="1" x14ac:dyDescent="0.2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2:27" ht="15.75" customHeight="1" x14ac:dyDescent="0.2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2:27" ht="15.75" customHeight="1" x14ac:dyDescent="0.2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2:27" ht="15.75" customHeight="1" x14ac:dyDescent="0.2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2:27" ht="15.75" customHeight="1" x14ac:dyDescent="0.2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2:27" ht="15.75" customHeight="1" x14ac:dyDescent="0.2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2:27" ht="15.75" customHeight="1" x14ac:dyDescent="0.2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2:27" ht="15.75" customHeight="1" x14ac:dyDescent="0.2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2:27" ht="15.75" customHeight="1" x14ac:dyDescent="0.2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2:27" ht="15.75" customHeight="1" x14ac:dyDescent="0.2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2:27" ht="15.75" customHeight="1" x14ac:dyDescent="0.2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2:27" ht="15.75" customHeight="1" x14ac:dyDescent="0.2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2:27" ht="15.75" customHeight="1" x14ac:dyDescent="0.2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2:27" ht="15.75" customHeight="1" x14ac:dyDescent="0.2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2:27" ht="15.75" customHeight="1" x14ac:dyDescent="0.2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2:27" ht="15.75" customHeight="1" x14ac:dyDescent="0.2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2:27" ht="15.75" customHeight="1" x14ac:dyDescent="0.2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2:27" ht="15.75" customHeight="1" x14ac:dyDescent="0.2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2:27" ht="15.75" customHeight="1" x14ac:dyDescent="0.2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2:27" ht="15.75" customHeight="1" x14ac:dyDescent="0.2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2:27" ht="15.75" customHeight="1" x14ac:dyDescent="0.2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2:27" ht="15.75" customHeight="1" x14ac:dyDescent="0.2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2:27" ht="15.75" customHeight="1" x14ac:dyDescent="0.2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2:27" ht="15.75" customHeight="1" x14ac:dyDescent="0.2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2:27" ht="15.75" customHeight="1" x14ac:dyDescent="0.2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2:27" ht="15.75" customHeight="1" x14ac:dyDescent="0.2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2:27" ht="15.75" customHeight="1" x14ac:dyDescent="0.2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2:27" ht="15.75" customHeight="1" x14ac:dyDescent="0.2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2:27" ht="15.75" customHeight="1" x14ac:dyDescent="0.2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2:27" ht="15.75" customHeight="1" x14ac:dyDescent="0.2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2:27" ht="15.75" customHeight="1" x14ac:dyDescent="0.2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2:27" ht="15.75" customHeight="1" x14ac:dyDescent="0.2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2:27" ht="15.75" customHeight="1" x14ac:dyDescent="0.2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2:27" ht="15.75" customHeight="1" x14ac:dyDescent="0.2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2:27" ht="15.75" customHeight="1" x14ac:dyDescent="0.2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2:27" ht="15.75" customHeight="1" x14ac:dyDescent="0.2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2:27" ht="15.75" customHeight="1" x14ac:dyDescent="0.2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2:27" ht="15.75" customHeight="1" x14ac:dyDescent="0.2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2:27" ht="15.75" customHeight="1" x14ac:dyDescent="0.2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2:27" ht="15.75" customHeight="1" x14ac:dyDescent="0.2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2:27" ht="15.75" customHeight="1" x14ac:dyDescent="0.2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2:27" ht="15.75" customHeight="1" x14ac:dyDescent="0.2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2:27" ht="15.75" customHeight="1" x14ac:dyDescent="0.2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2:27" ht="15.75" customHeight="1" x14ac:dyDescent="0.2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2:27" ht="15.75" customHeight="1" x14ac:dyDescent="0.2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2:27" ht="15.75" customHeight="1" x14ac:dyDescent="0.2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2:27" ht="15.75" customHeight="1" x14ac:dyDescent="0.2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2:27" ht="15.75" customHeight="1" x14ac:dyDescent="0.2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2:27" ht="15.75" customHeight="1" x14ac:dyDescent="0.2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2:27" ht="15.75" customHeight="1" x14ac:dyDescent="0.2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2:27" ht="15.75" customHeight="1" x14ac:dyDescent="0.2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2:27" ht="15.75" customHeight="1" x14ac:dyDescent="0.2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2:27" ht="15.75" customHeight="1" x14ac:dyDescent="0.2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2:27" ht="15.75" customHeight="1" x14ac:dyDescent="0.2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2:27" ht="15.75" customHeight="1" x14ac:dyDescent="0.2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2:27" ht="15.75" customHeight="1" x14ac:dyDescent="0.2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2:27" ht="15.75" customHeight="1" x14ac:dyDescent="0.2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2:27" ht="15.75" customHeight="1" x14ac:dyDescent="0.2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2:27" ht="15.75" customHeight="1" x14ac:dyDescent="0.2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2:27" ht="15.75" customHeight="1" x14ac:dyDescent="0.2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2:27" ht="15.75" customHeight="1" x14ac:dyDescent="0.2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2:27" ht="15.75" customHeight="1" x14ac:dyDescent="0.2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2:27" ht="15.75" customHeight="1" x14ac:dyDescent="0.2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2:27" ht="15.75" customHeight="1" x14ac:dyDescent="0.2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2:27" ht="15.75" customHeight="1" x14ac:dyDescent="0.2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2:27" ht="15.75" customHeight="1" x14ac:dyDescent="0.2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2:27" ht="15.75" customHeight="1" x14ac:dyDescent="0.2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2:27" ht="15.75" customHeight="1" x14ac:dyDescent="0.2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2:27" ht="15.75" customHeight="1" x14ac:dyDescent="0.2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2:27" ht="15.75" customHeight="1" x14ac:dyDescent="0.2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2:27" ht="15.75" customHeight="1" x14ac:dyDescent="0.2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2:27" ht="15.75" customHeight="1" x14ac:dyDescent="0.2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2:27" ht="15.75" customHeight="1" x14ac:dyDescent="0.2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2:27" ht="15.75" customHeight="1" x14ac:dyDescent="0.2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2:27" ht="15.75" customHeight="1" x14ac:dyDescent="0.2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2:27" ht="15.75" customHeight="1" x14ac:dyDescent="0.2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2:27" ht="15.75" customHeight="1" x14ac:dyDescent="0.2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2:27" ht="15.75" customHeight="1" x14ac:dyDescent="0.2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2:27" ht="15.75" customHeight="1" x14ac:dyDescent="0.2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2:27" ht="15.75" customHeight="1" x14ac:dyDescent="0.2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2:27" ht="15.75" customHeight="1" x14ac:dyDescent="0.2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2:27" ht="15.75" customHeight="1" x14ac:dyDescent="0.2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2:27" ht="15.75" customHeight="1" x14ac:dyDescent="0.2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2:27" ht="15.75" customHeight="1" x14ac:dyDescent="0.2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2:27" ht="15.75" customHeight="1" x14ac:dyDescent="0.2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2:27" ht="15.75" customHeight="1" x14ac:dyDescent="0.2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2:27" ht="15.75" customHeight="1" x14ac:dyDescent="0.2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2:27" ht="15.75" customHeight="1" x14ac:dyDescent="0.2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2:27" ht="15.75" customHeight="1" x14ac:dyDescent="0.2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2:27" ht="15.75" customHeight="1" x14ac:dyDescent="0.2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2:27" ht="15.75" customHeight="1" x14ac:dyDescent="0.2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2:27" ht="15.75" customHeight="1" x14ac:dyDescent="0.2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2:27" ht="15.75" customHeight="1" x14ac:dyDescent="0.2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2:27" ht="15.75" customHeight="1" x14ac:dyDescent="0.2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2:27" ht="15.75" customHeight="1" x14ac:dyDescent="0.2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2:27" ht="15.75" customHeight="1" x14ac:dyDescent="0.2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2:27" ht="15.75" customHeight="1" x14ac:dyDescent="0.2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2:27" ht="15.75" customHeight="1" x14ac:dyDescent="0.2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2:27" ht="15.75" customHeight="1" x14ac:dyDescent="0.2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2:27" ht="15.75" customHeight="1" x14ac:dyDescent="0.2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2:27" ht="15.75" customHeight="1" x14ac:dyDescent="0.2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2:27" ht="15.75" customHeight="1" x14ac:dyDescent="0.2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2:27" ht="15.75" customHeight="1" x14ac:dyDescent="0.2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2:27" ht="15.75" customHeight="1" x14ac:dyDescent="0.2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2:27" ht="15.75" customHeight="1" x14ac:dyDescent="0.2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2:27" ht="15.75" customHeight="1" x14ac:dyDescent="0.2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2:27" ht="15.75" customHeight="1" x14ac:dyDescent="0.2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2:27" ht="15.75" customHeight="1" x14ac:dyDescent="0.2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2:27" ht="15.75" customHeight="1" x14ac:dyDescent="0.2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2:27" ht="15.75" customHeight="1" x14ac:dyDescent="0.2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2:27" ht="15.75" customHeight="1" x14ac:dyDescent="0.2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2:27" ht="15.75" customHeight="1" x14ac:dyDescent="0.2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2:27" ht="15.75" customHeight="1" x14ac:dyDescent="0.2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2:27" ht="15.75" customHeight="1" x14ac:dyDescent="0.2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2:27" ht="15.75" customHeight="1" x14ac:dyDescent="0.2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2:27" ht="15.75" customHeight="1" x14ac:dyDescent="0.2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2:27" ht="15.75" customHeight="1" x14ac:dyDescent="0.2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2:27" ht="15.75" customHeight="1" x14ac:dyDescent="0.2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2:27" ht="15.75" customHeight="1" x14ac:dyDescent="0.2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2:27" ht="15.75" customHeight="1" x14ac:dyDescent="0.2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2:27" ht="15.75" customHeight="1" x14ac:dyDescent="0.2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2:27" ht="15.75" customHeight="1" x14ac:dyDescent="0.2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2:27" ht="15.75" customHeight="1" x14ac:dyDescent="0.2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2:27" ht="15.75" customHeight="1" x14ac:dyDescent="0.2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2:27" ht="15.75" customHeight="1" x14ac:dyDescent="0.2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2:27" ht="15.75" customHeight="1" x14ac:dyDescent="0.2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2:27" ht="15.75" customHeight="1" x14ac:dyDescent="0.2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2:27" ht="15.75" customHeight="1" x14ac:dyDescent="0.2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2:27" ht="15.75" customHeight="1" x14ac:dyDescent="0.2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2:27" ht="15.75" customHeight="1" x14ac:dyDescent="0.2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2:27" ht="15.75" customHeight="1" x14ac:dyDescent="0.2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2:27" ht="15.75" customHeight="1" x14ac:dyDescent="0.2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2:27" ht="15.75" customHeight="1" x14ac:dyDescent="0.2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2:27" ht="15.75" customHeight="1" x14ac:dyDescent="0.2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2:27" ht="15.75" customHeight="1" x14ac:dyDescent="0.2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2:27" ht="15.75" customHeight="1" x14ac:dyDescent="0.2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2:27" ht="15.75" customHeight="1" x14ac:dyDescent="0.2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2:27" ht="15.75" customHeight="1" x14ac:dyDescent="0.2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2:27" ht="15.75" customHeight="1" x14ac:dyDescent="0.2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2:27" ht="15.75" customHeight="1" x14ac:dyDescent="0.2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2:27" ht="15.75" customHeight="1" x14ac:dyDescent="0.2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2:27" ht="15.75" customHeight="1" x14ac:dyDescent="0.2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2:27" ht="15.75" customHeight="1" x14ac:dyDescent="0.2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2:27" ht="15.75" customHeight="1" x14ac:dyDescent="0.2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2:27" ht="15.75" customHeight="1" x14ac:dyDescent="0.2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2:27" ht="15.75" customHeight="1" x14ac:dyDescent="0.2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2:27" ht="15.75" customHeight="1" x14ac:dyDescent="0.2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2:27" ht="15.75" customHeight="1" x14ac:dyDescent="0.2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2:27" ht="15.75" customHeight="1" x14ac:dyDescent="0.2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2:27" ht="15.75" customHeight="1" x14ac:dyDescent="0.2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2:27" ht="15.75" customHeight="1" x14ac:dyDescent="0.2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2:27" ht="15.75" customHeight="1" x14ac:dyDescent="0.2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2:27" ht="15.75" customHeight="1" x14ac:dyDescent="0.2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2:27" ht="15.75" customHeight="1" x14ac:dyDescent="0.2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2:27" ht="15.75" customHeight="1" x14ac:dyDescent="0.2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2:27" ht="15.75" customHeight="1" x14ac:dyDescent="0.2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2:27" ht="15.75" customHeight="1" x14ac:dyDescent="0.2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2:27" ht="15.75" customHeight="1" x14ac:dyDescent="0.2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2:27" ht="15.75" customHeight="1" x14ac:dyDescent="0.2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2:27" ht="15.75" customHeight="1" x14ac:dyDescent="0.2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2:27" ht="15.75" customHeight="1" x14ac:dyDescent="0.2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2:27" ht="15.75" customHeight="1" x14ac:dyDescent="0.2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2:27" ht="15.75" customHeight="1" x14ac:dyDescent="0.2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2:27" ht="15.75" customHeight="1" x14ac:dyDescent="0.2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2:27" ht="15.75" customHeight="1" x14ac:dyDescent="0.2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2:27" ht="15.75" customHeight="1" x14ac:dyDescent="0.2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2:27" ht="15.75" customHeight="1" x14ac:dyDescent="0.2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2:27" ht="15.75" customHeight="1" x14ac:dyDescent="0.2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2:27" ht="15.75" customHeight="1" x14ac:dyDescent="0.2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2:27" ht="15.75" customHeight="1" x14ac:dyDescent="0.2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2:27" ht="15.75" customHeight="1" x14ac:dyDescent="0.2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2:27" ht="15.75" customHeight="1" x14ac:dyDescent="0.2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2:27" ht="15.75" customHeight="1" x14ac:dyDescent="0.2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2:27" ht="15.75" customHeight="1" x14ac:dyDescent="0.2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2:27" ht="15.75" customHeight="1" x14ac:dyDescent="0.2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2:27" ht="15.75" customHeight="1" x14ac:dyDescent="0.2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2:27" ht="15.75" customHeight="1" x14ac:dyDescent="0.2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2:27" ht="15.75" customHeight="1" x14ac:dyDescent="0.2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2:27" ht="15.75" customHeight="1" x14ac:dyDescent="0.2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2:27" ht="15.75" customHeight="1" x14ac:dyDescent="0.2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2:27" ht="15.75" customHeight="1" x14ac:dyDescent="0.2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2:27" ht="15.75" customHeight="1" x14ac:dyDescent="0.2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2:27" ht="15.75" customHeight="1" x14ac:dyDescent="0.2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2:27" ht="15.75" customHeight="1" x14ac:dyDescent="0.2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2:27" ht="15.75" customHeight="1" x14ac:dyDescent="0.2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2:27" ht="15.75" customHeight="1" x14ac:dyDescent="0.2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2:27" ht="15.75" customHeight="1" x14ac:dyDescent="0.2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2:27" ht="15.75" customHeight="1" x14ac:dyDescent="0.2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2:27" ht="15.75" customHeight="1" x14ac:dyDescent="0.2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2:27" ht="15.75" customHeight="1" x14ac:dyDescent="0.2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2:27" ht="15.75" customHeight="1" x14ac:dyDescent="0.2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2:27" ht="15.75" customHeight="1" x14ac:dyDescent="0.2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2:27" ht="15.75" customHeight="1" x14ac:dyDescent="0.2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2:27" ht="15.75" customHeight="1" x14ac:dyDescent="0.2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2:27" ht="15.75" customHeight="1" x14ac:dyDescent="0.2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2:27" ht="15.75" customHeight="1" x14ac:dyDescent="0.2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2:27" ht="15.75" customHeight="1" x14ac:dyDescent="0.2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2:27" ht="15.75" customHeight="1" x14ac:dyDescent="0.2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2:27" ht="15.75" customHeight="1" x14ac:dyDescent="0.2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2:27" ht="15.75" customHeight="1" x14ac:dyDescent="0.2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2:27" ht="15.75" customHeight="1" x14ac:dyDescent="0.2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2:27" ht="15.75" customHeight="1" x14ac:dyDescent="0.2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2:27" ht="15.75" customHeight="1" x14ac:dyDescent="0.2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2:27" ht="15.75" customHeight="1" x14ac:dyDescent="0.2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2:27" ht="15.75" customHeight="1" x14ac:dyDescent="0.2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2:27" ht="15.75" customHeight="1" x14ac:dyDescent="0.2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2:27" ht="15.75" customHeight="1" x14ac:dyDescent="0.2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2:27" ht="15.75" customHeight="1" x14ac:dyDescent="0.2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2:27" ht="15.75" customHeight="1" x14ac:dyDescent="0.2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2:27" ht="15.75" customHeight="1" x14ac:dyDescent="0.2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2:27" ht="15.75" customHeight="1" x14ac:dyDescent="0.2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2:27" ht="15.75" customHeight="1" x14ac:dyDescent="0.2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2:27" ht="15.75" customHeight="1" x14ac:dyDescent="0.2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2:27" ht="15.75" customHeight="1" x14ac:dyDescent="0.2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2:27" ht="15.75" customHeight="1" x14ac:dyDescent="0.2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2:27" ht="15.75" customHeight="1" x14ac:dyDescent="0.2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2:27" ht="15.75" customHeight="1" x14ac:dyDescent="0.2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2:27" ht="15.75" customHeight="1" x14ac:dyDescent="0.2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2:27" ht="15.75" customHeight="1" x14ac:dyDescent="0.2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2:27" ht="15.75" customHeight="1" x14ac:dyDescent="0.2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2:27" ht="15.75" customHeight="1" x14ac:dyDescent="0.2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2:27" ht="15.75" customHeight="1" x14ac:dyDescent="0.2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2:27" ht="15.75" customHeight="1" x14ac:dyDescent="0.2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2:27" ht="15.75" customHeight="1" x14ac:dyDescent="0.2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2:27" ht="15.75" customHeight="1" x14ac:dyDescent="0.2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2:27" ht="15.75" customHeight="1" x14ac:dyDescent="0.2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2:27" ht="15.75" customHeight="1" x14ac:dyDescent="0.2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2:27" ht="15.75" customHeight="1" x14ac:dyDescent="0.2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2:27" ht="15.75" customHeight="1" x14ac:dyDescent="0.2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2:27" ht="15.75" customHeight="1" x14ac:dyDescent="0.2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2:27" ht="15.75" customHeight="1" x14ac:dyDescent="0.2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2:27" ht="15.75" customHeight="1" x14ac:dyDescent="0.2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2:27" ht="15.75" customHeight="1" x14ac:dyDescent="0.2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2:27" ht="15.75" customHeight="1" x14ac:dyDescent="0.2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2:27" ht="15.75" customHeight="1" x14ac:dyDescent="0.2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2:27" ht="15.75" customHeight="1" x14ac:dyDescent="0.2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2:27" ht="15.75" customHeight="1" x14ac:dyDescent="0.2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2:27" ht="15.75" customHeight="1" x14ac:dyDescent="0.2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2:27" ht="15.75" customHeight="1" x14ac:dyDescent="0.2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2:27" ht="15.75" customHeight="1" x14ac:dyDescent="0.2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2:27" ht="15.75" customHeight="1" x14ac:dyDescent="0.2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2:27" ht="15.75" customHeight="1" x14ac:dyDescent="0.2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2:27" ht="15.75" customHeight="1" x14ac:dyDescent="0.2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2:27" ht="15.75" customHeight="1" x14ac:dyDescent="0.2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2:27" ht="15.75" customHeight="1" x14ac:dyDescent="0.2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2:27" ht="15.75" customHeight="1" x14ac:dyDescent="0.2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2:27" ht="15.75" customHeight="1" x14ac:dyDescent="0.2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2:27" ht="15.75" customHeight="1" x14ac:dyDescent="0.2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2:27" ht="15.75" customHeight="1" x14ac:dyDescent="0.2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2:27" ht="15.75" customHeight="1" x14ac:dyDescent="0.2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2:27" ht="15.75" customHeight="1" x14ac:dyDescent="0.2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2:27" ht="15.75" customHeight="1" x14ac:dyDescent="0.2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2:27" ht="15.75" customHeight="1" x14ac:dyDescent="0.2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2:27" ht="15.75" customHeight="1" x14ac:dyDescent="0.2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2:27" ht="15.75" customHeight="1" x14ac:dyDescent="0.2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2:27" ht="15.75" customHeight="1" x14ac:dyDescent="0.2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2:27" ht="15.75" customHeight="1" x14ac:dyDescent="0.2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2:27" ht="15.75" customHeight="1" x14ac:dyDescent="0.2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2:27" ht="15.75" customHeight="1" x14ac:dyDescent="0.2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2:27" ht="15.75" customHeight="1" x14ac:dyDescent="0.2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2:27" ht="15.75" customHeight="1" x14ac:dyDescent="0.2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2:27" ht="15.75" customHeight="1" x14ac:dyDescent="0.2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2:27" ht="15.75" customHeight="1" x14ac:dyDescent="0.2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2:27" ht="15.75" customHeight="1" x14ac:dyDescent="0.2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2:27" ht="15.75" customHeight="1" x14ac:dyDescent="0.2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2:27" ht="15.75" customHeight="1" x14ac:dyDescent="0.2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2:27" ht="15.75" customHeight="1" x14ac:dyDescent="0.2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2:27" ht="15.75" customHeight="1" x14ac:dyDescent="0.2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2:27" ht="15.75" customHeight="1" x14ac:dyDescent="0.2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2:27" ht="15.75" customHeight="1" x14ac:dyDescent="0.2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2:27" ht="15.75" customHeight="1" x14ac:dyDescent="0.2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2:27" ht="15.75" customHeight="1" x14ac:dyDescent="0.2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2:27" ht="15.75" customHeight="1" x14ac:dyDescent="0.2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2:27" ht="15.75" customHeight="1" x14ac:dyDescent="0.2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2:27" ht="15.75" customHeight="1" x14ac:dyDescent="0.2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2:27" ht="15.75" customHeight="1" x14ac:dyDescent="0.2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2:27" ht="15.75" customHeight="1" x14ac:dyDescent="0.2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2:27" ht="15.75" customHeight="1" x14ac:dyDescent="0.2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2:27" ht="15.75" customHeight="1" x14ac:dyDescent="0.2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2:27" ht="15.75" customHeight="1" x14ac:dyDescent="0.2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2:27" ht="15.75" customHeight="1" x14ac:dyDescent="0.2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2:27" ht="15.75" customHeight="1" x14ac:dyDescent="0.2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2:27" ht="15.75" customHeight="1" x14ac:dyDescent="0.2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2:27" ht="15.75" customHeight="1" x14ac:dyDescent="0.2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2:27" ht="15.75" customHeight="1" x14ac:dyDescent="0.2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2:27" ht="15.75" customHeight="1" x14ac:dyDescent="0.2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</sheetData>
  <mergeCells count="36">
    <mergeCell ref="N17:N25"/>
    <mergeCell ref="B26:N26"/>
    <mergeCell ref="B29:G29"/>
    <mergeCell ref="H14:J15"/>
    <mergeCell ref="B27:B28"/>
    <mergeCell ref="C27:C28"/>
    <mergeCell ref="D27:D28"/>
    <mergeCell ref="E27:G28"/>
    <mergeCell ref="D30:D31"/>
    <mergeCell ref="E30:G31"/>
    <mergeCell ref="B12:F15"/>
    <mergeCell ref="B16:M16"/>
    <mergeCell ref="H11:I11"/>
    <mergeCell ref="K11:M11"/>
    <mergeCell ref="H12:I12"/>
    <mergeCell ref="K12:M12"/>
    <mergeCell ref="H13:I13"/>
    <mergeCell ref="K13:M13"/>
    <mergeCell ref="B6:B7"/>
    <mergeCell ref="C6:F7"/>
    <mergeCell ref="N6:P11"/>
    <mergeCell ref="K7:M7"/>
    <mergeCell ref="B8:M8"/>
    <mergeCell ref="G9:G15"/>
    <mergeCell ref="H9:I9"/>
    <mergeCell ref="K9:M9"/>
    <mergeCell ref="H10:I10"/>
    <mergeCell ref="K10:M10"/>
    <mergeCell ref="C2:F2"/>
    <mergeCell ref="G2:G7"/>
    <mergeCell ref="K2:M3"/>
    <mergeCell ref="C3:F3"/>
    <mergeCell ref="C4:F4"/>
    <mergeCell ref="K4:M4"/>
    <mergeCell ref="C5:F5"/>
    <mergeCell ref="K5:M6"/>
  </mergeCell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E8DA47F-9342-EB4D-849E-2CD63DD0DFFA}">
          <x14:formula1>
            <xm:f>Lists!$M$2:$M$97</xm:f>
          </x14:formula1>
          <xm:sqref>D10:D11 F10:F11</xm:sqref>
        </x14:dataValidation>
        <x14:dataValidation type="list" allowBlank="1" showInputMessage="1" showErrorMessage="1" xr:uid="{F6116CC0-A566-A546-ADD3-886AD31A4B3A}">
          <x14:formula1>
            <xm:f>Lists!$B$2:$B$21</xm:f>
          </x14:formula1>
          <xm:sqref>C10:C11</xm:sqref>
        </x14:dataValidation>
        <x14:dataValidation type="list" allowBlank="1" showInputMessage="1" showErrorMessage="1" xr:uid="{6279D46F-77F6-074E-A3E5-F22E2A9D399E}">
          <x14:formula1>
            <xm:f>Lists!$G$2:$G$9</xm:f>
          </x14:formula1>
          <xm:sqref>B10:B11</xm:sqref>
        </x14:dataValidation>
        <x14:dataValidation type="list" allowBlank="1" showInputMessage="1" showErrorMessage="1" xr:uid="{24ABE184-3444-A042-BAE6-38A66C24C3C0}">
          <x14:formula1>
            <xm:f>Lists!$E$2:$E$10</xm:f>
          </x14:formula1>
          <xm:sqref>E10:E11</xm:sqref>
        </x14:dataValidation>
        <x14:dataValidation type="list" allowBlank="1" showErrorMessage="1" xr:uid="{8B7DA8FA-E446-FD46-81CD-492189D21276}">
          <x14:formula1>
            <xm:f>Lists!$J$2:$J$25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D3A62-4DA3-3B41-AD52-C824479F0486}">
  <sheetPr codeName="Sheet5"/>
  <dimension ref="A1:AA909"/>
  <sheetViews>
    <sheetView zoomScale="60" workbookViewId="0">
      <selection activeCell="C2" sqref="C2:F2"/>
    </sheetView>
  </sheetViews>
  <sheetFormatPr baseColWidth="10" defaultColWidth="10.140625" defaultRowHeight="15" customHeight="1" x14ac:dyDescent="0.2"/>
  <cols>
    <col min="1" max="1" width="5.42578125" customWidth="1"/>
    <col min="2" max="2" width="25" customWidth="1"/>
    <col min="3" max="6" width="25.7109375" customWidth="1"/>
    <col min="7" max="13" width="25.5703125" customWidth="1"/>
    <col min="14" max="24" width="26" customWidth="1"/>
    <col min="25" max="27" width="11.42578125" customWidth="1"/>
  </cols>
  <sheetData>
    <row r="1" spans="1:27" ht="15" customHeight="1" thickBot="1" x14ac:dyDescent="0.25"/>
    <row r="2" spans="1:27" ht="46" customHeight="1" x14ac:dyDescent="0.2">
      <c r="B2" s="22" t="s">
        <v>104</v>
      </c>
      <c r="C2" s="231" t="s">
        <v>118</v>
      </c>
      <c r="D2" s="231"/>
      <c r="E2" s="231"/>
      <c r="F2" s="232"/>
      <c r="G2" s="218"/>
      <c r="H2" s="78" t="s">
        <v>242</v>
      </c>
      <c r="I2" s="65"/>
      <c r="J2" s="66" t="s">
        <v>243</v>
      </c>
      <c r="K2" s="203" t="s">
        <v>276</v>
      </c>
      <c r="L2" s="201"/>
      <c r="M2" s="201"/>
      <c r="N2" s="4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4" customHeight="1" x14ac:dyDescent="0.2">
      <c r="B3" s="23" t="s">
        <v>105</v>
      </c>
      <c r="C3" s="222" t="s">
        <v>12</v>
      </c>
      <c r="D3" s="222"/>
      <c r="E3" s="222"/>
      <c r="F3" s="223"/>
      <c r="G3" s="218"/>
      <c r="H3" s="79">
        <v>3.28</v>
      </c>
      <c r="I3" s="64" t="s">
        <v>224</v>
      </c>
      <c r="J3" s="52">
        <f>ROUNDUP((H7*$C$27*$C$31)-SUM(J4:J6),1)</f>
        <v>62.5</v>
      </c>
      <c r="K3" s="203"/>
      <c r="L3" s="201"/>
      <c r="M3" s="20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4" customHeight="1" x14ac:dyDescent="0.2">
      <c r="B4" s="23" t="s">
        <v>9</v>
      </c>
      <c r="C4" s="222">
        <v>5</v>
      </c>
      <c r="D4" s="222"/>
      <c r="E4" s="222"/>
      <c r="F4" s="223"/>
      <c r="G4" s="218"/>
      <c r="H4" s="79">
        <v>3</v>
      </c>
      <c r="I4" s="64" t="s">
        <v>225</v>
      </c>
      <c r="J4" s="52">
        <f>ROUNDUP(3*$C$27*$C$31,0)</f>
        <v>58</v>
      </c>
      <c r="K4" s="210"/>
      <c r="L4" s="211"/>
      <c r="M4" s="21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4" customHeight="1" x14ac:dyDescent="0.2">
      <c r="B5" s="23" t="s">
        <v>10</v>
      </c>
      <c r="C5" s="222">
        <v>12</v>
      </c>
      <c r="D5" s="222"/>
      <c r="E5" s="222"/>
      <c r="F5" s="223"/>
      <c r="G5" s="218"/>
      <c r="H5" s="79">
        <v>0</v>
      </c>
      <c r="I5" s="64" t="s">
        <v>240</v>
      </c>
      <c r="J5" s="52">
        <f>ROUNDUP(H5*$C$27*$C$31,1)</f>
        <v>0</v>
      </c>
      <c r="K5" s="203" t="s">
        <v>248</v>
      </c>
      <c r="L5" s="201"/>
      <c r="M5" s="201"/>
      <c r="N5" s="68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9" customHeight="1" x14ac:dyDescent="0.2">
      <c r="B6" s="182" t="s">
        <v>277</v>
      </c>
      <c r="C6" s="193"/>
      <c r="D6" s="193"/>
      <c r="E6" s="193"/>
      <c r="F6" s="194"/>
      <c r="G6" s="218"/>
      <c r="H6" s="79">
        <v>0.6</v>
      </c>
      <c r="I6" s="64" t="s">
        <v>226</v>
      </c>
      <c r="J6" s="52">
        <f>ROUNDUP(H6*$C$27*$C$31,1)</f>
        <v>11.6</v>
      </c>
      <c r="K6" s="203"/>
      <c r="L6" s="201"/>
      <c r="M6" s="201"/>
      <c r="N6" s="184" t="s">
        <v>269</v>
      </c>
      <c r="O6" s="185"/>
      <c r="P6" s="186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9" customHeight="1" thickBot="1" x14ac:dyDescent="0.25">
      <c r="B7" s="183"/>
      <c r="C7" s="195"/>
      <c r="D7" s="195"/>
      <c r="E7" s="195"/>
      <c r="F7" s="196"/>
      <c r="G7" s="218"/>
      <c r="H7" s="80">
        <f>SUM(H3:H6)</f>
        <v>6.879999999999999</v>
      </c>
      <c r="I7" s="67" t="s">
        <v>241</v>
      </c>
      <c r="J7" s="81">
        <f>ROUNDUP(H7*$C$27*$C$31,0)</f>
        <v>133</v>
      </c>
      <c r="K7" s="226"/>
      <c r="L7" s="227"/>
      <c r="M7" s="228"/>
      <c r="N7" s="187"/>
      <c r="O7" s="188"/>
      <c r="P7" s="189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22" customHeight="1" thickBot="1" x14ac:dyDescent="0.25">
      <c r="A8" s="77"/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17"/>
      <c r="N8" s="187"/>
      <c r="O8" s="188"/>
      <c r="P8" s="189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s="19" customFormat="1" ht="40" customHeight="1" x14ac:dyDescent="0.2">
      <c r="B9" s="85" t="s">
        <v>125</v>
      </c>
      <c r="C9" s="86" t="s">
        <v>17</v>
      </c>
      <c r="D9" s="87" t="s">
        <v>122</v>
      </c>
      <c r="E9" s="88" t="s">
        <v>123</v>
      </c>
      <c r="F9" s="89" t="s">
        <v>124</v>
      </c>
      <c r="G9" s="219"/>
      <c r="H9" s="215" t="s">
        <v>223</v>
      </c>
      <c r="I9" s="216"/>
      <c r="J9" s="50">
        <v>1</v>
      </c>
      <c r="K9" s="213" t="s">
        <v>249</v>
      </c>
      <c r="L9" s="213"/>
      <c r="M9" s="214"/>
      <c r="N9" s="187"/>
      <c r="O9" s="188"/>
      <c r="P9" s="189"/>
    </row>
    <row r="10" spans="1:27" s="20" customFormat="1" ht="47" customHeight="1" thickBot="1" x14ac:dyDescent="0.25">
      <c r="B10" s="26" t="s">
        <v>16</v>
      </c>
      <c r="C10" s="35" t="s">
        <v>121</v>
      </c>
      <c r="D10" s="35" t="s">
        <v>218</v>
      </c>
      <c r="E10" s="27" t="s">
        <v>101</v>
      </c>
      <c r="F10" s="28" t="s">
        <v>217</v>
      </c>
      <c r="G10" s="219"/>
      <c r="H10" s="197" t="s">
        <v>230</v>
      </c>
      <c r="I10" s="198"/>
      <c r="J10" s="82">
        <f>ROUNDUP(H7*$C$30,1)</f>
        <v>7.6</v>
      </c>
      <c r="K10" s="201" t="s">
        <v>265</v>
      </c>
      <c r="L10" s="201"/>
      <c r="M10" s="202"/>
      <c r="N10" s="187"/>
      <c r="O10" s="188"/>
      <c r="P10" s="189"/>
    </row>
    <row r="11" spans="1:27" s="20" customFormat="1" ht="46" customHeight="1" x14ac:dyDescent="0.2">
      <c r="B11" s="178"/>
      <c r="C11" s="178"/>
      <c r="D11" s="178"/>
      <c r="E11" s="178"/>
      <c r="F11" s="178"/>
      <c r="G11" s="219"/>
      <c r="H11" s="197" t="s">
        <v>34</v>
      </c>
      <c r="I11" s="198"/>
      <c r="J11" s="82">
        <f>C4*$C$30</f>
        <v>5.5</v>
      </c>
      <c r="K11" s="203" t="s">
        <v>266</v>
      </c>
      <c r="L11" s="201"/>
      <c r="M11" s="202"/>
      <c r="N11" s="190"/>
      <c r="O11" s="191"/>
      <c r="P11" s="192"/>
    </row>
    <row r="12" spans="1:27" s="20" customFormat="1" ht="46" customHeight="1" x14ac:dyDescent="0.2">
      <c r="B12" s="219"/>
      <c r="C12" s="219"/>
      <c r="D12" s="219"/>
      <c r="E12" s="219"/>
      <c r="F12" s="219"/>
      <c r="G12" s="219"/>
      <c r="H12" s="197" t="s">
        <v>258</v>
      </c>
      <c r="I12" s="198"/>
      <c r="J12" s="51">
        <f>SUM(J10:J11)</f>
        <v>13.1</v>
      </c>
      <c r="K12" s="213" t="s">
        <v>267</v>
      </c>
      <c r="L12" s="213"/>
      <c r="M12" s="213"/>
      <c r="N12" s="47"/>
    </row>
    <row r="13" spans="1:27" s="20" customFormat="1" ht="46" customHeight="1" thickBot="1" x14ac:dyDescent="0.25">
      <c r="B13" s="219"/>
      <c r="C13" s="219"/>
      <c r="D13" s="219"/>
      <c r="E13" s="219"/>
      <c r="F13" s="219"/>
      <c r="G13" s="219"/>
      <c r="H13" s="229" t="s">
        <v>257</v>
      </c>
      <c r="I13" s="230"/>
      <c r="J13" s="84">
        <f>C5</f>
        <v>12</v>
      </c>
      <c r="K13" s="201" t="s">
        <v>268</v>
      </c>
      <c r="L13" s="201"/>
      <c r="M13" s="201"/>
      <c r="N13" s="47"/>
    </row>
    <row r="14" spans="1:27" s="20" customFormat="1" ht="47" customHeight="1" x14ac:dyDescent="0.2">
      <c r="B14" s="219"/>
      <c r="C14" s="219"/>
      <c r="D14" s="219"/>
      <c r="E14" s="219"/>
      <c r="F14" s="219"/>
      <c r="G14" s="219"/>
      <c r="H14" s="178"/>
      <c r="I14" s="178"/>
      <c r="J14" s="178"/>
      <c r="K14" s="83"/>
      <c r="N14" s="47"/>
    </row>
    <row r="15" spans="1:27" s="20" customFormat="1" ht="8" customHeight="1" x14ac:dyDescent="0.2">
      <c r="B15" s="219"/>
      <c r="C15" s="219"/>
      <c r="D15" s="219"/>
      <c r="E15" s="219"/>
      <c r="F15" s="219"/>
      <c r="G15" s="219"/>
      <c r="H15" s="219"/>
      <c r="I15" s="219"/>
      <c r="J15" s="219"/>
    </row>
    <row r="16" spans="1:27" ht="50" customHeight="1" thickBot="1" x14ac:dyDescent="0.25"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21" customHeight="1" x14ac:dyDescent="0.2">
      <c r="A17" s="36"/>
      <c r="B17" s="37">
        <v>1</v>
      </c>
      <c r="C17" s="37">
        <v>2</v>
      </c>
      <c r="D17" s="37">
        <v>3</v>
      </c>
      <c r="E17" s="37">
        <v>4</v>
      </c>
      <c r="F17" s="37">
        <v>5</v>
      </c>
      <c r="G17" s="37">
        <v>6</v>
      </c>
      <c r="H17" s="37">
        <v>7</v>
      </c>
      <c r="I17" s="37">
        <v>8</v>
      </c>
      <c r="J17" s="37">
        <v>9</v>
      </c>
      <c r="K17" s="37">
        <v>10</v>
      </c>
      <c r="L17" s="37">
        <v>11</v>
      </c>
      <c r="M17" s="38">
        <v>12</v>
      </c>
      <c r="N17" s="15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66" customHeight="1" x14ac:dyDescent="0.2">
      <c r="A18" s="39" t="s">
        <v>26</v>
      </c>
      <c r="B18" s="4"/>
      <c r="C18" s="5"/>
      <c r="D18" s="4"/>
      <c r="E18" s="5"/>
      <c r="F18" s="4"/>
      <c r="G18" s="5"/>
      <c r="H18" s="102" t="str">
        <f>IF(ISBLANK('Plate Map'!H5),"",'Plate Map'!H5)</f>
        <v>S1</v>
      </c>
      <c r="I18" s="105" t="str">
        <f>IF(ISBLANK('Plate Map'!I5),"",'Plate Map'!I5)</f>
        <v>S7</v>
      </c>
      <c r="J18" s="4"/>
      <c r="K18" s="5"/>
      <c r="L18" s="4"/>
      <c r="M18" s="40"/>
      <c r="N18" s="15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66" customHeight="1" x14ac:dyDescent="0.2">
      <c r="A19" s="39" t="s">
        <v>27</v>
      </c>
      <c r="B19" s="5"/>
      <c r="C19" s="4"/>
      <c r="D19" s="5"/>
      <c r="E19" s="4"/>
      <c r="F19" s="5"/>
      <c r="G19" s="4"/>
      <c r="H19" s="105" t="str">
        <f>IF(ISBLANK('Plate Map'!H6),"",'Plate Map'!H6)</f>
        <v>S2</v>
      </c>
      <c r="I19" s="102" t="str">
        <f>IF(ISBLANK('Plate Map'!I6),"",'Plate Map'!I6)</f>
        <v>S8</v>
      </c>
      <c r="J19" s="5"/>
      <c r="K19" s="4"/>
      <c r="L19" s="5"/>
      <c r="M19" s="41"/>
      <c r="N19" s="15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66" customHeight="1" x14ac:dyDescent="0.2">
      <c r="A20" s="39" t="s">
        <v>28</v>
      </c>
      <c r="B20" s="4"/>
      <c r="C20" s="5"/>
      <c r="D20" s="4"/>
      <c r="E20" s="5"/>
      <c r="F20" s="4"/>
      <c r="G20" s="5"/>
      <c r="H20" s="102" t="str">
        <f>IF(ISBLANK('Plate Map'!H7),"",'Plate Map'!H7)</f>
        <v>S3</v>
      </c>
      <c r="I20" s="105" t="str">
        <f>IF(ISBLANK('Plate Map'!I7),"",'Plate Map'!I7)</f>
        <v>S9</v>
      </c>
      <c r="J20" s="4"/>
      <c r="K20" s="5"/>
      <c r="L20" s="4"/>
      <c r="M20" s="40"/>
      <c r="N20" s="15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66" customHeight="1" x14ac:dyDescent="0.2">
      <c r="A21" s="39" t="s">
        <v>29</v>
      </c>
      <c r="B21" s="5"/>
      <c r="C21" s="4"/>
      <c r="D21" s="5"/>
      <c r="E21" s="4"/>
      <c r="F21" s="5"/>
      <c r="G21" s="4"/>
      <c r="H21" s="105" t="str">
        <f>IF(ISBLANK('Plate Map'!H8),"",'Plate Map'!H8)</f>
        <v>S4</v>
      </c>
      <c r="I21" s="102" t="str">
        <f>IF(ISBLANK('Plate Map'!I8),"",'Plate Map'!I8)</f>
        <v>S10</v>
      </c>
      <c r="J21" s="5"/>
      <c r="K21" s="4"/>
      <c r="L21" s="5"/>
      <c r="M21" s="41"/>
      <c r="N21" s="15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66" customHeight="1" x14ac:dyDescent="0.2">
      <c r="A22" s="39" t="s">
        <v>30</v>
      </c>
      <c r="B22" s="69"/>
      <c r="C22" s="70"/>
      <c r="D22" s="4"/>
      <c r="E22" s="5"/>
      <c r="F22" s="4"/>
      <c r="G22" s="5"/>
      <c r="H22" s="103" t="str">
        <f>IF(ISBLANK('Plate Map'!H9),"",'Plate Map'!H9)</f>
        <v>S5</v>
      </c>
      <c r="I22" s="106" t="str">
        <f>IF(ISBLANK('Plate Map'!I9),"",'Plate Map'!I9)</f>
        <v>S11</v>
      </c>
      <c r="J22" s="4"/>
      <c r="K22" s="5"/>
      <c r="L22" s="4"/>
      <c r="M22" s="40"/>
      <c r="N22" s="15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66" customHeight="1" x14ac:dyDescent="0.2">
      <c r="A23" s="39" t="s">
        <v>31</v>
      </c>
      <c r="B23" s="5"/>
      <c r="C23" s="4"/>
      <c r="D23" s="5"/>
      <c r="E23" s="4"/>
      <c r="F23" s="5"/>
      <c r="G23" s="4"/>
      <c r="H23" s="105" t="str">
        <f>IF(ISBLANK('Plate Map'!H10),"",'Plate Map'!H10)</f>
        <v>S6</v>
      </c>
      <c r="I23" s="102" t="str">
        <f>IF(ISBLANK('Plate Map'!I10),"",'Plate Map'!I10)</f>
        <v>S12</v>
      </c>
      <c r="J23" s="5"/>
      <c r="K23" s="4"/>
      <c r="L23" s="5"/>
      <c r="M23" s="41"/>
      <c r="N23" s="15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66" customHeight="1" x14ac:dyDescent="0.2">
      <c r="A24" s="39" t="s">
        <v>32</v>
      </c>
      <c r="B24" s="4"/>
      <c r="C24" s="5"/>
      <c r="D24" s="4"/>
      <c r="E24" s="5"/>
      <c r="F24" s="4"/>
      <c r="G24" s="5"/>
      <c r="H24" s="102" t="str">
        <f>IF(ISBLANK('Plate Map'!H11),"",'Plate Map'!H11)</f>
        <v>EBLANK</v>
      </c>
      <c r="I24" s="105" t="str">
        <f>IF(ISBLANK('Plate Map'!I11),"",'Plate Map'!I11)</f>
        <v>EBLANK</v>
      </c>
      <c r="J24" s="4"/>
      <c r="K24" s="5"/>
      <c r="L24" s="4"/>
      <c r="M24" s="40"/>
      <c r="N24" s="15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66" customHeight="1" thickBot="1" x14ac:dyDescent="0.25">
      <c r="A25" s="42" t="s">
        <v>33</v>
      </c>
      <c r="B25" s="43"/>
      <c r="C25" s="44"/>
      <c r="D25" s="43"/>
      <c r="E25" s="44"/>
      <c r="F25" s="43"/>
      <c r="G25" s="44"/>
      <c r="H25" s="107" t="str">
        <f>IF(ISBLANK('Plate Map'!H12),"",'Plate Map'!H12)</f>
        <v>PPC</v>
      </c>
      <c r="I25" s="104" t="str">
        <f>IF(ISBLANK('Plate Map'!I12),"",'Plate Map'!I12)</f>
        <v>PNC</v>
      </c>
      <c r="J25" s="43"/>
      <c r="K25" s="44"/>
      <c r="L25" s="43"/>
      <c r="M25" s="45"/>
      <c r="N25" s="15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21" customHeight="1" thickBot="1" x14ac:dyDescent="0.25">
      <c r="B26" s="152"/>
      <c r="C26" s="152"/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25" customHeight="1" x14ac:dyDescent="0.2">
      <c r="B27" s="233" t="s">
        <v>231</v>
      </c>
      <c r="C27" s="155">
        <f>COUNTIF('Plate Map'!H5:'Plate Map'!I12,"&lt;&gt;"&amp;"")</f>
        <v>16</v>
      </c>
      <c r="D27" s="157" t="s">
        <v>250</v>
      </c>
      <c r="E27" s="159" t="s">
        <v>251</v>
      </c>
      <c r="F27" s="159"/>
      <c r="G27" s="160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25" customHeight="1" thickBot="1" x14ac:dyDescent="0.25">
      <c r="B28" s="234"/>
      <c r="C28" s="156"/>
      <c r="D28" s="158"/>
      <c r="E28" s="161"/>
      <c r="F28" s="161"/>
      <c r="G28" s="16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21" customHeight="1" thickBot="1" x14ac:dyDescent="0.25">
      <c r="B29" s="207"/>
      <c r="C29" s="207"/>
      <c r="D29" s="207"/>
      <c r="E29" s="207"/>
      <c r="F29" s="207"/>
      <c r="G29" s="207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1" customHeight="1" x14ac:dyDescent="0.2">
      <c r="B30" s="73" t="s">
        <v>253</v>
      </c>
      <c r="C30" s="74">
        <v>1.1000000000000001</v>
      </c>
      <c r="D30" s="204" t="s">
        <v>250</v>
      </c>
      <c r="E30" s="159" t="s">
        <v>252</v>
      </c>
      <c r="F30" s="159"/>
      <c r="G30" s="160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1" customHeight="1" thickBot="1" x14ac:dyDescent="0.25">
      <c r="B31" s="75" t="s">
        <v>254</v>
      </c>
      <c r="C31" s="76">
        <v>1.2</v>
      </c>
      <c r="D31" s="205"/>
      <c r="E31" s="161"/>
      <c r="F31" s="161"/>
      <c r="G31" s="16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21" customHeight="1" x14ac:dyDescent="0.2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21" customHeight="1" x14ac:dyDescent="0.2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2:27" ht="21" customHeight="1" x14ac:dyDescent="0.2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21" customHeight="1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2:27" ht="21" customHeight="1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2:27" ht="21" customHeight="1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2:27" ht="21" customHeight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2:27" ht="21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2:27" ht="21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2:27" ht="21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2:27" ht="21" customHeight="1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2:27" ht="21" customHeight="1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2:27" ht="21" customHeight="1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2:27" ht="21" customHeight="1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2:27" ht="21" customHeight="1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2:27" ht="21" customHeight="1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2:27" ht="21" customHeight="1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2:27" ht="21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2:27" ht="21" customHeight="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2:27" ht="21" customHeight="1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2:27" ht="21" customHeight="1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2:27" ht="21" customHeight="1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2:27" ht="21" customHeight="1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2:27" ht="21" customHeight="1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2:27" ht="21" customHeight="1" x14ac:dyDescent="0.2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2:27" ht="21" customHeight="1" x14ac:dyDescent="0.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2:27" ht="21" customHeight="1" x14ac:dyDescent="0.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2:27" ht="21" customHeight="1" x14ac:dyDescent="0.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2:27" ht="21" customHeight="1" x14ac:dyDescent="0.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2:27" ht="21" customHeight="1" x14ac:dyDescent="0.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2:27" ht="21" customHeight="1" x14ac:dyDescent="0.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2:27" ht="21" customHeight="1" x14ac:dyDescent="0.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2:27" ht="21" customHeight="1" x14ac:dyDescent="0.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2:27" ht="21" customHeight="1" x14ac:dyDescent="0.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2:27" ht="21" customHeight="1" x14ac:dyDescent="0.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2:27" ht="21" customHeight="1" x14ac:dyDescent="0.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2:27" ht="21" customHeight="1" x14ac:dyDescent="0.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2:27" ht="21" customHeight="1" x14ac:dyDescent="0.2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2:27" ht="21" customHeight="1" x14ac:dyDescent="0.2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2:27" ht="21" customHeight="1" x14ac:dyDescent="0.2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2:27" ht="21" customHeight="1" x14ac:dyDescent="0.2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2:27" ht="21" customHeight="1" x14ac:dyDescent="0.2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2:27" ht="21" customHeight="1" x14ac:dyDescent="0.2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2:27" ht="21" customHeight="1" x14ac:dyDescent="0.2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2:27" ht="21" customHeight="1" x14ac:dyDescent="0.2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2:27" ht="21" customHeight="1" x14ac:dyDescent="0.2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2:27" ht="21" customHeight="1" x14ac:dyDescent="0.2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2:27" ht="21" customHeight="1" x14ac:dyDescent="0.2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2:27" ht="21" customHeight="1" x14ac:dyDescent="0.2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2:27" ht="21" customHeight="1" x14ac:dyDescent="0.2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2:27" ht="21" customHeight="1" x14ac:dyDescent="0.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2:27" ht="21" customHeight="1" x14ac:dyDescent="0.2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2:27" ht="21" customHeight="1" x14ac:dyDescent="0.2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2:27" ht="21" customHeight="1" x14ac:dyDescent="0.2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2:27" ht="21" customHeight="1" x14ac:dyDescent="0.2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2:27" ht="21" customHeight="1" x14ac:dyDescent="0.2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2:27" ht="21" customHeight="1" x14ac:dyDescent="0.2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2:27" ht="21" customHeight="1" x14ac:dyDescent="0.2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2:27" ht="21" customHeight="1" x14ac:dyDescent="0.2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2:27" ht="21" customHeight="1" x14ac:dyDescent="0.2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2:27" ht="21" customHeight="1" x14ac:dyDescent="0.2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2:27" ht="21" customHeight="1" x14ac:dyDescent="0.2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2:27" ht="21" customHeight="1" x14ac:dyDescent="0.2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2:27" ht="21" customHeight="1" x14ac:dyDescent="0.2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2:27" ht="21" customHeight="1" x14ac:dyDescent="0.2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2:27" ht="21" customHeight="1" x14ac:dyDescent="0.2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2:27" ht="21" customHeight="1" x14ac:dyDescent="0.2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2:27" ht="21" customHeight="1" x14ac:dyDescent="0.2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2:27" ht="21" customHeight="1" x14ac:dyDescent="0.2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2:27" ht="21" customHeight="1" x14ac:dyDescent="0.2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2:27" ht="21" customHeight="1" x14ac:dyDescent="0.2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2:27" ht="21" customHeight="1" x14ac:dyDescent="0.2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2:27" ht="21" customHeight="1" x14ac:dyDescent="0.2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2:27" ht="21" customHeight="1" x14ac:dyDescent="0.2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2:27" ht="21" customHeight="1" x14ac:dyDescent="0.2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2:27" ht="21" customHeight="1" x14ac:dyDescent="0.2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2:27" ht="21" customHeight="1" x14ac:dyDescent="0.2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2:27" ht="21" customHeight="1" x14ac:dyDescent="0.2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2:27" ht="21" customHeight="1" x14ac:dyDescent="0.2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2:27" ht="21" customHeight="1" x14ac:dyDescent="0.2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2:27" ht="21" customHeight="1" x14ac:dyDescent="0.2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2:27" ht="21" customHeight="1" x14ac:dyDescent="0.2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2:27" ht="21" customHeight="1" x14ac:dyDescent="0.2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2:27" ht="21" customHeight="1" x14ac:dyDescent="0.2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2:27" ht="21" customHeight="1" x14ac:dyDescent="0.2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2:27" ht="21" customHeight="1" x14ac:dyDescent="0.2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2:27" ht="21" customHeight="1" x14ac:dyDescent="0.2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2:27" ht="21" customHeight="1" x14ac:dyDescent="0.2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2:27" ht="21" customHeight="1" x14ac:dyDescent="0.2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2:27" ht="21" customHeight="1" x14ac:dyDescent="0.2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2:27" ht="21" customHeight="1" x14ac:dyDescent="0.2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2:27" ht="21" customHeight="1" x14ac:dyDescent="0.2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2:27" ht="21" customHeight="1" x14ac:dyDescent="0.2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2:27" ht="21" customHeight="1" x14ac:dyDescent="0.2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2:27" ht="21" customHeight="1" x14ac:dyDescent="0.2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2:27" ht="21" customHeight="1" x14ac:dyDescent="0.2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2:27" ht="21" customHeight="1" x14ac:dyDescent="0.2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2:27" ht="21" customHeight="1" x14ac:dyDescent="0.2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2:27" ht="21" customHeight="1" x14ac:dyDescent="0.2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2:27" ht="21" customHeight="1" x14ac:dyDescent="0.2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2:27" ht="21" customHeight="1" x14ac:dyDescent="0.2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2:27" ht="21" customHeight="1" x14ac:dyDescent="0.2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2:27" ht="21" customHeight="1" x14ac:dyDescent="0.2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2:27" ht="21" customHeight="1" x14ac:dyDescent="0.2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2:27" ht="21" customHeight="1" x14ac:dyDescent="0.2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2:27" ht="21" customHeight="1" x14ac:dyDescent="0.2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2:27" ht="21" customHeight="1" x14ac:dyDescent="0.2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2:27" ht="21" customHeight="1" x14ac:dyDescent="0.2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2:27" ht="21" customHeight="1" x14ac:dyDescent="0.2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2:27" ht="21" customHeight="1" x14ac:dyDescent="0.2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2:27" ht="21" customHeight="1" x14ac:dyDescent="0.2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2:27" ht="21" customHeight="1" x14ac:dyDescent="0.2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2:27" ht="21" customHeight="1" x14ac:dyDescent="0.2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2:27" ht="21" customHeight="1" x14ac:dyDescent="0.2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2:27" ht="21" customHeight="1" x14ac:dyDescent="0.2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2:27" ht="21" customHeight="1" x14ac:dyDescent="0.2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2:27" ht="21" customHeight="1" x14ac:dyDescent="0.2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2:27" ht="21" customHeight="1" x14ac:dyDescent="0.2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2:27" ht="21" customHeight="1" x14ac:dyDescent="0.2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2:27" ht="21" customHeight="1" x14ac:dyDescent="0.2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2:27" ht="21" customHeight="1" x14ac:dyDescent="0.2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2:27" ht="21" customHeight="1" x14ac:dyDescent="0.2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2:27" ht="21" customHeight="1" x14ac:dyDescent="0.2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2:27" ht="21" customHeight="1" x14ac:dyDescent="0.2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2:27" ht="21" customHeight="1" x14ac:dyDescent="0.2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2:27" ht="21" customHeight="1" x14ac:dyDescent="0.2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2:27" ht="21" customHeight="1" x14ac:dyDescent="0.2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2:27" ht="21" customHeight="1" x14ac:dyDescent="0.2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2:27" ht="21" customHeight="1" x14ac:dyDescent="0.2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2:27" ht="21" customHeight="1" x14ac:dyDescent="0.2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2:27" ht="21" customHeight="1" x14ac:dyDescent="0.2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2:27" ht="21" customHeight="1" x14ac:dyDescent="0.2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2:27" ht="21" customHeight="1" x14ac:dyDescent="0.2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2:27" ht="21" customHeight="1" x14ac:dyDescent="0.2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2:27" ht="21" customHeight="1" x14ac:dyDescent="0.2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2:27" ht="21" customHeight="1" x14ac:dyDescent="0.2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2:27" ht="21" customHeight="1" x14ac:dyDescent="0.2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2:27" ht="21" customHeight="1" x14ac:dyDescent="0.2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2:27" ht="21" customHeight="1" x14ac:dyDescent="0.2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2:27" ht="15.75" customHeight="1" x14ac:dyDescent="0.2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2:27" ht="15.75" customHeight="1" x14ac:dyDescent="0.2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2:27" ht="15.75" customHeight="1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2:27" ht="15.75" customHeight="1" x14ac:dyDescent="0.2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2:27" ht="15.75" customHeight="1" x14ac:dyDescent="0.2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2:27" ht="15.75" customHeight="1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2:27" ht="15.75" customHeight="1" x14ac:dyDescent="0.2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2:27" ht="15.75" customHeight="1" x14ac:dyDescent="0.2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2:27" ht="15.75" customHeight="1" x14ac:dyDescent="0.2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2:27" ht="15.75" customHeight="1" x14ac:dyDescent="0.2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2:27" ht="15.75" customHeight="1" x14ac:dyDescent="0.2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2:27" ht="15.75" customHeight="1" x14ac:dyDescent="0.2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2:27" ht="15.75" customHeight="1" x14ac:dyDescent="0.2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2:27" ht="15.75" customHeight="1" x14ac:dyDescent="0.2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2:27" ht="15.75" customHeight="1" x14ac:dyDescent="0.2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2:27" ht="15.75" customHeight="1" x14ac:dyDescent="0.2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2:27" ht="15.75" customHeight="1" x14ac:dyDescent="0.2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2:27" ht="15.75" customHeight="1" x14ac:dyDescent="0.2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2:27" ht="15.75" customHeight="1" x14ac:dyDescent="0.2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2:27" ht="15.75" customHeight="1" x14ac:dyDescent="0.2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2:27" ht="15.75" customHeight="1" x14ac:dyDescent="0.2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2:27" ht="15.75" customHeight="1" x14ac:dyDescent="0.2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2:27" ht="15.75" customHeight="1" x14ac:dyDescent="0.2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2:27" ht="15.75" customHeight="1" x14ac:dyDescent="0.2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2:27" ht="15.75" customHeight="1" x14ac:dyDescent="0.2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2:27" ht="15.75" customHeight="1" x14ac:dyDescent="0.2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2:27" ht="15.75" customHeight="1" x14ac:dyDescent="0.2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2:27" ht="15.75" customHeight="1" x14ac:dyDescent="0.2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2:27" ht="15.75" customHeight="1" x14ac:dyDescent="0.2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2:27" ht="15.75" customHeight="1" x14ac:dyDescent="0.2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2:27" ht="15.75" customHeight="1" x14ac:dyDescent="0.2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2:27" ht="15.75" customHeight="1" x14ac:dyDescent="0.2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2:27" ht="15.75" customHeight="1" x14ac:dyDescent="0.2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2:27" ht="15.75" customHeight="1" x14ac:dyDescent="0.2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2:27" ht="15.75" customHeight="1" x14ac:dyDescent="0.2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2:27" ht="15.75" customHeight="1" x14ac:dyDescent="0.2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2:27" ht="15.75" customHeight="1" x14ac:dyDescent="0.2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2:27" ht="15.75" customHeight="1" x14ac:dyDescent="0.2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2:27" ht="15.75" customHeight="1" x14ac:dyDescent="0.2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2:27" ht="15.75" customHeight="1" x14ac:dyDescent="0.2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2:27" ht="15.75" customHeight="1" x14ac:dyDescent="0.2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2:27" ht="15.75" customHeight="1" x14ac:dyDescent="0.2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2:27" ht="15.75" customHeight="1" x14ac:dyDescent="0.2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2:27" ht="15.75" customHeight="1" x14ac:dyDescent="0.2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2:27" ht="15.75" customHeight="1" x14ac:dyDescent="0.2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2:27" ht="15.75" customHeight="1" x14ac:dyDescent="0.2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2:27" ht="15.75" customHeight="1" x14ac:dyDescent="0.2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2:27" ht="15.75" customHeight="1" x14ac:dyDescent="0.2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2:27" ht="15.75" customHeight="1" x14ac:dyDescent="0.2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2:27" ht="15.75" customHeight="1" x14ac:dyDescent="0.2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2:27" ht="15.75" customHeight="1" x14ac:dyDescent="0.2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2:27" ht="15.75" customHeight="1" x14ac:dyDescent="0.2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2:27" ht="15.75" customHeight="1" x14ac:dyDescent="0.2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2:27" ht="15.75" customHeight="1" x14ac:dyDescent="0.2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2:27" ht="15.75" customHeight="1" x14ac:dyDescent="0.2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2:27" ht="15.75" customHeight="1" x14ac:dyDescent="0.2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2:27" ht="15.75" customHeight="1" x14ac:dyDescent="0.2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2:27" ht="15.75" customHeight="1" x14ac:dyDescent="0.2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2:27" ht="15.75" customHeight="1" x14ac:dyDescent="0.2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2:27" ht="15.75" customHeight="1" x14ac:dyDescent="0.2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2:27" ht="15.75" customHeight="1" x14ac:dyDescent="0.2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2:27" ht="15.75" customHeight="1" x14ac:dyDescent="0.2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2:27" ht="15.75" customHeight="1" x14ac:dyDescent="0.2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2:27" ht="15.75" customHeight="1" x14ac:dyDescent="0.2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2:27" ht="15.75" customHeight="1" x14ac:dyDescent="0.2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2:27" ht="15.75" customHeight="1" x14ac:dyDescent="0.2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2:27" ht="15.75" customHeight="1" x14ac:dyDescent="0.2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2:27" ht="15.75" customHeight="1" x14ac:dyDescent="0.2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2:27" ht="15.75" customHeight="1" x14ac:dyDescent="0.2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2:27" ht="15.75" customHeight="1" x14ac:dyDescent="0.2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2:27" ht="15.75" customHeight="1" x14ac:dyDescent="0.2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2:27" ht="15.75" customHeight="1" x14ac:dyDescent="0.2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2:27" ht="15.75" customHeight="1" x14ac:dyDescent="0.2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2:27" ht="15.75" customHeight="1" x14ac:dyDescent="0.2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2:27" ht="15.75" customHeight="1" x14ac:dyDescent="0.2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2:27" ht="15.75" customHeight="1" x14ac:dyDescent="0.2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2:27" ht="15.75" customHeight="1" x14ac:dyDescent="0.2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2:27" ht="15.75" customHeight="1" x14ac:dyDescent="0.2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2:27" ht="15.75" customHeight="1" x14ac:dyDescent="0.2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2:27" ht="15.75" customHeight="1" x14ac:dyDescent="0.2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2:27" ht="15.75" customHeight="1" x14ac:dyDescent="0.2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2:27" ht="15.75" customHeight="1" x14ac:dyDescent="0.2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2:27" ht="15.75" customHeight="1" x14ac:dyDescent="0.2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2:27" ht="15.75" customHeight="1" x14ac:dyDescent="0.2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2:27" ht="15.75" customHeight="1" x14ac:dyDescent="0.2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2:27" ht="15.75" customHeight="1" x14ac:dyDescent="0.2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2:27" ht="15.75" customHeight="1" x14ac:dyDescent="0.2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2:27" ht="15.75" customHeight="1" x14ac:dyDescent="0.2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2:27" ht="15.75" customHeight="1" x14ac:dyDescent="0.2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2:27" ht="15.75" customHeight="1" x14ac:dyDescent="0.2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2:27" ht="15.75" customHeight="1" x14ac:dyDescent="0.2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2:27" ht="15.75" customHeight="1" x14ac:dyDescent="0.2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2:27" ht="15.75" customHeight="1" x14ac:dyDescent="0.2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2:27" ht="15.75" customHeight="1" x14ac:dyDescent="0.2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2:27" ht="15.75" customHeight="1" x14ac:dyDescent="0.2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2:27" ht="15.75" customHeight="1" x14ac:dyDescent="0.2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2:27" ht="15.75" customHeight="1" x14ac:dyDescent="0.2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2:27" ht="15.75" customHeight="1" x14ac:dyDescent="0.2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2:27" ht="15.75" customHeight="1" x14ac:dyDescent="0.2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2:27" ht="15.75" customHeight="1" x14ac:dyDescent="0.2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2:27" ht="15.75" customHeight="1" x14ac:dyDescent="0.2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2:27" ht="15.75" customHeight="1" x14ac:dyDescent="0.2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2:27" ht="15.75" customHeight="1" x14ac:dyDescent="0.2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2:27" ht="15.75" customHeight="1" x14ac:dyDescent="0.2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2:27" ht="15.75" customHeight="1" x14ac:dyDescent="0.2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2:27" ht="15.75" customHeight="1" x14ac:dyDescent="0.2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2:27" ht="15.75" customHeight="1" x14ac:dyDescent="0.2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2:27" ht="15.75" customHeight="1" x14ac:dyDescent="0.2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2:27" ht="15.75" customHeight="1" x14ac:dyDescent="0.2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2:27" ht="15.75" customHeight="1" x14ac:dyDescent="0.2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2:27" ht="15.75" customHeight="1" x14ac:dyDescent="0.2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2:27" ht="15.75" customHeight="1" x14ac:dyDescent="0.2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2:27" ht="15.75" customHeight="1" x14ac:dyDescent="0.2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2:27" ht="15.75" customHeight="1" x14ac:dyDescent="0.2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2:27" ht="15.75" customHeight="1" x14ac:dyDescent="0.2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2:27" ht="15.75" customHeight="1" x14ac:dyDescent="0.2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2:27" ht="15.75" customHeight="1" x14ac:dyDescent="0.2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2:27" ht="15.75" customHeight="1" x14ac:dyDescent="0.2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2:27" ht="15.75" customHeight="1" x14ac:dyDescent="0.2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2:27" ht="15.75" customHeight="1" x14ac:dyDescent="0.2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2:27" ht="15.75" customHeight="1" x14ac:dyDescent="0.2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2:27" ht="15.75" customHeight="1" x14ac:dyDescent="0.2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2:27" ht="15.75" customHeight="1" x14ac:dyDescent="0.2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2:27" ht="15.75" customHeight="1" x14ac:dyDescent="0.2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2:27" ht="15.75" customHeight="1" x14ac:dyDescent="0.2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2:27" ht="15.75" customHeight="1" x14ac:dyDescent="0.2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2:27" ht="15.75" customHeight="1" x14ac:dyDescent="0.2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2:27" ht="15.75" customHeight="1" x14ac:dyDescent="0.2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2:27" ht="15.75" customHeight="1" x14ac:dyDescent="0.2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2:27" ht="15.75" customHeight="1" x14ac:dyDescent="0.2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2:27" ht="15.75" customHeight="1" x14ac:dyDescent="0.2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2:27" ht="15.75" customHeight="1" x14ac:dyDescent="0.2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2:27" ht="15.75" customHeight="1" x14ac:dyDescent="0.2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2:27" ht="15.75" customHeight="1" x14ac:dyDescent="0.2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2:27" ht="15.75" customHeight="1" x14ac:dyDescent="0.2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2:27" ht="15.75" customHeight="1" x14ac:dyDescent="0.2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2:27" ht="15.75" customHeight="1" x14ac:dyDescent="0.2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2:27" ht="15.75" customHeight="1" x14ac:dyDescent="0.2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2:27" ht="15.75" customHeight="1" x14ac:dyDescent="0.2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2:27" ht="15.75" customHeight="1" x14ac:dyDescent="0.2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2:27" ht="15.75" customHeight="1" x14ac:dyDescent="0.2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2:27" ht="15.75" customHeight="1" x14ac:dyDescent="0.2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2:27" ht="15.75" customHeight="1" x14ac:dyDescent="0.2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2:27" ht="15.75" customHeight="1" x14ac:dyDescent="0.2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2:27" ht="15.75" customHeight="1" x14ac:dyDescent="0.2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2:27" ht="15.75" customHeight="1" x14ac:dyDescent="0.2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2:27" ht="15.75" customHeight="1" x14ac:dyDescent="0.2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2:27" ht="15.75" customHeight="1" x14ac:dyDescent="0.2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2:27" ht="15.75" customHeight="1" x14ac:dyDescent="0.2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2:27" ht="15.75" customHeight="1" x14ac:dyDescent="0.2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2:27" ht="15.75" customHeight="1" x14ac:dyDescent="0.2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2:27" ht="15.75" customHeight="1" x14ac:dyDescent="0.2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2:27" ht="15.75" customHeight="1" x14ac:dyDescent="0.2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2:27" ht="15.75" customHeight="1" x14ac:dyDescent="0.2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2:27" ht="15.75" customHeight="1" x14ac:dyDescent="0.2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2:27" ht="15.75" customHeight="1" x14ac:dyDescent="0.2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2:27" ht="15.75" customHeight="1" x14ac:dyDescent="0.2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2:27" ht="15.75" customHeight="1" x14ac:dyDescent="0.2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2:27" ht="15.75" customHeight="1" x14ac:dyDescent="0.2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2:27" ht="15.75" customHeight="1" x14ac:dyDescent="0.2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2:27" ht="15.75" customHeight="1" x14ac:dyDescent="0.2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2:27" ht="15.75" customHeight="1" x14ac:dyDescent="0.2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2:27" ht="15.75" customHeight="1" x14ac:dyDescent="0.2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2:27" ht="15.75" customHeight="1" x14ac:dyDescent="0.2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2:27" ht="15.75" customHeight="1" x14ac:dyDescent="0.2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2:27" ht="15.75" customHeight="1" x14ac:dyDescent="0.2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2:27" ht="15.75" customHeight="1" x14ac:dyDescent="0.2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2:27" ht="15.75" customHeight="1" x14ac:dyDescent="0.2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2:27" ht="15.75" customHeight="1" x14ac:dyDescent="0.2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2:27" ht="15.75" customHeight="1" x14ac:dyDescent="0.2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2:27" ht="15.75" customHeight="1" x14ac:dyDescent="0.2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2:27" ht="15.75" customHeight="1" x14ac:dyDescent="0.2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2:27" ht="15.75" customHeight="1" x14ac:dyDescent="0.2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2:27" ht="15.75" customHeight="1" x14ac:dyDescent="0.2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2:27" ht="15.75" customHeight="1" x14ac:dyDescent="0.2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2:27" ht="15.75" customHeight="1" x14ac:dyDescent="0.2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2:27" ht="15.75" customHeight="1" x14ac:dyDescent="0.2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2:27" ht="15.75" customHeight="1" x14ac:dyDescent="0.2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2:27" ht="15.75" customHeight="1" x14ac:dyDescent="0.2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2:27" ht="15.75" customHeight="1" x14ac:dyDescent="0.2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2:27" ht="15.75" customHeight="1" x14ac:dyDescent="0.2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2:27" ht="15.75" customHeight="1" x14ac:dyDescent="0.2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2:27" ht="15.75" customHeight="1" x14ac:dyDescent="0.2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2:27" ht="15.75" customHeight="1" x14ac:dyDescent="0.2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2:27" ht="15.75" customHeight="1" x14ac:dyDescent="0.2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2:27" ht="15.75" customHeight="1" x14ac:dyDescent="0.2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2:27" ht="15.75" customHeight="1" x14ac:dyDescent="0.2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2:27" ht="15.75" customHeight="1" x14ac:dyDescent="0.2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2:27" ht="15.75" customHeight="1" x14ac:dyDescent="0.2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2:27" ht="15.75" customHeight="1" x14ac:dyDescent="0.2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2:27" ht="15.75" customHeight="1" x14ac:dyDescent="0.2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2:27" ht="15.75" customHeight="1" x14ac:dyDescent="0.2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2:27" ht="15.75" customHeight="1" x14ac:dyDescent="0.2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2:27" ht="15.75" customHeight="1" x14ac:dyDescent="0.2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2:27" ht="15.75" customHeight="1" x14ac:dyDescent="0.2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2:27" ht="15.75" customHeight="1" x14ac:dyDescent="0.2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2:27" ht="15.75" customHeight="1" x14ac:dyDescent="0.2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2:27" ht="15.75" customHeight="1" x14ac:dyDescent="0.2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2:27" ht="15.75" customHeight="1" x14ac:dyDescent="0.2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2:27" ht="15.75" customHeight="1" x14ac:dyDescent="0.2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2:27" ht="15.75" customHeight="1" x14ac:dyDescent="0.2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2:27" ht="15.75" customHeight="1" x14ac:dyDescent="0.2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2:27" ht="15.75" customHeight="1" x14ac:dyDescent="0.2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2:27" ht="15.75" customHeight="1" x14ac:dyDescent="0.2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2:27" ht="15.75" customHeight="1" x14ac:dyDescent="0.2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2:27" ht="15.75" customHeight="1" x14ac:dyDescent="0.2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2:27" ht="15.75" customHeight="1" x14ac:dyDescent="0.2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2:27" ht="15.75" customHeight="1" x14ac:dyDescent="0.2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2:27" ht="15.75" customHeight="1" x14ac:dyDescent="0.2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2:27" ht="15.75" customHeight="1" x14ac:dyDescent="0.2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2:27" ht="15.75" customHeight="1" x14ac:dyDescent="0.2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2:27" ht="15.75" customHeight="1" x14ac:dyDescent="0.2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2:27" ht="15.75" customHeight="1" x14ac:dyDescent="0.2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2:27" ht="15.75" customHeight="1" x14ac:dyDescent="0.2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2:27" ht="15.75" customHeight="1" x14ac:dyDescent="0.2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2:27" ht="15.75" customHeight="1" x14ac:dyDescent="0.2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2:27" ht="15.75" customHeight="1" x14ac:dyDescent="0.2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2:27" ht="15.75" customHeight="1" x14ac:dyDescent="0.2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2:27" ht="15.75" customHeight="1" x14ac:dyDescent="0.2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2:27" ht="15.75" customHeight="1" x14ac:dyDescent="0.2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2:27" ht="15.75" customHeight="1" x14ac:dyDescent="0.2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2:27" ht="15.75" customHeight="1" x14ac:dyDescent="0.2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2:27" ht="15.75" customHeight="1" x14ac:dyDescent="0.2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2:27" ht="15.75" customHeight="1" x14ac:dyDescent="0.2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2:27" ht="15.75" customHeight="1" x14ac:dyDescent="0.2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2:27" ht="15.75" customHeight="1" x14ac:dyDescent="0.2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2:27" ht="15.75" customHeight="1" x14ac:dyDescent="0.2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2:27" ht="15.75" customHeight="1" x14ac:dyDescent="0.2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2:27" ht="15.75" customHeight="1" x14ac:dyDescent="0.2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2:27" ht="15.75" customHeight="1" x14ac:dyDescent="0.2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2:27" ht="15.75" customHeight="1" x14ac:dyDescent="0.2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2:27" ht="15.75" customHeight="1" x14ac:dyDescent="0.2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2:27" ht="15.75" customHeight="1" x14ac:dyDescent="0.2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2:27" ht="15.75" customHeight="1" x14ac:dyDescent="0.2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2:27" ht="15.75" customHeight="1" x14ac:dyDescent="0.2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2:27" ht="15.75" customHeight="1" x14ac:dyDescent="0.2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2:27" ht="15.75" customHeight="1" x14ac:dyDescent="0.2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2:27" ht="15.75" customHeight="1" x14ac:dyDescent="0.2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2:27" ht="15.75" customHeight="1" x14ac:dyDescent="0.2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2:27" ht="15.75" customHeight="1" x14ac:dyDescent="0.2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2:27" ht="15.75" customHeight="1" x14ac:dyDescent="0.2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2:27" ht="15.75" customHeight="1" x14ac:dyDescent="0.2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2:27" ht="15.75" customHeight="1" x14ac:dyDescent="0.2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2:27" ht="15.75" customHeight="1" x14ac:dyDescent="0.2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2:27" ht="15.75" customHeight="1" x14ac:dyDescent="0.2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2:27" ht="15.75" customHeight="1" x14ac:dyDescent="0.2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2:27" ht="15.75" customHeight="1" x14ac:dyDescent="0.2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2:27" ht="15.75" customHeight="1" x14ac:dyDescent="0.2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2:27" ht="15.75" customHeight="1" x14ac:dyDescent="0.2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2:27" ht="15.75" customHeight="1" x14ac:dyDescent="0.2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2:27" ht="15.75" customHeight="1" x14ac:dyDescent="0.2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2:27" ht="15.75" customHeight="1" x14ac:dyDescent="0.2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2:27" ht="15.75" customHeight="1" x14ac:dyDescent="0.2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2:27" ht="15.75" customHeight="1" x14ac:dyDescent="0.2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2:27" ht="15.75" customHeight="1" x14ac:dyDescent="0.2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2:27" ht="15.75" customHeight="1" x14ac:dyDescent="0.2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2:27" ht="15.75" customHeight="1" x14ac:dyDescent="0.2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2:27" ht="15.75" customHeight="1" x14ac:dyDescent="0.2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2:27" ht="15.75" customHeight="1" x14ac:dyDescent="0.2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2:27" ht="15.75" customHeight="1" x14ac:dyDescent="0.2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2:27" ht="15.75" customHeight="1" x14ac:dyDescent="0.2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2:27" ht="15.75" customHeight="1" x14ac:dyDescent="0.2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2:27" ht="15.75" customHeight="1" x14ac:dyDescent="0.2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2:27" ht="15.75" customHeight="1" x14ac:dyDescent="0.2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2:27" ht="15.75" customHeight="1" x14ac:dyDescent="0.2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2:27" ht="15.75" customHeight="1" x14ac:dyDescent="0.2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2:27" ht="15.75" customHeight="1" x14ac:dyDescent="0.2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2:27" ht="15.75" customHeight="1" x14ac:dyDescent="0.2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2:27" ht="15.75" customHeight="1" x14ac:dyDescent="0.2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2:27" ht="15.75" customHeight="1" x14ac:dyDescent="0.2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2:27" ht="15.75" customHeight="1" x14ac:dyDescent="0.2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2:27" ht="15.75" customHeight="1" x14ac:dyDescent="0.2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2:27" ht="15.75" customHeight="1" x14ac:dyDescent="0.2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2:27" ht="15.75" customHeight="1" x14ac:dyDescent="0.2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2:27" ht="15.75" customHeight="1" x14ac:dyDescent="0.2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2:27" ht="15.75" customHeight="1" x14ac:dyDescent="0.2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2:27" ht="15.75" customHeight="1" x14ac:dyDescent="0.2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2:27" ht="15.75" customHeight="1" x14ac:dyDescent="0.2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2:27" ht="15.75" customHeight="1" x14ac:dyDescent="0.2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2:27" ht="15.75" customHeight="1" x14ac:dyDescent="0.2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2:27" ht="15.75" customHeight="1" x14ac:dyDescent="0.2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2:27" ht="15.75" customHeight="1" x14ac:dyDescent="0.2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2:27" ht="15.75" customHeight="1" x14ac:dyDescent="0.2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2:27" ht="15.75" customHeight="1" x14ac:dyDescent="0.2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2:27" ht="15.75" customHeight="1" x14ac:dyDescent="0.2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2:27" ht="15.75" customHeight="1" x14ac:dyDescent="0.2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2:27" ht="15.75" customHeight="1" x14ac:dyDescent="0.2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2:27" ht="15.75" customHeight="1" x14ac:dyDescent="0.2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2:27" ht="15.75" customHeight="1" x14ac:dyDescent="0.2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2:27" ht="15.75" customHeight="1" x14ac:dyDescent="0.2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2:27" ht="15.75" customHeight="1" x14ac:dyDescent="0.2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2:27" ht="15.75" customHeight="1" x14ac:dyDescent="0.2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2:27" ht="15.75" customHeight="1" x14ac:dyDescent="0.2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2:27" ht="15.75" customHeight="1" x14ac:dyDescent="0.2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2:27" ht="15.75" customHeight="1" x14ac:dyDescent="0.2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2:27" ht="15.75" customHeight="1" x14ac:dyDescent="0.2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2:27" ht="15.75" customHeight="1" x14ac:dyDescent="0.2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2:27" ht="15.75" customHeight="1" x14ac:dyDescent="0.2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2:27" ht="15.75" customHeight="1" x14ac:dyDescent="0.2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2:27" ht="15.75" customHeight="1" x14ac:dyDescent="0.2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2:27" ht="15.75" customHeight="1" x14ac:dyDescent="0.2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2:27" ht="15.75" customHeight="1" x14ac:dyDescent="0.2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2:27" ht="15.75" customHeight="1" x14ac:dyDescent="0.2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2:27" ht="15.75" customHeight="1" x14ac:dyDescent="0.2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2:27" ht="15.75" customHeight="1" x14ac:dyDescent="0.2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2:27" ht="15.75" customHeight="1" x14ac:dyDescent="0.2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2:27" ht="15.75" customHeight="1" x14ac:dyDescent="0.2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2:27" ht="15.75" customHeight="1" x14ac:dyDescent="0.2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2:27" ht="15.75" customHeight="1" x14ac:dyDescent="0.2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2:27" ht="15.75" customHeight="1" x14ac:dyDescent="0.2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2:27" ht="15.75" customHeight="1" x14ac:dyDescent="0.2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2:27" ht="15.75" customHeight="1" x14ac:dyDescent="0.2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2:27" ht="15.75" customHeight="1" x14ac:dyDescent="0.2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2:27" ht="15.75" customHeight="1" x14ac:dyDescent="0.2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2:27" ht="15.75" customHeight="1" x14ac:dyDescent="0.2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2:27" ht="15.75" customHeight="1" x14ac:dyDescent="0.2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2:27" ht="15.75" customHeight="1" x14ac:dyDescent="0.2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2:27" ht="15.75" customHeight="1" x14ac:dyDescent="0.2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2:27" ht="15.75" customHeight="1" x14ac:dyDescent="0.2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2:27" ht="15.75" customHeight="1" x14ac:dyDescent="0.2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2:27" ht="15.75" customHeight="1" x14ac:dyDescent="0.2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2:27" ht="15.75" customHeight="1" x14ac:dyDescent="0.2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2:27" ht="15.75" customHeight="1" x14ac:dyDescent="0.2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2:27" ht="15.75" customHeight="1" x14ac:dyDescent="0.2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2:27" ht="15.75" customHeight="1" x14ac:dyDescent="0.2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2:27" ht="15.75" customHeight="1" x14ac:dyDescent="0.2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2:27" ht="15.75" customHeight="1" x14ac:dyDescent="0.2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2:27" ht="15.75" customHeight="1" x14ac:dyDescent="0.2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2:27" ht="15.75" customHeight="1" x14ac:dyDescent="0.2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2:27" ht="15.75" customHeight="1" x14ac:dyDescent="0.2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2:27" ht="15.75" customHeight="1" x14ac:dyDescent="0.2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2:27" ht="15.75" customHeight="1" x14ac:dyDescent="0.2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2:27" ht="15.75" customHeight="1" x14ac:dyDescent="0.2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2:27" ht="15.75" customHeight="1" x14ac:dyDescent="0.2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2:27" ht="15.75" customHeight="1" x14ac:dyDescent="0.2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2:27" ht="15.75" customHeight="1" x14ac:dyDescent="0.2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2:27" ht="15.75" customHeight="1" x14ac:dyDescent="0.2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2:27" ht="15.75" customHeight="1" x14ac:dyDescent="0.2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2:27" ht="15.75" customHeight="1" x14ac:dyDescent="0.2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2:27" ht="15.75" customHeight="1" x14ac:dyDescent="0.2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2:27" ht="15.75" customHeight="1" x14ac:dyDescent="0.2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2:27" ht="15.75" customHeight="1" x14ac:dyDescent="0.2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2:27" ht="15.75" customHeight="1" x14ac:dyDescent="0.2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2:27" ht="15.75" customHeight="1" x14ac:dyDescent="0.2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2:27" ht="15.75" customHeight="1" x14ac:dyDescent="0.2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2:27" ht="15.75" customHeight="1" x14ac:dyDescent="0.2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2:27" ht="15.75" customHeight="1" x14ac:dyDescent="0.2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2:27" ht="15.75" customHeight="1" x14ac:dyDescent="0.2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2:27" ht="15.75" customHeight="1" x14ac:dyDescent="0.2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2:27" ht="15.75" customHeight="1" x14ac:dyDescent="0.2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2:27" ht="15.75" customHeight="1" x14ac:dyDescent="0.2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2:27" ht="15.75" customHeight="1" x14ac:dyDescent="0.2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2:27" ht="15.75" customHeight="1" x14ac:dyDescent="0.2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2:27" ht="15.75" customHeight="1" x14ac:dyDescent="0.2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2:27" ht="15.75" customHeight="1" x14ac:dyDescent="0.2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2:27" ht="15.75" customHeight="1" x14ac:dyDescent="0.2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2:27" ht="15.75" customHeight="1" x14ac:dyDescent="0.2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2:27" ht="15.75" customHeight="1" x14ac:dyDescent="0.2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2:27" ht="15.75" customHeight="1" x14ac:dyDescent="0.2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2:27" ht="15.75" customHeight="1" x14ac:dyDescent="0.2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2:27" ht="15.75" customHeight="1" x14ac:dyDescent="0.2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2:27" ht="15.75" customHeight="1" x14ac:dyDescent="0.2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2:27" ht="15.75" customHeight="1" x14ac:dyDescent="0.2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2:27" ht="15.75" customHeight="1" x14ac:dyDescent="0.2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2:27" ht="15.75" customHeight="1" x14ac:dyDescent="0.2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2:27" ht="15.75" customHeight="1" x14ac:dyDescent="0.2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2:27" ht="15.75" customHeight="1" x14ac:dyDescent="0.2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2:27" ht="15.75" customHeight="1" x14ac:dyDescent="0.2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2:27" ht="15.75" customHeight="1" x14ac:dyDescent="0.2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2:27" ht="15.75" customHeight="1" x14ac:dyDescent="0.2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2:27" ht="15.75" customHeight="1" x14ac:dyDescent="0.2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2:27" ht="15.75" customHeight="1" x14ac:dyDescent="0.2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2:27" ht="15.75" customHeight="1" x14ac:dyDescent="0.2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2:27" ht="15.75" customHeight="1" x14ac:dyDescent="0.2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2:27" ht="15.75" customHeight="1" x14ac:dyDescent="0.2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2:27" ht="15.75" customHeight="1" x14ac:dyDescent="0.2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2:27" ht="15.75" customHeight="1" x14ac:dyDescent="0.2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2:27" ht="15.75" customHeight="1" x14ac:dyDescent="0.2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2:27" ht="15.75" customHeight="1" x14ac:dyDescent="0.2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2:27" ht="15.75" customHeight="1" x14ac:dyDescent="0.2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2:27" ht="15.75" customHeight="1" x14ac:dyDescent="0.2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2:27" ht="15.75" customHeight="1" x14ac:dyDescent="0.2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2:27" ht="15.75" customHeight="1" x14ac:dyDescent="0.2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2:27" ht="15.75" customHeight="1" x14ac:dyDescent="0.2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2:27" ht="15.75" customHeight="1" x14ac:dyDescent="0.2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2:27" ht="15.75" customHeight="1" x14ac:dyDescent="0.2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2:27" ht="15.75" customHeight="1" x14ac:dyDescent="0.2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2:27" ht="15.75" customHeight="1" x14ac:dyDescent="0.2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2:27" ht="15.75" customHeight="1" x14ac:dyDescent="0.2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2:27" ht="15.75" customHeight="1" x14ac:dyDescent="0.2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2:27" ht="15.75" customHeight="1" x14ac:dyDescent="0.2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2:27" ht="15.75" customHeight="1" x14ac:dyDescent="0.2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2:27" ht="15.75" customHeight="1" x14ac:dyDescent="0.2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2:27" ht="15.75" customHeight="1" x14ac:dyDescent="0.2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2:27" ht="15.75" customHeight="1" x14ac:dyDescent="0.2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2:27" ht="15.75" customHeight="1" x14ac:dyDescent="0.2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2:27" ht="15.75" customHeight="1" x14ac:dyDescent="0.2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2:27" ht="15.75" customHeight="1" x14ac:dyDescent="0.2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2:27" ht="15.75" customHeight="1" x14ac:dyDescent="0.2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2:27" ht="15.75" customHeight="1" x14ac:dyDescent="0.2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2:27" ht="15.75" customHeight="1" x14ac:dyDescent="0.2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2:27" ht="15.75" customHeight="1" x14ac:dyDescent="0.2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2:27" ht="15.75" customHeight="1" x14ac:dyDescent="0.2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2:27" ht="15.75" customHeight="1" x14ac:dyDescent="0.2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2:27" ht="15.75" customHeight="1" x14ac:dyDescent="0.2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2:27" ht="15.75" customHeight="1" x14ac:dyDescent="0.2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2:27" ht="15.75" customHeight="1" x14ac:dyDescent="0.2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2:27" ht="15.75" customHeight="1" x14ac:dyDescent="0.2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2:27" ht="15.75" customHeight="1" x14ac:dyDescent="0.2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2:27" ht="15.75" customHeight="1" x14ac:dyDescent="0.2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2:27" ht="15.75" customHeight="1" x14ac:dyDescent="0.2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2:27" ht="15.75" customHeight="1" x14ac:dyDescent="0.2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2:27" ht="15.75" customHeight="1" x14ac:dyDescent="0.2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2:27" ht="15.75" customHeight="1" x14ac:dyDescent="0.2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2:27" ht="15.75" customHeight="1" x14ac:dyDescent="0.2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2:27" ht="15.75" customHeight="1" x14ac:dyDescent="0.2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2:27" ht="15.75" customHeight="1" x14ac:dyDescent="0.2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2:27" ht="15.75" customHeight="1" x14ac:dyDescent="0.2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2:27" ht="15.75" customHeight="1" x14ac:dyDescent="0.2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2:27" ht="15.75" customHeight="1" x14ac:dyDescent="0.2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2:27" ht="15.75" customHeight="1" x14ac:dyDescent="0.2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2:27" ht="15.75" customHeight="1" x14ac:dyDescent="0.2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2:27" ht="15.75" customHeight="1" x14ac:dyDescent="0.2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2:27" ht="15.75" customHeight="1" x14ac:dyDescent="0.2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2:27" ht="15.75" customHeight="1" x14ac:dyDescent="0.2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2:27" ht="15.75" customHeight="1" x14ac:dyDescent="0.2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2:27" ht="15.75" customHeight="1" x14ac:dyDescent="0.2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2:27" ht="15.75" customHeight="1" x14ac:dyDescent="0.2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2:27" ht="15.75" customHeight="1" x14ac:dyDescent="0.2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2:27" ht="15.75" customHeight="1" x14ac:dyDescent="0.2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2:27" ht="15.75" customHeight="1" x14ac:dyDescent="0.2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2:27" ht="15.75" customHeight="1" x14ac:dyDescent="0.2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2:27" ht="15.75" customHeight="1" x14ac:dyDescent="0.2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2:27" ht="15.75" customHeight="1" x14ac:dyDescent="0.2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2:27" ht="15.75" customHeight="1" x14ac:dyDescent="0.2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2:27" ht="15.75" customHeight="1" x14ac:dyDescent="0.2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2:27" ht="15.75" customHeight="1" x14ac:dyDescent="0.2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2:27" ht="15.75" customHeight="1" x14ac:dyDescent="0.2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2:27" ht="15.75" customHeight="1" x14ac:dyDescent="0.2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2:27" ht="15.75" customHeight="1" x14ac:dyDescent="0.2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2:27" ht="15.75" customHeight="1" x14ac:dyDescent="0.2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2:27" ht="15.75" customHeight="1" x14ac:dyDescent="0.2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2:27" ht="15.75" customHeight="1" x14ac:dyDescent="0.2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2:27" ht="15.75" customHeight="1" x14ac:dyDescent="0.2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2:27" ht="15.75" customHeight="1" x14ac:dyDescent="0.2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2:27" ht="15.75" customHeight="1" x14ac:dyDescent="0.2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2:27" ht="15.75" customHeight="1" x14ac:dyDescent="0.2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2:27" ht="15.75" customHeight="1" x14ac:dyDescent="0.2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2:27" ht="15.75" customHeight="1" x14ac:dyDescent="0.2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2:27" ht="15.75" customHeight="1" x14ac:dyDescent="0.2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2:27" ht="15.75" customHeight="1" x14ac:dyDescent="0.2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2:27" ht="15.75" customHeight="1" x14ac:dyDescent="0.2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2:27" ht="15.75" customHeight="1" x14ac:dyDescent="0.2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2:27" ht="15.75" customHeight="1" x14ac:dyDescent="0.2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2:27" ht="15.75" customHeight="1" x14ac:dyDescent="0.2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2:27" ht="15.75" customHeight="1" x14ac:dyDescent="0.2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2:27" ht="15.75" customHeight="1" x14ac:dyDescent="0.2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2:27" ht="15.75" customHeight="1" x14ac:dyDescent="0.2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2:27" ht="15.75" customHeight="1" x14ac:dyDescent="0.2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2:27" ht="15.75" customHeight="1" x14ac:dyDescent="0.2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2:27" ht="15.75" customHeight="1" x14ac:dyDescent="0.2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2:27" ht="15.75" customHeight="1" x14ac:dyDescent="0.2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2:27" ht="15.75" customHeight="1" x14ac:dyDescent="0.2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2:27" ht="15.75" customHeight="1" x14ac:dyDescent="0.2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2:27" ht="15.75" customHeight="1" x14ac:dyDescent="0.2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2:27" ht="15.75" customHeight="1" x14ac:dyDescent="0.2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2:27" ht="15.75" customHeight="1" x14ac:dyDescent="0.2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2:27" ht="15.75" customHeight="1" x14ac:dyDescent="0.2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2:27" ht="15.75" customHeight="1" x14ac:dyDescent="0.2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2:27" ht="15.75" customHeight="1" x14ac:dyDescent="0.2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2:27" ht="15.75" customHeight="1" x14ac:dyDescent="0.2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2:27" ht="15.75" customHeight="1" x14ac:dyDescent="0.2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2:27" ht="15.75" customHeight="1" x14ac:dyDescent="0.2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2:27" ht="15.75" customHeight="1" x14ac:dyDescent="0.2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2:27" ht="15.75" customHeight="1" x14ac:dyDescent="0.2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2:27" ht="15.75" customHeight="1" x14ac:dyDescent="0.2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2:27" ht="15.75" customHeight="1" x14ac:dyDescent="0.2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2:27" ht="15.75" customHeight="1" x14ac:dyDescent="0.2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2:27" ht="15.75" customHeight="1" x14ac:dyDescent="0.2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2:27" ht="15.75" customHeight="1" x14ac:dyDescent="0.2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2:27" ht="15.75" customHeight="1" x14ac:dyDescent="0.2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2:27" ht="15.75" customHeight="1" x14ac:dyDescent="0.2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2:27" ht="15.75" customHeight="1" x14ac:dyDescent="0.2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2:27" ht="15.75" customHeight="1" x14ac:dyDescent="0.2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2:27" ht="15.75" customHeight="1" x14ac:dyDescent="0.2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2:27" ht="15.75" customHeight="1" x14ac:dyDescent="0.2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2:27" ht="15.75" customHeight="1" x14ac:dyDescent="0.2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2:27" ht="15.75" customHeight="1" x14ac:dyDescent="0.2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2:27" ht="15.75" customHeight="1" x14ac:dyDescent="0.2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2:27" ht="15.75" customHeight="1" x14ac:dyDescent="0.2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2:27" ht="15.75" customHeight="1" x14ac:dyDescent="0.2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2:27" ht="15.75" customHeight="1" x14ac:dyDescent="0.2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2:27" ht="15.75" customHeight="1" x14ac:dyDescent="0.2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2:27" ht="15.75" customHeight="1" x14ac:dyDescent="0.2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2:27" ht="15.75" customHeight="1" x14ac:dyDescent="0.2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2:27" ht="15.75" customHeight="1" x14ac:dyDescent="0.2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2:27" ht="15.75" customHeight="1" x14ac:dyDescent="0.2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2:27" ht="15.75" customHeight="1" x14ac:dyDescent="0.2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2:27" ht="15.75" customHeight="1" x14ac:dyDescent="0.2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2:27" ht="15.75" customHeight="1" x14ac:dyDescent="0.2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2:27" ht="15.75" customHeight="1" x14ac:dyDescent="0.2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2:27" ht="15.75" customHeight="1" x14ac:dyDescent="0.2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2:27" ht="15.75" customHeight="1" x14ac:dyDescent="0.2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2:27" ht="15.75" customHeight="1" x14ac:dyDescent="0.2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2:27" ht="15.75" customHeight="1" x14ac:dyDescent="0.2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2:27" ht="15.75" customHeight="1" x14ac:dyDescent="0.2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2:27" ht="15.75" customHeight="1" x14ac:dyDescent="0.2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2:27" ht="15.75" customHeight="1" x14ac:dyDescent="0.2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2:27" ht="15.75" customHeight="1" x14ac:dyDescent="0.2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2:27" ht="15.75" customHeight="1" x14ac:dyDescent="0.2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2:27" ht="15.75" customHeight="1" x14ac:dyDescent="0.2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2:27" ht="15.75" customHeight="1" x14ac:dyDescent="0.2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2:27" ht="15.75" customHeight="1" x14ac:dyDescent="0.2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2:27" ht="15.75" customHeight="1" x14ac:dyDescent="0.2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2:27" ht="15.75" customHeight="1" x14ac:dyDescent="0.2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2:27" ht="15.75" customHeight="1" x14ac:dyDescent="0.2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2:27" ht="15.75" customHeight="1" x14ac:dyDescent="0.2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2:27" ht="15.75" customHeight="1" x14ac:dyDescent="0.2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2:27" ht="15.75" customHeight="1" x14ac:dyDescent="0.2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2:27" ht="15.75" customHeight="1" x14ac:dyDescent="0.2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2:27" ht="15.75" customHeight="1" x14ac:dyDescent="0.2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2:27" ht="15.75" customHeight="1" x14ac:dyDescent="0.2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2:27" ht="15.75" customHeight="1" x14ac:dyDescent="0.2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2:27" ht="15.75" customHeight="1" x14ac:dyDescent="0.2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2:27" ht="15.75" customHeight="1" x14ac:dyDescent="0.2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2:27" ht="15.75" customHeight="1" x14ac:dyDescent="0.2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2:27" ht="15.75" customHeight="1" x14ac:dyDescent="0.2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2:27" ht="15.75" customHeight="1" x14ac:dyDescent="0.2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2:27" ht="15.75" customHeight="1" x14ac:dyDescent="0.2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2:27" ht="15.75" customHeight="1" x14ac:dyDescent="0.2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2:27" ht="15.75" customHeight="1" x14ac:dyDescent="0.2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2:27" ht="15.75" customHeight="1" x14ac:dyDescent="0.2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2:27" ht="15.75" customHeight="1" x14ac:dyDescent="0.2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2:27" ht="15.75" customHeight="1" x14ac:dyDescent="0.2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2:27" ht="15.75" customHeight="1" x14ac:dyDescent="0.2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2:27" ht="15.75" customHeight="1" x14ac:dyDescent="0.2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2:27" ht="15.75" customHeight="1" x14ac:dyDescent="0.2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2:27" ht="15.75" customHeight="1" x14ac:dyDescent="0.2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2:27" ht="15.75" customHeight="1" x14ac:dyDescent="0.2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2:27" ht="15.75" customHeight="1" x14ac:dyDescent="0.2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2:27" ht="15.75" customHeight="1" x14ac:dyDescent="0.2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2:27" ht="15.75" customHeight="1" x14ac:dyDescent="0.2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2:27" ht="15.75" customHeight="1" x14ac:dyDescent="0.2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2:27" ht="15.75" customHeight="1" x14ac:dyDescent="0.2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2:27" ht="15.75" customHeight="1" x14ac:dyDescent="0.2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2:27" ht="15.75" customHeight="1" x14ac:dyDescent="0.2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2:27" ht="15.75" customHeight="1" x14ac:dyDescent="0.2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2:27" ht="15.75" customHeight="1" x14ac:dyDescent="0.2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2:27" ht="15.75" customHeight="1" x14ac:dyDescent="0.2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2:27" ht="15.75" customHeight="1" x14ac:dyDescent="0.2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2:27" ht="15.75" customHeight="1" x14ac:dyDescent="0.2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2:27" ht="15.75" customHeight="1" x14ac:dyDescent="0.2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2:27" ht="15.75" customHeight="1" x14ac:dyDescent="0.2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2:27" ht="15.75" customHeight="1" x14ac:dyDescent="0.2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2:27" ht="15.75" customHeight="1" x14ac:dyDescent="0.2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2:27" ht="15.75" customHeight="1" x14ac:dyDescent="0.2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2:27" ht="15.75" customHeight="1" x14ac:dyDescent="0.2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2:27" ht="15.75" customHeight="1" x14ac:dyDescent="0.2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2:27" ht="15.75" customHeight="1" x14ac:dyDescent="0.2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2:27" ht="15.75" customHeight="1" x14ac:dyDescent="0.2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2:27" ht="15.75" customHeight="1" x14ac:dyDescent="0.2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2:27" ht="15.75" customHeight="1" x14ac:dyDescent="0.2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2:27" ht="15.75" customHeight="1" x14ac:dyDescent="0.2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2:27" ht="15.75" customHeight="1" x14ac:dyDescent="0.2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2:27" ht="15.75" customHeight="1" x14ac:dyDescent="0.2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2:27" ht="15.75" customHeight="1" x14ac:dyDescent="0.2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2:27" ht="15.75" customHeight="1" x14ac:dyDescent="0.2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2:27" ht="15.75" customHeight="1" x14ac:dyDescent="0.2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2:27" ht="15.75" customHeight="1" x14ac:dyDescent="0.2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2:27" ht="15.75" customHeight="1" x14ac:dyDescent="0.2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2:27" ht="15.75" customHeight="1" x14ac:dyDescent="0.2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2:27" ht="15.75" customHeight="1" x14ac:dyDescent="0.2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2:27" ht="15.75" customHeight="1" x14ac:dyDescent="0.2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2:27" ht="15.75" customHeight="1" x14ac:dyDescent="0.2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2:27" ht="15.75" customHeight="1" x14ac:dyDescent="0.2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2:27" ht="15.75" customHeight="1" x14ac:dyDescent="0.2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2:27" ht="15.75" customHeight="1" x14ac:dyDescent="0.2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2:27" ht="15.75" customHeight="1" x14ac:dyDescent="0.2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2:27" ht="15.75" customHeight="1" x14ac:dyDescent="0.2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2:27" ht="15.75" customHeight="1" x14ac:dyDescent="0.2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2:27" ht="15.75" customHeight="1" x14ac:dyDescent="0.2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2:27" ht="15.75" customHeight="1" x14ac:dyDescent="0.2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2:27" ht="15.75" customHeight="1" x14ac:dyDescent="0.2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2:27" ht="15.75" customHeight="1" x14ac:dyDescent="0.2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2:27" ht="15.75" customHeight="1" x14ac:dyDescent="0.2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2:27" ht="15.75" customHeight="1" x14ac:dyDescent="0.2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2:27" ht="15.75" customHeight="1" x14ac:dyDescent="0.2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2:27" ht="15.75" customHeight="1" x14ac:dyDescent="0.2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2:27" ht="15.75" customHeight="1" x14ac:dyDescent="0.2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2:27" ht="15.75" customHeight="1" x14ac:dyDescent="0.2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2:27" ht="15.75" customHeight="1" x14ac:dyDescent="0.2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2:27" ht="15.75" customHeight="1" x14ac:dyDescent="0.2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2:27" ht="15.75" customHeight="1" x14ac:dyDescent="0.2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2:27" ht="15.75" customHeight="1" x14ac:dyDescent="0.2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2:27" ht="15.75" customHeight="1" x14ac:dyDescent="0.2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2:27" ht="15.75" customHeight="1" x14ac:dyDescent="0.2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2:27" ht="15.75" customHeight="1" x14ac:dyDescent="0.2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2:27" ht="15.75" customHeight="1" x14ac:dyDescent="0.2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2:27" ht="15.75" customHeight="1" x14ac:dyDescent="0.2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2:27" ht="15.75" customHeight="1" x14ac:dyDescent="0.2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2:27" ht="15.75" customHeight="1" x14ac:dyDescent="0.2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2:27" ht="15.75" customHeight="1" x14ac:dyDescent="0.2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2:27" ht="15.75" customHeight="1" x14ac:dyDescent="0.2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2:27" ht="15.75" customHeight="1" x14ac:dyDescent="0.2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2:27" ht="15.75" customHeight="1" x14ac:dyDescent="0.2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2:27" ht="15.75" customHeight="1" x14ac:dyDescent="0.2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2:27" ht="15.75" customHeight="1" x14ac:dyDescent="0.2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2:27" ht="15.75" customHeight="1" x14ac:dyDescent="0.2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2:27" ht="15.75" customHeight="1" x14ac:dyDescent="0.2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2:27" ht="15.75" customHeight="1" x14ac:dyDescent="0.2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2:27" ht="15.75" customHeight="1" x14ac:dyDescent="0.2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2:27" ht="15.75" customHeight="1" x14ac:dyDescent="0.2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2:27" ht="15.75" customHeight="1" x14ac:dyDescent="0.2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2:27" ht="15.75" customHeight="1" x14ac:dyDescent="0.2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2:27" ht="15.75" customHeight="1" x14ac:dyDescent="0.2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2:27" ht="15.75" customHeight="1" x14ac:dyDescent="0.2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2:27" ht="15.75" customHeight="1" x14ac:dyDescent="0.2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2:27" ht="15.75" customHeight="1" x14ac:dyDescent="0.2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2:27" ht="15.75" customHeight="1" x14ac:dyDescent="0.2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2:27" ht="15.75" customHeight="1" x14ac:dyDescent="0.2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2:27" ht="15.75" customHeight="1" x14ac:dyDescent="0.2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2:27" ht="15.75" customHeight="1" x14ac:dyDescent="0.2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2:27" ht="15.75" customHeight="1" x14ac:dyDescent="0.2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2:27" ht="15.75" customHeight="1" x14ac:dyDescent="0.2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2:27" ht="15.75" customHeight="1" x14ac:dyDescent="0.2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2:27" ht="15.75" customHeight="1" x14ac:dyDescent="0.2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2:27" ht="15.75" customHeight="1" x14ac:dyDescent="0.2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2:27" ht="15.75" customHeight="1" x14ac:dyDescent="0.2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2:27" ht="15.75" customHeight="1" x14ac:dyDescent="0.2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2:27" ht="15.75" customHeight="1" x14ac:dyDescent="0.2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2:27" ht="15.75" customHeight="1" x14ac:dyDescent="0.2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2:27" ht="15.75" customHeight="1" x14ac:dyDescent="0.2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2:27" ht="15.75" customHeight="1" x14ac:dyDescent="0.2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2:27" ht="15.75" customHeight="1" x14ac:dyDescent="0.2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2:27" ht="15.75" customHeight="1" x14ac:dyDescent="0.2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2:27" ht="15.75" customHeight="1" x14ac:dyDescent="0.2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2:27" ht="15.75" customHeight="1" x14ac:dyDescent="0.2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2:27" ht="15.75" customHeight="1" x14ac:dyDescent="0.2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2:27" ht="15.75" customHeight="1" x14ac:dyDescent="0.2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2:27" ht="15.75" customHeight="1" x14ac:dyDescent="0.2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2:27" ht="15.75" customHeight="1" x14ac:dyDescent="0.2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2:27" ht="15.75" customHeight="1" x14ac:dyDescent="0.2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2:27" ht="15.75" customHeight="1" x14ac:dyDescent="0.2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2:27" ht="15.75" customHeight="1" x14ac:dyDescent="0.2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2:27" ht="15.75" customHeight="1" x14ac:dyDescent="0.2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2:27" ht="15.75" customHeight="1" x14ac:dyDescent="0.2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2:27" ht="15.75" customHeight="1" x14ac:dyDescent="0.2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2:27" ht="15.75" customHeight="1" x14ac:dyDescent="0.2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2:27" ht="15.75" customHeight="1" x14ac:dyDescent="0.2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2:27" ht="15.75" customHeight="1" x14ac:dyDescent="0.2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2:27" ht="15.75" customHeight="1" x14ac:dyDescent="0.2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2:27" ht="15.75" customHeight="1" x14ac:dyDescent="0.2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2:27" ht="15.75" customHeight="1" x14ac:dyDescent="0.2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2:27" ht="15.75" customHeight="1" x14ac:dyDescent="0.2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2:27" ht="15.75" customHeight="1" x14ac:dyDescent="0.2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2:27" ht="15.75" customHeight="1" x14ac:dyDescent="0.2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2:27" ht="15.75" customHeight="1" x14ac:dyDescent="0.2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2:27" ht="15.75" customHeight="1" x14ac:dyDescent="0.2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2:27" ht="15.75" customHeight="1" x14ac:dyDescent="0.2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2:27" ht="15.75" customHeight="1" x14ac:dyDescent="0.2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2:27" ht="15.75" customHeight="1" x14ac:dyDescent="0.2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2:27" ht="15.75" customHeight="1" x14ac:dyDescent="0.2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2:27" ht="15.75" customHeight="1" x14ac:dyDescent="0.2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2:27" ht="15.75" customHeight="1" x14ac:dyDescent="0.2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2:27" ht="15.75" customHeight="1" x14ac:dyDescent="0.2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2:27" ht="15.75" customHeight="1" x14ac:dyDescent="0.2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2:27" ht="15.75" customHeight="1" x14ac:dyDescent="0.2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2:27" ht="15.75" customHeight="1" x14ac:dyDescent="0.2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2:27" ht="15.75" customHeight="1" x14ac:dyDescent="0.2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2:27" ht="15.75" customHeight="1" x14ac:dyDescent="0.2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2:27" ht="15.75" customHeight="1" x14ac:dyDescent="0.2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2:27" ht="15.75" customHeight="1" x14ac:dyDescent="0.2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2:27" ht="15.75" customHeight="1" x14ac:dyDescent="0.2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2:27" ht="15.75" customHeight="1" x14ac:dyDescent="0.2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2:27" ht="15.75" customHeight="1" x14ac:dyDescent="0.2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2:27" ht="15.75" customHeight="1" x14ac:dyDescent="0.2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2:27" ht="15.75" customHeight="1" x14ac:dyDescent="0.2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2:27" ht="15.75" customHeight="1" x14ac:dyDescent="0.2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2:27" ht="15.75" customHeight="1" x14ac:dyDescent="0.2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2:27" ht="15.75" customHeight="1" x14ac:dyDescent="0.2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2:27" ht="15.75" customHeight="1" x14ac:dyDescent="0.2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2:27" ht="15.75" customHeight="1" x14ac:dyDescent="0.2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2:27" ht="15.75" customHeight="1" x14ac:dyDescent="0.2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2:27" ht="15.75" customHeight="1" x14ac:dyDescent="0.2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2:27" ht="15.75" customHeight="1" x14ac:dyDescent="0.2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2:27" ht="15.75" customHeight="1" x14ac:dyDescent="0.2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2:27" ht="15.75" customHeight="1" x14ac:dyDescent="0.2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2:27" ht="15.75" customHeight="1" x14ac:dyDescent="0.2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2:27" ht="15.75" customHeight="1" x14ac:dyDescent="0.2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2:27" ht="15.75" customHeight="1" x14ac:dyDescent="0.2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2:27" ht="15.75" customHeight="1" x14ac:dyDescent="0.2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2:27" ht="15.75" customHeight="1" x14ac:dyDescent="0.2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2:27" ht="15.75" customHeight="1" x14ac:dyDescent="0.2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2:27" ht="15.75" customHeight="1" x14ac:dyDescent="0.2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2:27" ht="15.75" customHeight="1" x14ac:dyDescent="0.2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2:27" ht="15.75" customHeight="1" x14ac:dyDescent="0.2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2:27" ht="15.75" customHeight="1" x14ac:dyDescent="0.2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2:27" ht="15.75" customHeight="1" x14ac:dyDescent="0.2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2:27" ht="15.75" customHeight="1" x14ac:dyDescent="0.2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2:27" ht="15.75" customHeight="1" x14ac:dyDescent="0.2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2:27" ht="15.75" customHeight="1" x14ac:dyDescent="0.2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2:27" ht="15.75" customHeight="1" x14ac:dyDescent="0.2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2:27" ht="15.75" customHeight="1" x14ac:dyDescent="0.2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2:27" ht="15.75" customHeight="1" x14ac:dyDescent="0.2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2:27" ht="15.75" customHeight="1" x14ac:dyDescent="0.2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2:27" ht="15.75" customHeight="1" x14ac:dyDescent="0.2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2:27" ht="15.75" customHeight="1" x14ac:dyDescent="0.2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2:27" ht="15.75" customHeight="1" x14ac:dyDescent="0.2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2:27" ht="15.75" customHeight="1" x14ac:dyDescent="0.2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2:27" ht="15.75" customHeight="1" x14ac:dyDescent="0.2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2:27" ht="15.75" customHeight="1" x14ac:dyDescent="0.2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2:27" ht="15.75" customHeight="1" x14ac:dyDescent="0.2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2:27" ht="15.75" customHeight="1" x14ac:dyDescent="0.2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2:27" ht="15.75" customHeight="1" x14ac:dyDescent="0.2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2:27" ht="15.75" customHeight="1" x14ac:dyDescent="0.2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2:27" ht="15.75" customHeight="1" x14ac:dyDescent="0.2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2:27" ht="15.75" customHeight="1" x14ac:dyDescent="0.2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2:27" ht="15.75" customHeight="1" x14ac:dyDescent="0.2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2:27" ht="15.75" customHeight="1" x14ac:dyDescent="0.2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2:27" ht="15.75" customHeight="1" x14ac:dyDescent="0.2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2:27" ht="15.75" customHeight="1" x14ac:dyDescent="0.2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2:27" ht="15.75" customHeight="1" x14ac:dyDescent="0.2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2:27" ht="15.75" customHeight="1" x14ac:dyDescent="0.2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2:27" ht="15.75" customHeight="1" x14ac:dyDescent="0.2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2:27" ht="15.75" customHeight="1" x14ac:dyDescent="0.2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2:27" ht="15.75" customHeight="1" x14ac:dyDescent="0.2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2:27" ht="15.75" customHeight="1" x14ac:dyDescent="0.2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2:27" ht="15.75" customHeight="1" x14ac:dyDescent="0.2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2:27" ht="15.75" customHeight="1" x14ac:dyDescent="0.2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2:27" ht="15.75" customHeight="1" x14ac:dyDescent="0.2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2:27" ht="15.75" customHeight="1" x14ac:dyDescent="0.2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2:27" ht="15.75" customHeight="1" x14ac:dyDescent="0.2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2:27" ht="15.75" customHeight="1" x14ac:dyDescent="0.2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2:27" ht="15.75" customHeight="1" x14ac:dyDescent="0.2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2:27" ht="15.75" customHeight="1" x14ac:dyDescent="0.2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2:27" ht="15.75" customHeight="1" x14ac:dyDescent="0.2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2:27" ht="15.75" customHeight="1" x14ac:dyDescent="0.2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2:27" ht="15.75" customHeight="1" x14ac:dyDescent="0.2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2:27" ht="15.75" customHeight="1" x14ac:dyDescent="0.2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</sheetData>
  <mergeCells count="36">
    <mergeCell ref="N17:N25"/>
    <mergeCell ref="B26:N26"/>
    <mergeCell ref="B29:G29"/>
    <mergeCell ref="H14:J15"/>
    <mergeCell ref="B27:B28"/>
    <mergeCell ref="C27:C28"/>
    <mergeCell ref="D27:D28"/>
    <mergeCell ref="E27:G28"/>
    <mergeCell ref="D30:D31"/>
    <mergeCell ref="E30:G31"/>
    <mergeCell ref="B11:F15"/>
    <mergeCell ref="B16:M16"/>
    <mergeCell ref="H11:I11"/>
    <mergeCell ref="K11:M11"/>
    <mergeCell ref="H12:I12"/>
    <mergeCell ref="K12:M12"/>
    <mergeCell ref="H13:I13"/>
    <mergeCell ref="K13:M13"/>
    <mergeCell ref="B6:B7"/>
    <mergeCell ref="C6:F7"/>
    <mergeCell ref="N6:P11"/>
    <mergeCell ref="K7:M7"/>
    <mergeCell ref="B8:M8"/>
    <mergeCell ref="G9:G15"/>
    <mergeCell ref="H9:I9"/>
    <mergeCell ref="K9:M9"/>
    <mergeCell ref="H10:I10"/>
    <mergeCell ref="K10:M10"/>
    <mergeCell ref="C2:F2"/>
    <mergeCell ref="G2:G7"/>
    <mergeCell ref="K2:M3"/>
    <mergeCell ref="C3:F3"/>
    <mergeCell ref="C4:F4"/>
    <mergeCell ref="K4:M4"/>
    <mergeCell ref="C5:F5"/>
    <mergeCell ref="K5:M6"/>
  </mergeCell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A3F22354-9ED0-4A41-AD72-3D8C4F4F7D8B}">
          <x14:formula1>
            <xm:f>Lists!$J$2:$J$25</xm:f>
          </x14:formula1>
          <xm:sqref>C2</xm:sqref>
        </x14:dataValidation>
        <x14:dataValidation type="list" allowBlank="1" showInputMessage="1" showErrorMessage="1" xr:uid="{EEB1B97F-F248-F048-8823-2062C33BA3B1}">
          <x14:formula1>
            <xm:f>Lists!$E$2:$E$10</xm:f>
          </x14:formula1>
          <xm:sqref>E10</xm:sqref>
        </x14:dataValidation>
        <x14:dataValidation type="list" allowBlank="1" showInputMessage="1" showErrorMessage="1" xr:uid="{FCA583E7-B243-864A-8BE9-0B391C1A7190}">
          <x14:formula1>
            <xm:f>Lists!$G$2:$G$9</xm:f>
          </x14:formula1>
          <xm:sqref>B10</xm:sqref>
        </x14:dataValidation>
        <x14:dataValidation type="list" allowBlank="1" showInputMessage="1" showErrorMessage="1" xr:uid="{239DA621-6F0B-034A-B880-B145609F82BF}">
          <x14:formula1>
            <xm:f>Lists!$B$2:$B$21</xm:f>
          </x14:formula1>
          <xm:sqref>C10</xm:sqref>
        </x14:dataValidation>
        <x14:dataValidation type="list" allowBlank="1" showInputMessage="1" showErrorMessage="1" xr:uid="{3367AD27-F47E-6044-9F6D-AF2B7A43E36F}">
          <x14:formula1>
            <xm:f>Lists!$M$2:$M$97</xm:f>
          </x14:formula1>
          <xm:sqref>D10 F10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D88E-BCC1-0645-9799-623E9539ED2E}">
  <sheetPr codeName="Sheet6"/>
  <dimension ref="A1:AA909"/>
  <sheetViews>
    <sheetView zoomScale="60" workbookViewId="0">
      <selection activeCell="C4" sqref="C4:F4"/>
    </sheetView>
  </sheetViews>
  <sheetFormatPr baseColWidth="10" defaultColWidth="10.140625" defaultRowHeight="15" customHeight="1" x14ac:dyDescent="0.2"/>
  <cols>
    <col min="1" max="1" width="5.42578125" customWidth="1"/>
    <col min="2" max="2" width="25" customWidth="1"/>
    <col min="3" max="6" width="25.7109375" customWidth="1"/>
    <col min="7" max="13" width="25.5703125" customWidth="1"/>
    <col min="14" max="24" width="26" customWidth="1"/>
    <col min="25" max="27" width="11.42578125" customWidth="1"/>
  </cols>
  <sheetData>
    <row r="1" spans="1:27" ht="15" customHeight="1" thickBot="1" x14ac:dyDescent="0.25"/>
    <row r="2" spans="1:27" ht="46" customHeight="1" x14ac:dyDescent="0.2">
      <c r="B2" s="22" t="s">
        <v>104</v>
      </c>
      <c r="C2" s="235" t="s">
        <v>111</v>
      </c>
      <c r="D2" s="235"/>
      <c r="E2" s="235"/>
      <c r="F2" s="236"/>
      <c r="G2" s="218"/>
      <c r="H2" s="78" t="s">
        <v>242</v>
      </c>
      <c r="I2" s="65"/>
      <c r="J2" s="66" t="s">
        <v>243</v>
      </c>
      <c r="K2" s="203" t="s">
        <v>276</v>
      </c>
      <c r="L2" s="201"/>
      <c r="M2" s="201"/>
      <c r="N2" s="4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4" customHeight="1" x14ac:dyDescent="0.2">
      <c r="B3" s="23" t="s">
        <v>105</v>
      </c>
      <c r="C3" s="222" t="s">
        <v>12</v>
      </c>
      <c r="D3" s="222"/>
      <c r="E3" s="222"/>
      <c r="F3" s="223"/>
      <c r="G3" s="218"/>
      <c r="H3" s="79">
        <v>3.28</v>
      </c>
      <c r="I3" s="64" t="s">
        <v>224</v>
      </c>
      <c r="J3" s="52">
        <f>(H7*$C$27*$C$31)-SUM(J4:J6)</f>
        <v>62.399999999999977</v>
      </c>
      <c r="K3" s="203"/>
      <c r="L3" s="201"/>
      <c r="M3" s="20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4" customHeight="1" x14ac:dyDescent="0.2">
      <c r="B4" s="23" t="s">
        <v>9</v>
      </c>
      <c r="C4" s="222">
        <v>5</v>
      </c>
      <c r="D4" s="222"/>
      <c r="E4" s="222"/>
      <c r="F4" s="223"/>
      <c r="G4" s="218"/>
      <c r="H4" s="79">
        <v>3</v>
      </c>
      <c r="I4" s="64" t="s">
        <v>225</v>
      </c>
      <c r="J4" s="52">
        <f>ROUNDUP(3*$C$27*$C$31,0)</f>
        <v>58</v>
      </c>
      <c r="K4" s="210"/>
      <c r="L4" s="211"/>
      <c r="M4" s="21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4" customHeight="1" x14ac:dyDescent="0.2">
      <c r="B5" s="23" t="s">
        <v>10</v>
      </c>
      <c r="C5" s="222">
        <v>12</v>
      </c>
      <c r="D5" s="222"/>
      <c r="E5" s="222"/>
      <c r="F5" s="223"/>
      <c r="G5" s="218"/>
      <c r="H5" s="79">
        <v>0.12</v>
      </c>
      <c r="I5" s="64" t="s">
        <v>240</v>
      </c>
      <c r="J5" s="52">
        <f>ROUNDUP(H5*$C$27*$C$31,1)</f>
        <v>2.4</v>
      </c>
      <c r="K5" s="203" t="s">
        <v>248</v>
      </c>
      <c r="L5" s="201"/>
      <c r="M5" s="201"/>
      <c r="N5" s="68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9" customHeight="1" x14ac:dyDescent="0.2">
      <c r="B6" s="182" t="s">
        <v>277</v>
      </c>
      <c r="C6" s="193"/>
      <c r="D6" s="193"/>
      <c r="E6" s="193"/>
      <c r="F6" s="194"/>
      <c r="G6" s="218"/>
      <c r="H6" s="79">
        <v>0.6</v>
      </c>
      <c r="I6" s="64" t="s">
        <v>226</v>
      </c>
      <c r="J6" s="52">
        <f>ROUNDUP(H6*$C$27*$C$31,1)</f>
        <v>11.6</v>
      </c>
      <c r="K6" s="203"/>
      <c r="L6" s="201"/>
      <c r="M6" s="201"/>
      <c r="N6" s="184" t="s">
        <v>269</v>
      </c>
      <c r="O6" s="185"/>
      <c r="P6" s="186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9" customHeight="1" thickBot="1" x14ac:dyDescent="0.25">
      <c r="B7" s="183"/>
      <c r="C7" s="195"/>
      <c r="D7" s="195"/>
      <c r="E7" s="195"/>
      <c r="F7" s="196"/>
      <c r="G7" s="218"/>
      <c r="H7" s="80">
        <f>SUM(H3:H6)</f>
        <v>6.9999999999999991</v>
      </c>
      <c r="I7" s="67" t="s">
        <v>241</v>
      </c>
      <c r="J7" s="81">
        <f>ROUNDUP(H7*$C$27*$C$31,0)</f>
        <v>135</v>
      </c>
      <c r="K7" s="226"/>
      <c r="L7" s="227"/>
      <c r="M7" s="228"/>
      <c r="N7" s="187"/>
      <c r="O7" s="188"/>
      <c r="P7" s="189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22" customHeight="1" thickBot="1" x14ac:dyDescent="0.25">
      <c r="A8" s="77"/>
      <c r="B8" s="152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217"/>
      <c r="N8" s="187"/>
      <c r="O8" s="188"/>
      <c r="P8" s="189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s="19" customFormat="1" ht="40" customHeight="1" x14ac:dyDescent="0.2">
      <c r="B9" s="85" t="s">
        <v>125</v>
      </c>
      <c r="C9" s="86" t="s">
        <v>17</v>
      </c>
      <c r="D9" s="87" t="s">
        <v>122</v>
      </c>
      <c r="E9" s="88" t="s">
        <v>123</v>
      </c>
      <c r="F9" s="89" t="s">
        <v>124</v>
      </c>
      <c r="G9" s="219"/>
      <c r="H9" s="215" t="s">
        <v>223</v>
      </c>
      <c r="I9" s="216"/>
      <c r="J9" s="50">
        <v>1</v>
      </c>
      <c r="K9" s="213" t="s">
        <v>249</v>
      </c>
      <c r="L9" s="213"/>
      <c r="M9" s="214"/>
      <c r="N9" s="187"/>
      <c r="O9" s="188"/>
      <c r="P9" s="189"/>
    </row>
    <row r="10" spans="1:27" s="20" customFormat="1" ht="47" customHeight="1" thickBot="1" x14ac:dyDescent="0.25">
      <c r="B10" s="26" t="s">
        <v>57</v>
      </c>
      <c r="C10" s="35" t="s">
        <v>110</v>
      </c>
      <c r="D10" s="35" t="s">
        <v>221</v>
      </c>
      <c r="E10" s="27" t="s">
        <v>101</v>
      </c>
      <c r="F10" s="28" t="s">
        <v>220</v>
      </c>
      <c r="G10" s="219"/>
      <c r="H10" s="197" t="s">
        <v>230</v>
      </c>
      <c r="I10" s="198"/>
      <c r="J10" s="82">
        <f>H7*$C$30</f>
        <v>7.6999999999999993</v>
      </c>
      <c r="K10" s="201" t="s">
        <v>265</v>
      </c>
      <c r="L10" s="201"/>
      <c r="M10" s="202"/>
      <c r="N10" s="187"/>
      <c r="O10" s="188"/>
      <c r="P10" s="189"/>
    </row>
    <row r="11" spans="1:27" s="20" customFormat="1" ht="46" customHeight="1" x14ac:dyDescent="0.2">
      <c r="B11" s="178"/>
      <c r="C11" s="178"/>
      <c r="D11" s="178"/>
      <c r="E11" s="178"/>
      <c r="F11" s="178"/>
      <c r="G11" s="219"/>
      <c r="H11" s="197" t="s">
        <v>34</v>
      </c>
      <c r="I11" s="198"/>
      <c r="J11" s="82">
        <f>C4*$C$30</f>
        <v>5.5</v>
      </c>
      <c r="K11" s="203" t="s">
        <v>266</v>
      </c>
      <c r="L11" s="201"/>
      <c r="M11" s="202"/>
      <c r="N11" s="190"/>
      <c r="O11" s="191"/>
      <c r="P11" s="192"/>
    </row>
    <row r="12" spans="1:27" s="20" customFormat="1" ht="46" customHeight="1" x14ac:dyDescent="0.2">
      <c r="B12" s="219"/>
      <c r="C12" s="219"/>
      <c r="D12" s="219"/>
      <c r="E12" s="219"/>
      <c r="F12" s="219"/>
      <c r="G12" s="219"/>
      <c r="H12" s="197" t="s">
        <v>258</v>
      </c>
      <c r="I12" s="198"/>
      <c r="J12" s="51">
        <f>SUM(J10:J11)</f>
        <v>13.2</v>
      </c>
      <c r="K12" s="213" t="s">
        <v>267</v>
      </c>
      <c r="L12" s="213"/>
      <c r="M12" s="213"/>
      <c r="N12" s="47"/>
    </row>
    <row r="13" spans="1:27" s="20" customFormat="1" ht="46" customHeight="1" thickBot="1" x14ac:dyDescent="0.25">
      <c r="B13" s="219"/>
      <c r="C13" s="219"/>
      <c r="D13" s="219"/>
      <c r="E13" s="219"/>
      <c r="F13" s="219"/>
      <c r="G13" s="219"/>
      <c r="H13" s="229" t="s">
        <v>257</v>
      </c>
      <c r="I13" s="230"/>
      <c r="J13" s="84">
        <f>C5</f>
        <v>12</v>
      </c>
      <c r="K13" s="201" t="s">
        <v>268</v>
      </c>
      <c r="L13" s="201"/>
      <c r="M13" s="201"/>
      <c r="N13" s="47"/>
    </row>
    <row r="14" spans="1:27" s="20" customFormat="1" ht="47" customHeight="1" x14ac:dyDescent="0.2">
      <c r="B14" s="219"/>
      <c r="C14" s="219"/>
      <c r="D14" s="219"/>
      <c r="E14" s="219"/>
      <c r="F14" s="219"/>
      <c r="G14" s="219"/>
      <c r="H14" s="178"/>
      <c r="I14" s="178"/>
      <c r="J14" s="178"/>
      <c r="K14" s="83"/>
      <c r="N14" s="47"/>
    </row>
    <row r="15" spans="1:27" s="20" customFormat="1" ht="8" customHeight="1" x14ac:dyDescent="0.2">
      <c r="B15" s="219"/>
      <c r="C15" s="219"/>
      <c r="D15" s="219"/>
      <c r="E15" s="219"/>
      <c r="F15" s="219"/>
      <c r="G15" s="219"/>
      <c r="H15" s="219"/>
      <c r="I15" s="219"/>
      <c r="J15" s="219"/>
    </row>
    <row r="16" spans="1:27" ht="50" customHeight="1" thickBot="1" x14ac:dyDescent="0.25"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21" customHeight="1" x14ac:dyDescent="0.2">
      <c r="A17" s="36"/>
      <c r="B17" s="37">
        <v>1</v>
      </c>
      <c r="C17" s="37">
        <v>2</v>
      </c>
      <c r="D17" s="37">
        <v>3</v>
      </c>
      <c r="E17" s="37">
        <v>4</v>
      </c>
      <c r="F17" s="37">
        <v>5</v>
      </c>
      <c r="G17" s="37">
        <v>6</v>
      </c>
      <c r="H17" s="37">
        <v>7</v>
      </c>
      <c r="I17" s="37">
        <v>8</v>
      </c>
      <c r="J17" s="37">
        <v>9</v>
      </c>
      <c r="K17" s="37">
        <v>10</v>
      </c>
      <c r="L17" s="37">
        <v>11</v>
      </c>
      <c r="M17" s="38">
        <v>12</v>
      </c>
      <c r="N17" s="15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66" customHeight="1" x14ac:dyDescent="0.2">
      <c r="A18" s="39" t="s">
        <v>26</v>
      </c>
      <c r="B18" s="4"/>
      <c r="C18" s="5"/>
      <c r="D18" s="4"/>
      <c r="E18" s="5"/>
      <c r="F18" s="4"/>
      <c r="G18" s="5"/>
      <c r="H18" s="4"/>
      <c r="I18" s="5"/>
      <c r="J18" s="4"/>
      <c r="K18" s="108" t="str">
        <f>IF(ISBLANK('Plate Map'!K5),"",'Plate Map'!K5)</f>
        <v>S1</v>
      </c>
      <c r="L18" s="111" t="str">
        <f>IF(ISBLANK('Plate Map'!L5),"",'Plate Map'!L5)</f>
        <v>S7</v>
      </c>
      <c r="M18" s="40"/>
      <c r="N18" s="15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66" customHeight="1" x14ac:dyDescent="0.2">
      <c r="A19" s="39" t="s">
        <v>27</v>
      </c>
      <c r="B19" s="5"/>
      <c r="C19" s="4"/>
      <c r="D19" s="5"/>
      <c r="E19" s="4"/>
      <c r="F19" s="5"/>
      <c r="G19" s="4"/>
      <c r="H19" s="5"/>
      <c r="I19" s="4"/>
      <c r="J19" s="5"/>
      <c r="K19" s="111" t="str">
        <f>IF(ISBLANK('Plate Map'!K6),"",'Plate Map'!K6)</f>
        <v>S2</v>
      </c>
      <c r="L19" s="108" t="str">
        <f>IF(ISBLANK('Plate Map'!L6),"",'Plate Map'!L6)</f>
        <v>S8</v>
      </c>
      <c r="M19" s="41"/>
      <c r="N19" s="15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66" customHeight="1" x14ac:dyDescent="0.2">
      <c r="A20" s="39" t="s">
        <v>28</v>
      </c>
      <c r="B20" s="4"/>
      <c r="C20" s="5"/>
      <c r="D20" s="4"/>
      <c r="E20" s="5"/>
      <c r="F20" s="4"/>
      <c r="G20" s="5"/>
      <c r="H20" s="4"/>
      <c r="I20" s="5"/>
      <c r="J20" s="4"/>
      <c r="K20" s="108" t="str">
        <f>IF(ISBLANK('Plate Map'!K7),"",'Plate Map'!K7)</f>
        <v>S3</v>
      </c>
      <c r="L20" s="111" t="str">
        <f>IF(ISBLANK('Plate Map'!L7),"",'Plate Map'!L7)</f>
        <v>S9</v>
      </c>
      <c r="M20" s="40"/>
      <c r="N20" s="15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66" customHeight="1" x14ac:dyDescent="0.2">
      <c r="A21" s="39" t="s">
        <v>29</v>
      </c>
      <c r="B21" s="5"/>
      <c r="C21" s="4"/>
      <c r="D21" s="5"/>
      <c r="E21" s="4"/>
      <c r="F21" s="5"/>
      <c r="G21" s="4"/>
      <c r="H21" s="5"/>
      <c r="I21" s="4"/>
      <c r="J21" s="5"/>
      <c r="K21" s="111" t="str">
        <f>IF(ISBLANK('Plate Map'!K8),"",'Plate Map'!K8)</f>
        <v>S4</v>
      </c>
      <c r="L21" s="108" t="str">
        <f>IF(ISBLANK('Plate Map'!L8),"",'Plate Map'!L8)</f>
        <v>S10</v>
      </c>
      <c r="M21" s="41"/>
      <c r="N21" s="15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66" customHeight="1" x14ac:dyDescent="0.2">
      <c r="A22" s="39" t="s">
        <v>30</v>
      </c>
      <c r="B22" s="69"/>
      <c r="C22" s="70"/>
      <c r="D22" s="4"/>
      <c r="E22" s="5"/>
      <c r="F22" s="4"/>
      <c r="G22" s="5"/>
      <c r="H22" s="4"/>
      <c r="I22" s="5"/>
      <c r="J22" s="4"/>
      <c r="K22" s="109" t="str">
        <f>IF(ISBLANK('Plate Map'!K9),"",'Plate Map'!K9)</f>
        <v>S5</v>
      </c>
      <c r="L22" s="112" t="str">
        <f>IF(ISBLANK('Plate Map'!L9),"",'Plate Map'!L9)</f>
        <v>S11</v>
      </c>
      <c r="M22" s="40"/>
      <c r="N22" s="15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66" customHeight="1" x14ac:dyDescent="0.2">
      <c r="A23" s="39" t="s">
        <v>31</v>
      </c>
      <c r="B23" s="5"/>
      <c r="C23" s="4"/>
      <c r="D23" s="5"/>
      <c r="E23" s="4"/>
      <c r="F23" s="5"/>
      <c r="G23" s="4"/>
      <c r="H23" s="5"/>
      <c r="I23" s="4"/>
      <c r="J23" s="5"/>
      <c r="K23" s="111" t="str">
        <f>IF(ISBLANK('Plate Map'!K10),"",'Plate Map'!K10)</f>
        <v>S6</v>
      </c>
      <c r="L23" s="108" t="str">
        <f>IF(ISBLANK('Plate Map'!L10),"",'Plate Map'!L10)</f>
        <v>S12</v>
      </c>
      <c r="M23" s="41"/>
      <c r="N23" s="15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66" customHeight="1" x14ac:dyDescent="0.2">
      <c r="A24" s="39" t="s">
        <v>32</v>
      </c>
      <c r="B24" s="4"/>
      <c r="C24" s="5"/>
      <c r="D24" s="4"/>
      <c r="E24" s="5"/>
      <c r="F24" s="4"/>
      <c r="G24" s="5"/>
      <c r="H24" s="4"/>
      <c r="I24" s="5"/>
      <c r="J24" s="4"/>
      <c r="K24" s="108" t="str">
        <f>IF(ISBLANK('Plate Map'!K11),"",'Plate Map'!K11)</f>
        <v>EBLANK</v>
      </c>
      <c r="L24" s="111" t="str">
        <f>IF(ISBLANK('Plate Map'!L11),"",'Plate Map'!L11)</f>
        <v>EBLANK</v>
      </c>
      <c r="M24" s="40"/>
      <c r="N24" s="15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66" customHeight="1" thickBot="1" x14ac:dyDescent="0.25">
      <c r="A25" s="42" t="s">
        <v>33</v>
      </c>
      <c r="B25" s="43"/>
      <c r="C25" s="44"/>
      <c r="D25" s="43"/>
      <c r="E25" s="44"/>
      <c r="F25" s="43"/>
      <c r="G25" s="44"/>
      <c r="H25" s="43"/>
      <c r="I25" s="44"/>
      <c r="J25" s="43"/>
      <c r="K25" s="113" t="str">
        <f>IF(ISBLANK('Plate Map'!K12),"",'Plate Map'!K12)</f>
        <v>PPC</v>
      </c>
      <c r="L25" s="110" t="str">
        <f>IF(ISBLANK('Plate Map'!L12),"",'Plate Map'!L12)</f>
        <v>PNC</v>
      </c>
      <c r="M25" s="45"/>
      <c r="N25" s="15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21" customHeight="1" thickBot="1" x14ac:dyDescent="0.25">
      <c r="B26" s="237"/>
      <c r="C26" s="237"/>
      <c r="D26" s="237"/>
      <c r="E26" s="237"/>
      <c r="F26" s="237"/>
      <c r="G26" s="237"/>
      <c r="H26" s="237"/>
      <c r="I26" s="237"/>
      <c r="J26" s="237"/>
      <c r="K26" s="237"/>
      <c r="L26" s="237"/>
      <c r="M26" s="237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25" customHeight="1" x14ac:dyDescent="0.2">
      <c r="B27" s="233" t="s">
        <v>231</v>
      </c>
      <c r="C27" s="155">
        <f>COUNTIF('Plate Map'!K5:'Plate Map'!L12,"&lt;&gt;"&amp;"")</f>
        <v>16</v>
      </c>
      <c r="D27" s="157" t="s">
        <v>250</v>
      </c>
      <c r="E27" s="159" t="s">
        <v>251</v>
      </c>
      <c r="F27" s="159"/>
      <c r="G27" s="160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25" customHeight="1" thickBot="1" x14ac:dyDescent="0.25">
      <c r="B28" s="234"/>
      <c r="C28" s="156"/>
      <c r="D28" s="158"/>
      <c r="E28" s="161"/>
      <c r="F28" s="161"/>
      <c r="G28" s="16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21" customHeight="1" thickBot="1" x14ac:dyDescent="0.25">
      <c r="B29" s="207"/>
      <c r="C29" s="207"/>
      <c r="D29" s="207"/>
      <c r="E29" s="207"/>
      <c r="F29" s="207"/>
      <c r="G29" s="207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1" customHeight="1" x14ac:dyDescent="0.2">
      <c r="B30" s="73" t="s">
        <v>253</v>
      </c>
      <c r="C30" s="74">
        <v>1.1000000000000001</v>
      </c>
      <c r="D30" s="204" t="s">
        <v>250</v>
      </c>
      <c r="E30" s="159" t="s">
        <v>252</v>
      </c>
      <c r="F30" s="159"/>
      <c r="G30" s="160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1" customHeight="1" thickBot="1" x14ac:dyDescent="0.25">
      <c r="B31" s="75" t="s">
        <v>254</v>
      </c>
      <c r="C31" s="76">
        <v>1.2</v>
      </c>
      <c r="D31" s="205"/>
      <c r="E31" s="161"/>
      <c r="F31" s="161"/>
      <c r="G31" s="16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21" customHeight="1" x14ac:dyDescent="0.2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21" customHeight="1" x14ac:dyDescent="0.2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2:27" ht="21" customHeight="1" x14ac:dyDescent="0.2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21" customHeight="1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2:27" ht="21" customHeight="1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2:27" ht="21" customHeight="1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2:27" ht="21" customHeight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2:27" ht="21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2:27" ht="21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2:27" ht="21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2:27" ht="21" customHeight="1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2:27" ht="21" customHeight="1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2:27" ht="21" customHeight="1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2:27" ht="21" customHeight="1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2:27" ht="21" customHeight="1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2:27" ht="21" customHeight="1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2:27" ht="21" customHeight="1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2:27" ht="21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2:27" ht="21" customHeight="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2:27" ht="21" customHeight="1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2:27" ht="21" customHeight="1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2:27" ht="21" customHeight="1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2:27" ht="21" customHeight="1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2:27" ht="21" customHeight="1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2:27" ht="21" customHeight="1" x14ac:dyDescent="0.2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2:27" ht="21" customHeight="1" x14ac:dyDescent="0.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2:27" ht="21" customHeight="1" x14ac:dyDescent="0.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2:27" ht="21" customHeight="1" x14ac:dyDescent="0.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2:27" ht="21" customHeight="1" x14ac:dyDescent="0.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2:27" ht="21" customHeight="1" x14ac:dyDescent="0.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2:27" ht="21" customHeight="1" x14ac:dyDescent="0.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2:27" ht="21" customHeight="1" x14ac:dyDescent="0.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2:27" ht="21" customHeight="1" x14ac:dyDescent="0.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2:27" ht="21" customHeight="1" x14ac:dyDescent="0.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2:27" ht="21" customHeight="1" x14ac:dyDescent="0.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2:27" ht="21" customHeight="1" x14ac:dyDescent="0.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2:27" ht="21" customHeight="1" x14ac:dyDescent="0.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2:27" ht="21" customHeight="1" x14ac:dyDescent="0.2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2:27" ht="21" customHeight="1" x14ac:dyDescent="0.2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2:27" ht="21" customHeight="1" x14ac:dyDescent="0.2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2:27" ht="21" customHeight="1" x14ac:dyDescent="0.2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2:27" ht="21" customHeight="1" x14ac:dyDescent="0.2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2:27" ht="21" customHeight="1" x14ac:dyDescent="0.2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2:27" ht="21" customHeight="1" x14ac:dyDescent="0.2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2:27" ht="21" customHeight="1" x14ac:dyDescent="0.2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2:27" ht="21" customHeight="1" x14ac:dyDescent="0.2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2:27" ht="21" customHeight="1" x14ac:dyDescent="0.2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2:27" ht="21" customHeight="1" x14ac:dyDescent="0.2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2:27" ht="21" customHeight="1" x14ac:dyDescent="0.2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2:27" ht="21" customHeight="1" x14ac:dyDescent="0.2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2:27" ht="21" customHeight="1" x14ac:dyDescent="0.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2:27" ht="21" customHeight="1" x14ac:dyDescent="0.2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2:27" ht="21" customHeight="1" x14ac:dyDescent="0.2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2:27" ht="21" customHeight="1" x14ac:dyDescent="0.2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2:27" ht="21" customHeight="1" x14ac:dyDescent="0.2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2:27" ht="21" customHeight="1" x14ac:dyDescent="0.2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2:27" ht="21" customHeight="1" x14ac:dyDescent="0.2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2:27" ht="21" customHeight="1" x14ac:dyDescent="0.2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2:27" ht="21" customHeight="1" x14ac:dyDescent="0.2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2:27" ht="21" customHeight="1" x14ac:dyDescent="0.2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2:27" ht="21" customHeight="1" x14ac:dyDescent="0.2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2:27" ht="21" customHeight="1" x14ac:dyDescent="0.2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2:27" ht="21" customHeight="1" x14ac:dyDescent="0.2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2:27" ht="21" customHeight="1" x14ac:dyDescent="0.2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2:27" ht="21" customHeight="1" x14ac:dyDescent="0.2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2:27" ht="21" customHeight="1" x14ac:dyDescent="0.2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2:27" ht="21" customHeight="1" x14ac:dyDescent="0.2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2:27" ht="21" customHeight="1" x14ac:dyDescent="0.2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2:27" ht="21" customHeight="1" x14ac:dyDescent="0.2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2:27" ht="21" customHeight="1" x14ac:dyDescent="0.2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2:27" ht="21" customHeight="1" x14ac:dyDescent="0.2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2:27" ht="21" customHeight="1" x14ac:dyDescent="0.2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2:27" ht="21" customHeight="1" x14ac:dyDescent="0.2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2:27" ht="21" customHeight="1" x14ac:dyDescent="0.2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2:27" ht="21" customHeight="1" x14ac:dyDescent="0.2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2:27" ht="21" customHeight="1" x14ac:dyDescent="0.2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2:27" ht="21" customHeight="1" x14ac:dyDescent="0.2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2:27" ht="21" customHeight="1" x14ac:dyDescent="0.2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2:27" ht="21" customHeight="1" x14ac:dyDescent="0.2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2:27" ht="21" customHeight="1" x14ac:dyDescent="0.2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2:27" ht="21" customHeight="1" x14ac:dyDescent="0.2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2:27" ht="21" customHeight="1" x14ac:dyDescent="0.2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2:27" ht="21" customHeight="1" x14ac:dyDescent="0.2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2:27" ht="21" customHeight="1" x14ac:dyDescent="0.2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2:27" ht="21" customHeight="1" x14ac:dyDescent="0.2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2:27" ht="21" customHeight="1" x14ac:dyDescent="0.2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2:27" ht="21" customHeight="1" x14ac:dyDescent="0.2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2:27" ht="21" customHeight="1" x14ac:dyDescent="0.2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2:27" ht="21" customHeight="1" x14ac:dyDescent="0.2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2:27" ht="21" customHeight="1" x14ac:dyDescent="0.2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2:27" ht="21" customHeight="1" x14ac:dyDescent="0.2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2:27" ht="21" customHeight="1" x14ac:dyDescent="0.2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2:27" ht="21" customHeight="1" x14ac:dyDescent="0.2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2:27" ht="21" customHeight="1" x14ac:dyDescent="0.2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2:27" ht="21" customHeight="1" x14ac:dyDescent="0.2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2:27" ht="21" customHeight="1" x14ac:dyDescent="0.2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2:27" ht="21" customHeight="1" x14ac:dyDescent="0.2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2:27" ht="21" customHeight="1" x14ac:dyDescent="0.2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2:27" ht="21" customHeight="1" x14ac:dyDescent="0.2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2:27" ht="21" customHeight="1" x14ac:dyDescent="0.2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2:27" ht="21" customHeight="1" x14ac:dyDescent="0.2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2:27" ht="21" customHeight="1" x14ac:dyDescent="0.2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2:27" ht="21" customHeight="1" x14ac:dyDescent="0.2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2:27" ht="21" customHeight="1" x14ac:dyDescent="0.2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2:27" ht="21" customHeight="1" x14ac:dyDescent="0.2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2:27" ht="21" customHeight="1" x14ac:dyDescent="0.2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2:27" ht="21" customHeight="1" x14ac:dyDescent="0.2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2:27" ht="21" customHeight="1" x14ac:dyDescent="0.2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2:27" ht="21" customHeight="1" x14ac:dyDescent="0.2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2:27" ht="21" customHeight="1" x14ac:dyDescent="0.2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2:27" ht="21" customHeight="1" x14ac:dyDescent="0.2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2:27" ht="21" customHeight="1" x14ac:dyDescent="0.2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2:27" ht="21" customHeight="1" x14ac:dyDescent="0.2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2:27" ht="21" customHeight="1" x14ac:dyDescent="0.2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2:27" ht="21" customHeight="1" x14ac:dyDescent="0.2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2:27" ht="21" customHeight="1" x14ac:dyDescent="0.2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2:27" ht="21" customHeight="1" x14ac:dyDescent="0.2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2:27" ht="21" customHeight="1" x14ac:dyDescent="0.2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2:27" ht="21" customHeight="1" x14ac:dyDescent="0.2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2:27" ht="21" customHeight="1" x14ac:dyDescent="0.2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2:27" ht="21" customHeight="1" x14ac:dyDescent="0.2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2:27" ht="21" customHeight="1" x14ac:dyDescent="0.2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2:27" ht="21" customHeight="1" x14ac:dyDescent="0.2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2:27" ht="21" customHeight="1" x14ac:dyDescent="0.2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2:27" ht="21" customHeight="1" x14ac:dyDescent="0.2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2:27" ht="21" customHeight="1" x14ac:dyDescent="0.2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2:27" ht="21" customHeight="1" x14ac:dyDescent="0.2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2:27" ht="21" customHeight="1" x14ac:dyDescent="0.2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2:27" ht="21" customHeight="1" x14ac:dyDescent="0.2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2:27" ht="21" customHeight="1" x14ac:dyDescent="0.2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2:27" ht="21" customHeight="1" x14ac:dyDescent="0.2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2:27" ht="21" customHeight="1" x14ac:dyDescent="0.2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2:27" ht="21" customHeight="1" x14ac:dyDescent="0.2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2:27" ht="21" customHeight="1" x14ac:dyDescent="0.2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2:27" ht="21" customHeight="1" x14ac:dyDescent="0.2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2:27" ht="21" customHeight="1" x14ac:dyDescent="0.2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2:27" ht="21" customHeight="1" x14ac:dyDescent="0.2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2:27" ht="21" customHeight="1" x14ac:dyDescent="0.2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2:27" ht="21" customHeight="1" x14ac:dyDescent="0.2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2:27" ht="15.75" customHeight="1" x14ac:dyDescent="0.2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2:27" ht="15.75" customHeight="1" x14ac:dyDescent="0.2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2:27" ht="15.75" customHeight="1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2:27" ht="15.75" customHeight="1" x14ac:dyDescent="0.2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2:27" ht="15.75" customHeight="1" x14ac:dyDescent="0.2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2:27" ht="15.75" customHeight="1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2:27" ht="15.75" customHeight="1" x14ac:dyDescent="0.2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2:27" ht="15.75" customHeight="1" x14ac:dyDescent="0.2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2:27" ht="15.75" customHeight="1" x14ac:dyDescent="0.2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2:27" ht="15.75" customHeight="1" x14ac:dyDescent="0.2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2:27" ht="15.75" customHeight="1" x14ac:dyDescent="0.2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2:27" ht="15.75" customHeight="1" x14ac:dyDescent="0.2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2:27" ht="15.75" customHeight="1" x14ac:dyDescent="0.2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2:27" ht="15.75" customHeight="1" x14ac:dyDescent="0.2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2:27" ht="15.75" customHeight="1" x14ac:dyDescent="0.2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2:27" ht="15.75" customHeight="1" x14ac:dyDescent="0.2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2:27" ht="15.75" customHeight="1" x14ac:dyDescent="0.2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2:27" ht="15.75" customHeight="1" x14ac:dyDescent="0.2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2:27" ht="15.75" customHeight="1" x14ac:dyDescent="0.2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2:27" ht="15.75" customHeight="1" x14ac:dyDescent="0.2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2:27" ht="15.75" customHeight="1" x14ac:dyDescent="0.2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2:27" ht="15.75" customHeight="1" x14ac:dyDescent="0.2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2:27" ht="15.75" customHeight="1" x14ac:dyDescent="0.2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2:27" ht="15.75" customHeight="1" x14ac:dyDescent="0.2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2:27" ht="15.75" customHeight="1" x14ac:dyDescent="0.2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2:27" ht="15.75" customHeight="1" x14ac:dyDescent="0.2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2:27" ht="15.75" customHeight="1" x14ac:dyDescent="0.2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2:27" ht="15.75" customHeight="1" x14ac:dyDescent="0.2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2:27" ht="15.75" customHeight="1" x14ac:dyDescent="0.2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2:27" ht="15.75" customHeight="1" x14ac:dyDescent="0.2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2:27" ht="15.75" customHeight="1" x14ac:dyDescent="0.2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2:27" ht="15.75" customHeight="1" x14ac:dyDescent="0.2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2:27" ht="15.75" customHeight="1" x14ac:dyDescent="0.2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2:27" ht="15.75" customHeight="1" x14ac:dyDescent="0.2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2:27" ht="15.75" customHeight="1" x14ac:dyDescent="0.2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2:27" ht="15.75" customHeight="1" x14ac:dyDescent="0.2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2:27" ht="15.75" customHeight="1" x14ac:dyDescent="0.2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2:27" ht="15.75" customHeight="1" x14ac:dyDescent="0.2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2:27" ht="15.75" customHeight="1" x14ac:dyDescent="0.2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2:27" ht="15.75" customHeight="1" x14ac:dyDescent="0.2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2:27" ht="15.75" customHeight="1" x14ac:dyDescent="0.2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2:27" ht="15.75" customHeight="1" x14ac:dyDescent="0.2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2:27" ht="15.75" customHeight="1" x14ac:dyDescent="0.2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2:27" ht="15.75" customHeight="1" x14ac:dyDescent="0.2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2:27" ht="15.75" customHeight="1" x14ac:dyDescent="0.2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2:27" ht="15.75" customHeight="1" x14ac:dyDescent="0.2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2:27" ht="15.75" customHeight="1" x14ac:dyDescent="0.2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2:27" ht="15.75" customHeight="1" x14ac:dyDescent="0.2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2:27" ht="15.75" customHeight="1" x14ac:dyDescent="0.2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2:27" ht="15.75" customHeight="1" x14ac:dyDescent="0.2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2:27" ht="15.75" customHeight="1" x14ac:dyDescent="0.2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2:27" ht="15.75" customHeight="1" x14ac:dyDescent="0.2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2:27" ht="15.75" customHeight="1" x14ac:dyDescent="0.2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2:27" ht="15.75" customHeight="1" x14ac:dyDescent="0.2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2:27" ht="15.75" customHeight="1" x14ac:dyDescent="0.2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2:27" ht="15.75" customHeight="1" x14ac:dyDescent="0.2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2:27" ht="15.75" customHeight="1" x14ac:dyDescent="0.2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2:27" ht="15.75" customHeight="1" x14ac:dyDescent="0.2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2:27" ht="15.75" customHeight="1" x14ac:dyDescent="0.2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2:27" ht="15.75" customHeight="1" x14ac:dyDescent="0.2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2:27" ht="15.75" customHeight="1" x14ac:dyDescent="0.2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2:27" ht="15.75" customHeight="1" x14ac:dyDescent="0.2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2:27" ht="15.75" customHeight="1" x14ac:dyDescent="0.2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2:27" ht="15.75" customHeight="1" x14ac:dyDescent="0.2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2:27" ht="15.75" customHeight="1" x14ac:dyDescent="0.2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2:27" ht="15.75" customHeight="1" x14ac:dyDescent="0.2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2:27" ht="15.75" customHeight="1" x14ac:dyDescent="0.2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2:27" ht="15.75" customHeight="1" x14ac:dyDescent="0.2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2:27" ht="15.75" customHeight="1" x14ac:dyDescent="0.2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2:27" ht="15.75" customHeight="1" x14ac:dyDescent="0.2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2:27" ht="15.75" customHeight="1" x14ac:dyDescent="0.2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2:27" ht="15.75" customHeight="1" x14ac:dyDescent="0.2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2:27" ht="15.75" customHeight="1" x14ac:dyDescent="0.2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2:27" ht="15.75" customHeight="1" x14ac:dyDescent="0.2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2:27" ht="15.75" customHeight="1" x14ac:dyDescent="0.2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2:27" ht="15.75" customHeight="1" x14ac:dyDescent="0.2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2:27" ht="15.75" customHeight="1" x14ac:dyDescent="0.2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2:27" ht="15.75" customHeight="1" x14ac:dyDescent="0.2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2:27" ht="15.75" customHeight="1" x14ac:dyDescent="0.2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2:27" ht="15.75" customHeight="1" x14ac:dyDescent="0.2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2:27" ht="15.75" customHeight="1" x14ac:dyDescent="0.2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2:27" ht="15.75" customHeight="1" x14ac:dyDescent="0.2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2:27" ht="15.75" customHeight="1" x14ac:dyDescent="0.2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2:27" ht="15.75" customHeight="1" x14ac:dyDescent="0.2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2:27" ht="15.75" customHeight="1" x14ac:dyDescent="0.2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2:27" ht="15.75" customHeight="1" x14ac:dyDescent="0.2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2:27" ht="15.75" customHeight="1" x14ac:dyDescent="0.2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2:27" ht="15.75" customHeight="1" x14ac:dyDescent="0.2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2:27" ht="15.75" customHeight="1" x14ac:dyDescent="0.2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2:27" ht="15.75" customHeight="1" x14ac:dyDescent="0.2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2:27" ht="15.75" customHeight="1" x14ac:dyDescent="0.2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2:27" ht="15.75" customHeight="1" x14ac:dyDescent="0.2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2:27" ht="15.75" customHeight="1" x14ac:dyDescent="0.2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2:27" ht="15.75" customHeight="1" x14ac:dyDescent="0.2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2:27" ht="15.75" customHeight="1" x14ac:dyDescent="0.2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2:27" ht="15.75" customHeight="1" x14ac:dyDescent="0.2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2:27" ht="15.75" customHeight="1" x14ac:dyDescent="0.2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2:27" ht="15.75" customHeight="1" x14ac:dyDescent="0.2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2:27" ht="15.75" customHeight="1" x14ac:dyDescent="0.2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2:27" ht="15.75" customHeight="1" x14ac:dyDescent="0.2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2:27" ht="15.75" customHeight="1" x14ac:dyDescent="0.2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2:27" ht="15.75" customHeight="1" x14ac:dyDescent="0.2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2:27" ht="15.75" customHeight="1" x14ac:dyDescent="0.2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2:27" ht="15.75" customHeight="1" x14ac:dyDescent="0.2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2:27" ht="15.75" customHeight="1" x14ac:dyDescent="0.2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2:27" ht="15.75" customHeight="1" x14ac:dyDescent="0.2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2:27" ht="15.75" customHeight="1" x14ac:dyDescent="0.2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2:27" ht="15.75" customHeight="1" x14ac:dyDescent="0.2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2:27" ht="15.75" customHeight="1" x14ac:dyDescent="0.2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2:27" ht="15.75" customHeight="1" x14ac:dyDescent="0.2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2:27" ht="15.75" customHeight="1" x14ac:dyDescent="0.2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2:27" ht="15.75" customHeight="1" x14ac:dyDescent="0.2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2:27" ht="15.75" customHeight="1" x14ac:dyDescent="0.2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2:27" ht="15.75" customHeight="1" x14ac:dyDescent="0.2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2:27" ht="15.75" customHeight="1" x14ac:dyDescent="0.2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2:27" ht="15.75" customHeight="1" x14ac:dyDescent="0.2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2:27" ht="15.75" customHeight="1" x14ac:dyDescent="0.2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2:27" ht="15.75" customHeight="1" x14ac:dyDescent="0.2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2:27" ht="15.75" customHeight="1" x14ac:dyDescent="0.2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2:27" ht="15.75" customHeight="1" x14ac:dyDescent="0.2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2:27" ht="15.75" customHeight="1" x14ac:dyDescent="0.2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2:27" ht="15.75" customHeight="1" x14ac:dyDescent="0.2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2:27" ht="15.75" customHeight="1" x14ac:dyDescent="0.2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2:27" ht="15.75" customHeight="1" x14ac:dyDescent="0.2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2:27" ht="15.75" customHeight="1" x14ac:dyDescent="0.2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2:27" ht="15.75" customHeight="1" x14ac:dyDescent="0.2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2:27" ht="15.75" customHeight="1" x14ac:dyDescent="0.2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2:27" ht="15.75" customHeight="1" x14ac:dyDescent="0.2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2:27" ht="15.75" customHeight="1" x14ac:dyDescent="0.2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2:27" ht="15.75" customHeight="1" x14ac:dyDescent="0.2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2:27" ht="15.75" customHeight="1" x14ac:dyDescent="0.2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2:27" ht="15.75" customHeight="1" x14ac:dyDescent="0.2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2:27" ht="15.75" customHeight="1" x14ac:dyDescent="0.2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2:27" ht="15.75" customHeight="1" x14ac:dyDescent="0.2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2:27" ht="15.75" customHeight="1" x14ac:dyDescent="0.2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2:27" ht="15.75" customHeight="1" x14ac:dyDescent="0.2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2:27" ht="15.75" customHeight="1" x14ac:dyDescent="0.2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2:27" ht="15.75" customHeight="1" x14ac:dyDescent="0.2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2:27" ht="15.75" customHeight="1" x14ac:dyDescent="0.2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2:27" ht="15.75" customHeight="1" x14ac:dyDescent="0.2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2:27" ht="15.75" customHeight="1" x14ac:dyDescent="0.2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2:27" ht="15.75" customHeight="1" x14ac:dyDescent="0.2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2:27" ht="15.75" customHeight="1" x14ac:dyDescent="0.2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2:27" ht="15.75" customHeight="1" x14ac:dyDescent="0.2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2:27" ht="15.75" customHeight="1" x14ac:dyDescent="0.2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2:27" ht="15.75" customHeight="1" x14ac:dyDescent="0.2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2:27" ht="15.75" customHeight="1" x14ac:dyDescent="0.2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2:27" ht="15.75" customHeight="1" x14ac:dyDescent="0.2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2:27" ht="15.75" customHeight="1" x14ac:dyDescent="0.2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2:27" ht="15.75" customHeight="1" x14ac:dyDescent="0.2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2:27" ht="15.75" customHeight="1" x14ac:dyDescent="0.2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2:27" ht="15.75" customHeight="1" x14ac:dyDescent="0.2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2:27" ht="15.75" customHeight="1" x14ac:dyDescent="0.2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2:27" ht="15.75" customHeight="1" x14ac:dyDescent="0.2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2:27" ht="15.75" customHeight="1" x14ac:dyDescent="0.2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2:27" ht="15.75" customHeight="1" x14ac:dyDescent="0.2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2:27" ht="15.75" customHeight="1" x14ac:dyDescent="0.2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2:27" ht="15.75" customHeight="1" x14ac:dyDescent="0.2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2:27" ht="15.75" customHeight="1" x14ac:dyDescent="0.2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2:27" ht="15.75" customHeight="1" x14ac:dyDescent="0.2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2:27" ht="15.75" customHeight="1" x14ac:dyDescent="0.2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2:27" ht="15.75" customHeight="1" x14ac:dyDescent="0.2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2:27" ht="15.75" customHeight="1" x14ac:dyDescent="0.2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2:27" ht="15.75" customHeight="1" x14ac:dyDescent="0.2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2:27" ht="15.75" customHeight="1" x14ac:dyDescent="0.2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2:27" ht="15.75" customHeight="1" x14ac:dyDescent="0.2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2:27" ht="15.75" customHeight="1" x14ac:dyDescent="0.2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2:27" ht="15.75" customHeight="1" x14ac:dyDescent="0.2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2:27" ht="15.75" customHeight="1" x14ac:dyDescent="0.2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2:27" ht="15.75" customHeight="1" x14ac:dyDescent="0.2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2:27" ht="15.75" customHeight="1" x14ac:dyDescent="0.2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2:27" ht="15.75" customHeight="1" x14ac:dyDescent="0.2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2:27" ht="15.75" customHeight="1" x14ac:dyDescent="0.2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2:27" ht="15.75" customHeight="1" x14ac:dyDescent="0.2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2:27" ht="15.75" customHeight="1" x14ac:dyDescent="0.2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2:27" ht="15.75" customHeight="1" x14ac:dyDescent="0.2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2:27" ht="15.75" customHeight="1" x14ac:dyDescent="0.2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2:27" ht="15.75" customHeight="1" x14ac:dyDescent="0.2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2:27" ht="15.75" customHeight="1" x14ac:dyDescent="0.2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2:27" ht="15.75" customHeight="1" x14ac:dyDescent="0.2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2:27" ht="15.75" customHeight="1" x14ac:dyDescent="0.2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2:27" ht="15.75" customHeight="1" x14ac:dyDescent="0.2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2:27" ht="15.75" customHeight="1" x14ac:dyDescent="0.2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2:27" ht="15.75" customHeight="1" x14ac:dyDescent="0.2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2:27" ht="15.75" customHeight="1" x14ac:dyDescent="0.2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2:27" ht="15.75" customHeight="1" x14ac:dyDescent="0.2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2:27" ht="15.75" customHeight="1" x14ac:dyDescent="0.2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2:27" ht="15.75" customHeight="1" x14ac:dyDescent="0.2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2:27" ht="15.75" customHeight="1" x14ac:dyDescent="0.2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2:27" ht="15.75" customHeight="1" x14ac:dyDescent="0.2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2:27" ht="15.75" customHeight="1" x14ac:dyDescent="0.2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2:27" ht="15.75" customHeight="1" x14ac:dyDescent="0.2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2:27" ht="15.75" customHeight="1" x14ac:dyDescent="0.2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2:27" ht="15.75" customHeight="1" x14ac:dyDescent="0.2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2:27" ht="15.75" customHeight="1" x14ac:dyDescent="0.2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2:27" ht="15.75" customHeight="1" x14ac:dyDescent="0.2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2:27" ht="15.75" customHeight="1" x14ac:dyDescent="0.2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2:27" ht="15.75" customHeight="1" x14ac:dyDescent="0.2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2:27" ht="15.75" customHeight="1" x14ac:dyDescent="0.2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2:27" ht="15.75" customHeight="1" x14ac:dyDescent="0.2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2:27" ht="15.75" customHeight="1" x14ac:dyDescent="0.2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2:27" ht="15.75" customHeight="1" x14ac:dyDescent="0.2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2:27" ht="15.75" customHeight="1" x14ac:dyDescent="0.2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2:27" ht="15.75" customHeight="1" x14ac:dyDescent="0.2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2:27" ht="15.75" customHeight="1" x14ac:dyDescent="0.2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2:27" ht="15.75" customHeight="1" x14ac:dyDescent="0.2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2:27" ht="15.75" customHeight="1" x14ac:dyDescent="0.2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2:27" ht="15.75" customHeight="1" x14ac:dyDescent="0.2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2:27" ht="15.75" customHeight="1" x14ac:dyDescent="0.2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2:27" ht="15.75" customHeight="1" x14ac:dyDescent="0.2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2:27" ht="15.75" customHeight="1" x14ac:dyDescent="0.2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2:27" ht="15.75" customHeight="1" x14ac:dyDescent="0.2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2:27" ht="15.75" customHeight="1" x14ac:dyDescent="0.2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2:27" ht="15.75" customHeight="1" x14ac:dyDescent="0.2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2:27" ht="15.75" customHeight="1" x14ac:dyDescent="0.2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2:27" ht="15.75" customHeight="1" x14ac:dyDescent="0.2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2:27" ht="15.75" customHeight="1" x14ac:dyDescent="0.2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2:27" ht="15.75" customHeight="1" x14ac:dyDescent="0.2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2:27" ht="15.75" customHeight="1" x14ac:dyDescent="0.2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2:27" ht="15.75" customHeight="1" x14ac:dyDescent="0.2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2:27" ht="15.75" customHeight="1" x14ac:dyDescent="0.2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2:27" ht="15.75" customHeight="1" x14ac:dyDescent="0.2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2:27" ht="15.75" customHeight="1" x14ac:dyDescent="0.2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2:27" ht="15.75" customHeight="1" x14ac:dyDescent="0.2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2:27" ht="15.75" customHeight="1" x14ac:dyDescent="0.2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2:27" ht="15.75" customHeight="1" x14ac:dyDescent="0.2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2:27" ht="15.75" customHeight="1" x14ac:dyDescent="0.2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2:27" ht="15.75" customHeight="1" x14ac:dyDescent="0.2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2:27" ht="15.75" customHeight="1" x14ac:dyDescent="0.2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2:27" ht="15.75" customHeight="1" x14ac:dyDescent="0.2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2:27" ht="15.75" customHeight="1" x14ac:dyDescent="0.2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2:27" ht="15.75" customHeight="1" x14ac:dyDescent="0.2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2:27" ht="15.75" customHeight="1" x14ac:dyDescent="0.2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2:27" ht="15.75" customHeight="1" x14ac:dyDescent="0.2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2:27" ht="15.75" customHeight="1" x14ac:dyDescent="0.2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2:27" ht="15.75" customHeight="1" x14ac:dyDescent="0.2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2:27" ht="15.75" customHeight="1" x14ac:dyDescent="0.2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2:27" ht="15.75" customHeight="1" x14ac:dyDescent="0.2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2:27" ht="15.75" customHeight="1" x14ac:dyDescent="0.2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2:27" ht="15.75" customHeight="1" x14ac:dyDescent="0.2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2:27" ht="15.75" customHeight="1" x14ac:dyDescent="0.2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2:27" ht="15.75" customHeight="1" x14ac:dyDescent="0.2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2:27" ht="15.75" customHeight="1" x14ac:dyDescent="0.2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2:27" ht="15.75" customHeight="1" x14ac:dyDescent="0.2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2:27" ht="15.75" customHeight="1" x14ac:dyDescent="0.2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2:27" ht="15.75" customHeight="1" x14ac:dyDescent="0.2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2:27" ht="15.75" customHeight="1" x14ac:dyDescent="0.2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2:27" ht="15.75" customHeight="1" x14ac:dyDescent="0.2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2:27" ht="15.75" customHeight="1" x14ac:dyDescent="0.2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2:27" ht="15.75" customHeight="1" x14ac:dyDescent="0.2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2:27" ht="15.75" customHeight="1" x14ac:dyDescent="0.2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2:27" ht="15.75" customHeight="1" x14ac:dyDescent="0.2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2:27" ht="15.75" customHeight="1" x14ac:dyDescent="0.2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2:27" ht="15.75" customHeight="1" x14ac:dyDescent="0.2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2:27" ht="15.75" customHeight="1" x14ac:dyDescent="0.2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2:27" ht="15.75" customHeight="1" x14ac:dyDescent="0.2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2:27" ht="15.75" customHeight="1" x14ac:dyDescent="0.2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2:27" ht="15.75" customHeight="1" x14ac:dyDescent="0.2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2:27" ht="15.75" customHeight="1" x14ac:dyDescent="0.2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2:27" ht="15.75" customHeight="1" x14ac:dyDescent="0.2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2:27" ht="15.75" customHeight="1" x14ac:dyDescent="0.2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2:27" ht="15.75" customHeight="1" x14ac:dyDescent="0.2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2:27" ht="15.75" customHeight="1" x14ac:dyDescent="0.2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2:27" ht="15.75" customHeight="1" x14ac:dyDescent="0.2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2:27" ht="15.75" customHeight="1" x14ac:dyDescent="0.2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2:27" ht="15.75" customHeight="1" x14ac:dyDescent="0.2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2:27" ht="15.75" customHeight="1" x14ac:dyDescent="0.2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2:27" ht="15.75" customHeight="1" x14ac:dyDescent="0.2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2:27" ht="15.75" customHeight="1" x14ac:dyDescent="0.2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2:27" ht="15.75" customHeight="1" x14ac:dyDescent="0.2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2:27" ht="15.75" customHeight="1" x14ac:dyDescent="0.2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2:27" ht="15.75" customHeight="1" x14ac:dyDescent="0.2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2:27" ht="15.75" customHeight="1" x14ac:dyDescent="0.2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2:27" ht="15.75" customHeight="1" x14ac:dyDescent="0.2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2:27" ht="15.75" customHeight="1" x14ac:dyDescent="0.2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2:27" ht="15.75" customHeight="1" x14ac:dyDescent="0.2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2:27" ht="15.75" customHeight="1" x14ac:dyDescent="0.2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2:27" ht="15.75" customHeight="1" x14ac:dyDescent="0.2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2:27" ht="15.75" customHeight="1" x14ac:dyDescent="0.2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2:27" ht="15.75" customHeight="1" x14ac:dyDescent="0.2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2:27" ht="15.75" customHeight="1" x14ac:dyDescent="0.2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2:27" ht="15.75" customHeight="1" x14ac:dyDescent="0.2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2:27" ht="15.75" customHeight="1" x14ac:dyDescent="0.2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2:27" ht="15.75" customHeight="1" x14ac:dyDescent="0.2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2:27" ht="15.75" customHeight="1" x14ac:dyDescent="0.2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2:27" ht="15.75" customHeight="1" x14ac:dyDescent="0.2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2:27" ht="15.75" customHeight="1" x14ac:dyDescent="0.2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2:27" ht="15.75" customHeight="1" x14ac:dyDescent="0.2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2:27" ht="15.75" customHeight="1" x14ac:dyDescent="0.2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2:27" ht="15.75" customHeight="1" x14ac:dyDescent="0.2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2:27" ht="15.75" customHeight="1" x14ac:dyDescent="0.2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2:27" ht="15.75" customHeight="1" x14ac:dyDescent="0.2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2:27" ht="15.75" customHeight="1" x14ac:dyDescent="0.2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2:27" ht="15.75" customHeight="1" x14ac:dyDescent="0.2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2:27" ht="15.75" customHeight="1" x14ac:dyDescent="0.2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2:27" ht="15.75" customHeight="1" x14ac:dyDescent="0.2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2:27" ht="15.75" customHeight="1" x14ac:dyDescent="0.2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2:27" ht="15.75" customHeight="1" x14ac:dyDescent="0.2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2:27" ht="15.75" customHeight="1" x14ac:dyDescent="0.2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2:27" ht="15.75" customHeight="1" x14ac:dyDescent="0.2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2:27" ht="15.75" customHeight="1" x14ac:dyDescent="0.2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2:27" ht="15.75" customHeight="1" x14ac:dyDescent="0.2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2:27" ht="15.75" customHeight="1" x14ac:dyDescent="0.2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2:27" ht="15.75" customHeight="1" x14ac:dyDescent="0.2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2:27" ht="15.75" customHeight="1" x14ac:dyDescent="0.2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2:27" ht="15.75" customHeight="1" x14ac:dyDescent="0.2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2:27" ht="15.75" customHeight="1" x14ac:dyDescent="0.2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2:27" ht="15.75" customHeight="1" x14ac:dyDescent="0.2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2:27" ht="15.75" customHeight="1" x14ac:dyDescent="0.2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2:27" ht="15.75" customHeight="1" x14ac:dyDescent="0.2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2:27" ht="15.75" customHeight="1" x14ac:dyDescent="0.2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2:27" ht="15.75" customHeight="1" x14ac:dyDescent="0.2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2:27" ht="15.75" customHeight="1" x14ac:dyDescent="0.2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2:27" ht="15.75" customHeight="1" x14ac:dyDescent="0.2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2:27" ht="15.75" customHeight="1" x14ac:dyDescent="0.2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2:27" ht="15.75" customHeight="1" x14ac:dyDescent="0.2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2:27" ht="15.75" customHeight="1" x14ac:dyDescent="0.2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2:27" ht="15.75" customHeight="1" x14ac:dyDescent="0.2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2:27" ht="15.75" customHeight="1" x14ac:dyDescent="0.2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2:27" ht="15.75" customHeight="1" x14ac:dyDescent="0.2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2:27" ht="15.75" customHeight="1" x14ac:dyDescent="0.2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2:27" ht="15.75" customHeight="1" x14ac:dyDescent="0.2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2:27" ht="15.75" customHeight="1" x14ac:dyDescent="0.2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2:27" ht="15.75" customHeight="1" x14ac:dyDescent="0.2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2:27" ht="15.75" customHeight="1" x14ac:dyDescent="0.2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2:27" ht="15.75" customHeight="1" x14ac:dyDescent="0.2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2:27" ht="15.75" customHeight="1" x14ac:dyDescent="0.2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2:27" ht="15.75" customHeight="1" x14ac:dyDescent="0.2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2:27" ht="15.75" customHeight="1" x14ac:dyDescent="0.2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2:27" ht="15.75" customHeight="1" x14ac:dyDescent="0.2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2:27" ht="15.75" customHeight="1" x14ac:dyDescent="0.2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2:27" ht="15.75" customHeight="1" x14ac:dyDescent="0.2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2:27" ht="15.75" customHeight="1" x14ac:dyDescent="0.2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2:27" ht="15.75" customHeight="1" x14ac:dyDescent="0.2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2:27" ht="15.75" customHeight="1" x14ac:dyDescent="0.2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2:27" ht="15.75" customHeight="1" x14ac:dyDescent="0.2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2:27" ht="15.75" customHeight="1" x14ac:dyDescent="0.2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2:27" ht="15.75" customHeight="1" x14ac:dyDescent="0.2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2:27" ht="15.75" customHeight="1" x14ac:dyDescent="0.2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2:27" ht="15.75" customHeight="1" x14ac:dyDescent="0.2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2:27" ht="15.75" customHeight="1" x14ac:dyDescent="0.2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2:27" ht="15.75" customHeight="1" x14ac:dyDescent="0.2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2:27" ht="15.75" customHeight="1" x14ac:dyDescent="0.2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2:27" ht="15.75" customHeight="1" x14ac:dyDescent="0.2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2:27" ht="15.75" customHeight="1" x14ac:dyDescent="0.2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2:27" ht="15.75" customHeight="1" x14ac:dyDescent="0.2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2:27" ht="15.75" customHeight="1" x14ac:dyDescent="0.2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2:27" ht="15.75" customHeight="1" x14ac:dyDescent="0.2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2:27" ht="15.75" customHeight="1" x14ac:dyDescent="0.2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2:27" ht="15.75" customHeight="1" x14ac:dyDescent="0.2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2:27" ht="15.75" customHeight="1" x14ac:dyDescent="0.2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2:27" ht="15.75" customHeight="1" x14ac:dyDescent="0.2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2:27" ht="15.75" customHeight="1" x14ac:dyDescent="0.2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2:27" ht="15.75" customHeight="1" x14ac:dyDescent="0.2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2:27" ht="15.75" customHeight="1" x14ac:dyDescent="0.2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2:27" ht="15.75" customHeight="1" x14ac:dyDescent="0.2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2:27" ht="15.75" customHeight="1" x14ac:dyDescent="0.2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2:27" ht="15.75" customHeight="1" x14ac:dyDescent="0.2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2:27" ht="15.75" customHeight="1" x14ac:dyDescent="0.2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2:27" ht="15.75" customHeight="1" x14ac:dyDescent="0.2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2:27" ht="15.75" customHeight="1" x14ac:dyDescent="0.2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2:27" ht="15.75" customHeight="1" x14ac:dyDescent="0.2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2:27" ht="15.75" customHeight="1" x14ac:dyDescent="0.2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2:27" ht="15.75" customHeight="1" x14ac:dyDescent="0.2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2:27" ht="15.75" customHeight="1" x14ac:dyDescent="0.2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2:27" ht="15.75" customHeight="1" x14ac:dyDescent="0.2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2:27" ht="15.75" customHeight="1" x14ac:dyDescent="0.2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2:27" ht="15.75" customHeight="1" x14ac:dyDescent="0.2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2:27" ht="15.75" customHeight="1" x14ac:dyDescent="0.2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2:27" ht="15.75" customHeight="1" x14ac:dyDescent="0.2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2:27" ht="15.75" customHeight="1" x14ac:dyDescent="0.2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2:27" ht="15.75" customHeight="1" x14ac:dyDescent="0.2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2:27" ht="15.75" customHeight="1" x14ac:dyDescent="0.2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2:27" ht="15.75" customHeight="1" x14ac:dyDescent="0.2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2:27" ht="15.75" customHeight="1" x14ac:dyDescent="0.2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2:27" ht="15.75" customHeight="1" x14ac:dyDescent="0.2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2:27" ht="15.75" customHeight="1" x14ac:dyDescent="0.2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2:27" ht="15.75" customHeight="1" x14ac:dyDescent="0.2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2:27" ht="15.75" customHeight="1" x14ac:dyDescent="0.2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2:27" ht="15.75" customHeight="1" x14ac:dyDescent="0.2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2:27" ht="15.75" customHeight="1" x14ac:dyDescent="0.2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2:27" ht="15.75" customHeight="1" x14ac:dyDescent="0.2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2:27" ht="15.75" customHeight="1" x14ac:dyDescent="0.2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2:27" ht="15.75" customHeight="1" x14ac:dyDescent="0.2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2:27" ht="15.75" customHeight="1" x14ac:dyDescent="0.2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2:27" ht="15.75" customHeight="1" x14ac:dyDescent="0.2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2:27" ht="15.75" customHeight="1" x14ac:dyDescent="0.2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2:27" ht="15.75" customHeight="1" x14ac:dyDescent="0.2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2:27" ht="15.75" customHeight="1" x14ac:dyDescent="0.2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2:27" ht="15.75" customHeight="1" x14ac:dyDescent="0.2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2:27" ht="15.75" customHeight="1" x14ac:dyDescent="0.2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2:27" ht="15.75" customHeight="1" x14ac:dyDescent="0.2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2:27" ht="15.75" customHeight="1" x14ac:dyDescent="0.2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2:27" ht="15.75" customHeight="1" x14ac:dyDescent="0.2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2:27" ht="15.75" customHeight="1" x14ac:dyDescent="0.2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2:27" ht="15.75" customHeight="1" x14ac:dyDescent="0.2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2:27" ht="15.75" customHeight="1" x14ac:dyDescent="0.2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2:27" ht="15.75" customHeight="1" x14ac:dyDescent="0.2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2:27" ht="15.75" customHeight="1" x14ac:dyDescent="0.2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2:27" ht="15.75" customHeight="1" x14ac:dyDescent="0.2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2:27" ht="15.75" customHeight="1" x14ac:dyDescent="0.2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2:27" ht="15.75" customHeight="1" x14ac:dyDescent="0.2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2:27" ht="15.75" customHeight="1" x14ac:dyDescent="0.2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2:27" ht="15.75" customHeight="1" x14ac:dyDescent="0.2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2:27" ht="15.75" customHeight="1" x14ac:dyDescent="0.2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2:27" ht="15.75" customHeight="1" x14ac:dyDescent="0.2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2:27" ht="15.75" customHeight="1" x14ac:dyDescent="0.2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2:27" ht="15.75" customHeight="1" x14ac:dyDescent="0.2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2:27" ht="15.75" customHeight="1" x14ac:dyDescent="0.2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2:27" ht="15.75" customHeight="1" x14ac:dyDescent="0.2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2:27" ht="15.75" customHeight="1" x14ac:dyDescent="0.2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2:27" ht="15.75" customHeight="1" x14ac:dyDescent="0.2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2:27" ht="15.75" customHeight="1" x14ac:dyDescent="0.2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2:27" ht="15.75" customHeight="1" x14ac:dyDescent="0.2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2:27" ht="15.75" customHeight="1" x14ac:dyDescent="0.2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2:27" ht="15.75" customHeight="1" x14ac:dyDescent="0.2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2:27" ht="15.75" customHeight="1" x14ac:dyDescent="0.2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2:27" ht="15.75" customHeight="1" x14ac:dyDescent="0.2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2:27" ht="15.75" customHeight="1" x14ac:dyDescent="0.2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2:27" ht="15.75" customHeight="1" x14ac:dyDescent="0.2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2:27" ht="15.75" customHeight="1" x14ac:dyDescent="0.2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2:27" ht="15.75" customHeight="1" x14ac:dyDescent="0.2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2:27" ht="15.75" customHeight="1" x14ac:dyDescent="0.2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2:27" ht="15.75" customHeight="1" x14ac:dyDescent="0.2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2:27" ht="15.75" customHeight="1" x14ac:dyDescent="0.2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2:27" ht="15.75" customHeight="1" x14ac:dyDescent="0.2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2:27" ht="15.75" customHeight="1" x14ac:dyDescent="0.2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2:27" ht="15.75" customHeight="1" x14ac:dyDescent="0.2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2:27" ht="15.75" customHeight="1" x14ac:dyDescent="0.2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2:27" ht="15.75" customHeight="1" x14ac:dyDescent="0.2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2:27" ht="15.75" customHeight="1" x14ac:dyDescent="0.2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2:27" ht="15.75" customHeight="1" x14ac:dyDescent="0.2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2:27" ht="15.75" customHeight="1" x14ac:dyDescent="0.2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2:27" ht="15.75" customHeight="1" x14ac:dyDescent="0.2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2:27" ht="15.75" customHeight="1" x14ac:dyDescent="0.2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2:27" ht="15.75" customHeight="1" x14ac:dyDescent="0.2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2:27" ht="15.75" customHeight="1" x14ac:dyDescent="0.2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2:27" ht="15.75" customHeight="1" x14ac:dyDescent="0.2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2:27" ht="15.75" customHeight="1" x14ac:dyDescent="0.2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2:27" ht="15.75" customHeight="1" x14ac:dyDescent="0.2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2:27" ht="15.75" customHeight="1" x14ac:dyDescent="0.2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2:27" ht="15.75" customHeight="1" x14ac:dyDescent="0.2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2:27" ht="15.75" customHeight="1" x14ac:dyDescent="0.2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2:27" ht="15.75" customHeight="1" x14ac:dyDescent="0.2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2:27" ht="15.75" customHeight="1" x14ac:dyDescent="0.2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2:27" ht="15.75" customHeight="1" x14ac:dyDescent="0.2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2:27" ht="15.75" customHeight="1" x14ac:dyDescent="0.2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2:27" ht="15.75" customHeight="1" x14ac:dyDescent="0.2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2:27" ht="15.75" customHeight="1" x14ac:dyDescent="0.2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2:27" ht="15.75" customHeight="1" x14ac:dyDescent="0.2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2:27" ht="15.75" customHeight="1" x14ac:dyDescent="0.2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2:27" ht="15.75" customHeight="1" x14ac:dyDescent="0.2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2:27" ht="15.75" customHeight="1" x14ac:dyDescent="0.2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2:27" ht="15.75" customHeight="1" x14ac:dyDescent="0.2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2:27" ht="15.75" customHeight="1" x14ac:dyDescent="0.2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2:27" ht="15.75" customHeight="1" x14ac:dyDescent="0.2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2:27" ht="15.75" customHeight="1" x14ac:dyDescent="0.2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2:27" ht="15.75" customHeight="1" x14ac:dyDescent="0.2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2:27" ht="15.75" customHeight="1" x14ac:dyDescent="0.2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2:27" ht="15.75" customHeight="1" x14ac:dyDescent="0.2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2:27" ht="15.75" customHeight="1" x14ac:dyDescent="0.2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2:27" ht="15.75" customHeight="1" x14ac:dyDescent="0.2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2:27" ht="15.75" customHeight="1" x14ac:dyDescent="0.2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2:27" ht="15.75" customHeight="1" x14ac:dyDescent="0.2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2:27" ht="15.75" customHeight="1" x14ac:dyDescent="0.2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2:27" ht="15.75" customHeight="1" x14ac:dyDescent="0.2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2:27" ht="15.75" customHeight="1" x14ac:dyDescent="0.2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2:27" ht="15.75" customHeight="1" x14ac:dyDescent="0.2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2:27" ht="15.75" customHeight="1" x14ac:dyDescent="0.2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2:27" ht="15.75" customHeight="1" x14ac:dyDescent="0.2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2:27" ht="15.75" customHeight="1" x14ac:dyDescent="0.2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2:27" ht="15.75" customHeight="1" x14ac:dyDescent="0.2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2:27" ht="15.75" customHeight="1" x14ac:dyDescent="0.2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2:27" ht="15.75" customHeight="1" x14ac:dyDescent="0.2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2:27" ht="15.75" customHeight="1" x14ac:dyDescent="0.2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2:27" ht="15.75" customHeight="1" x14ac:dyDescent="0.2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2:27" ht="15.75" customHeight="1" x14ac:dyDescent="0.2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2:27" ht="15.75" customHeight="1" x14ac:dyDescent="0.2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2:27" ht="15.75" customHeight="1" x14ac:dyDescent="0.2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2:27" ht="15.75" customHeight="1" x14ac:dyDescent="0.2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2:27" ht="15.75" customHeight="1" x14ac:dyDescent="0.2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2:27" ht="15.75" customHeight="1" x14ac:dyDescent="0.2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2:27" ht="15.75" customHeight="1" x14ac:dyDescent="0.2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2:27" ht="15.75" customHeight="1" x14ac:dyDescent="0.2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2:27" ht="15.75" customHeight="1" x14ac:dyDescent="0.2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2:27" ht="15.75" customHeight="1" x14ac:dyDescent="0.2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2:27" ht="15.75" customHeight="1" x14ac:dyDescent="0.2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2:27" ht="15.75" customHeight="1" x14ac:dyDescent="0.2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2:27" ht="15.75" customHeight="1" x14ac:dyDescent="0.2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2:27" ht="15.75" customHeight="1" x14ac:dyDescent="0.2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2:27" ht="15.75" customHeight="1" x14ac:dyDescent="0.2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2:27" ht="15.75" customHeight="1" x14ac:dyDescent="0.2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2:27" ht="15.75" customHeight="1" x14ac:dyDescent="0.2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2:27" ht="15.75" customHeight="1" x14ac:dyDescent="0.2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2:27" ht="15.75" customHeight="1" x14ac:dyDescent="0.2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2:27" ht="15.75" customHeight="1" x14ac:dyDescent="0.2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2:27" ht="15.75" customHeight="1" x14ac:dyDescent="0.2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2:27" ht="15.75" customHeight="1" x14ac:dyDescent="0.2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2:27" ht="15.75" customHeight="1" x14ac:dyDescent="0.2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2:27" ht="15.75" customHeight="1" x14ac:dyDescent="0.2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2:27" ht="15.75" customHeight="1" x14ac:dyDescent="0.2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2:27" ht="15.75" customHeight="1" x14ac:dyDescent="0.2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2:27" ht="15.75" customHeight="1" x14ac:dyDescent="0.2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2:27" ht="15.75" customHeight="1" x14ac:dyDescent="0.2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2:27" ht="15.75" customHeight="1" x14ac:dyDescent="0.2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2:27" ht="15.75" customHeight="1" x14ac:dyDescent="0.2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2:27" ht="15.75" customHeight="1" x14ac:dyDescent="0.2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2:27" ht="15.75" customHeight="1" x14ac:dyDescent="0.2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2:27" ht="15.75" customHeight="1" x14ac:dyDescent="0.2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2:27" ht="15.75" customHeight="1" x14ac:dyDescent="0.2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2:27" ht="15.75" customHeight="1" x14ac:dyDescent="0.2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2:27" ht="15.75" customHeight="1" x14ac:dyDescent="0.2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2:27" ht="15.75" customHeight="1" x14ac:dyDescent="0.2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2:27" ht="15.75" customHeight="1" x14ac:dyDescent="0.2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2:27" ht="15.75" customHeight="1" x14ac:dyDescent="0.2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2:27" ht="15.75" customHeight="1" x14ac:dyDescent="0.2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2:27" ht="15.75" customHeight="1" x14ac:dyDescent="0.2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2:27" ht="15.75" customHeight="1" x14ac:dyDescent="0.2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2:27" ht="15.75" customHeight="1" x14ac:dyDescent="0.2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2:27" ht="15.75" customHeight="1" x14ac:dyDescent="0.2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2:27" ht="15.75" customHeight="1" x14ac:dyDescent="0.2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2:27" ht="15.75" customHeight="1" x14ac:dyDescent="0.2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2:27" ht="15.75" customHeight="1" x14ac:dyDescent="0.2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2:27" ht="15.75" customHeight="1" x14ac:dyDescent="0.2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2:27" ht="15.75" customHeight="1" x14ac:dyDescent="0.2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2:27" ht="15.75" customHeight="1" x14ac:dyDescent="0.2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2:27" ht="15.75" customHeight="1" x14ac:dyDescent="0.2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2:27" ht="15.75" customHeight="1" x14ac:dyDescent="0.2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2:27" ht="15.75" customHeight="1" x14ac:dyDescent="0.2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2:27" ht="15.75" customHeight="1" x14ac:dyDescent="0.2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2:27" ht="15.75" customHeight="1" x14ac:dyDescent="0.2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2:27" ht="15.75" customHeight="1" x14ac:dyDescent="0.2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2:27" ht="15.75" customHeight="1" x14ac:dyDescent="0.2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2:27" ht="15.75" customHeight="1" x14ac:dyDescent="0.2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2:27" ht="15.75" customHeight="1" x14ac:dyDescent="0.2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2:27" ht="15.75" customHeight="1" x14ac:dyDescent="0.2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2:27" ht="15.75" customHeight="1" x14ac:dyDescent="0.2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2:27" ht="15.75" customHeight="1" x14ac:dyDescent="0.2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2:27" ht="15.75" customHeight="1" x14ac:dyDescent="0.2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2:27" ht="15.75" customHeight="1" x14ac:dyDescent="0.2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2:27" ht="15.75" customHeight="1" x14ac:dyDescent="0.2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2:27" ht="15.75" customHeight="1" x14ac:dyDescent="0.2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2:27" ht="15.75" customHeight="1" x14ac:dyDescent="0.2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2:27" ht="15.75" customHeight="1" x14ac:dyDescent="0.2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2:27" ht="15.75" customHeight="1" x14ac:dyDescent="0.2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2:27" ht="15.75" customHeight="1" x14ac:dyDescent="0.2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2:27" ht="15.75" customHeight="1" x14ac:dyDescent="0.2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2:27" ht="15.75" customHeight="1" x14ac:dyDescent="0.2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2:27" ht="15.75" customHeight="1" x14ac:dyDescent="0.2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2:27" ht="15.75" customHeight="1" x14ac:dyDescent="0.2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2:27" ht="15.75" customHeight="1" x14ac:dyDescent="0.2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2:27" ht="15.75" customHeight="1" x14ac:dyDescent="0.2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2:27" ht="15.75" customHeight="1" x14ac:dyDescent="0.2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2:27" ht="15.75" customHeight="1" x14ac:dyDescent="0.2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2:27" ht="15.75" customHeight="1" x14ac:dyDescent="0.2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2:27" ht="15.75" customHeight="1" x14ac:dyDescent="0.2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2:27" ht="15.75" customHeight="1" x14ac:dyDescent="0.2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2:27" ht="15.75" customHeight="1" x14ac:dyDescent="0.2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2:27" ht="15.75" customHeight="1" x14ac:dyDescent="0.2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2:27" ht="15.75" customHeight="1" x14ac:dyDescent="0.2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2:27" ht="15.75" customHeight="1" x14ac:dyDescent="0.2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2:27" ht="15.75" customHeight="1" x14ac:dyDescent="0.2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2:27" ht="15.75" customHeight="1" x14ac:dyDescent="0.2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2:27" ht="15.75" customHeight="1" x14ac:dyDescent="0.2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2:27" ht="15.75" customHeight="1" x14ac:dyDescent="0.2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2:27" ht="15.75" customHeight="1" x14ac:dyDescent="0.2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2:27" ht="15.75" customHeight="1" x14ac:dyDescent="0.2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2:27" ht="15.75" customHeight="1" x14ac:dyDescent="0.2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2:27" ht="15.75" customHeight="1" x14ac:dyDescent="0.2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2:27" ht="15.75" customHeight="1" x14ac:dyDescent="0.2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2:27" ht="15.75" customHeight="1" x14ac:dyDescent="0.2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2:27" ht="15.75" customHeight="1" x14ac:dyDescent="0.2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2:27" ht="15.75" customHeight="1" x14ac:dyDescent="0.2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2:27" ht="15.75" customHeight="1" x14ac:dyDescent="0.2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2:27" ht="15.75" customHeight="1" x14ac:dyDescent="0.2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2:27" ht="15.75" customHeight="1" x14ac:dyDescent="0.2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2:27" ht="15.75" customHeight="1" x14ac:dyDescent="0.2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2:27" ht="15.75" customHeight="1" x14ac:dyDescent="0.2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2:27" ht="15.75" customHeight="1" x14ac:dyDescent="0.2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2:27" ht="15.75" customHeight="1" x14ac:dyDescent="0.2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2:27" ht="15.75" customHeight="1" x14ac:dyDescent="0.2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2:27" ht="15.75" customHeight="1" x14ac:dyDescent="0.2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2:27" ht="15.75" customHeight="1" x14ac:dyDescent="0.2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2:27" ht="15.75" customHeight="1" x14ac:dyDescent="0.2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2:27" ht="15.75" customHeight="1" x14ac:dyDescent="0.2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2:27" ht="15.75" customHeight="1" x14ac:dyDescent="0.2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2:27" ht="15.75" customHeight="1" x14ac:dyDescent="0.2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2:27" ht="15.75" customHeight="1" x14ac:dyDescent="0.2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2:27" ht="15.75" customHeight="1" x14ac:dyDescent="0.2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2:27" ht="15.75" customHeight="1" x14ac:dyDescent="0.2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2:27" ht="15.75" customHeight="1" x14ac:dyDescent="0.2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2:27" ht="15.75" customHeight="1" x14ac:dyDescent="0.2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2:27" ht="15.75" customHeight="1" x14ac:dyDescent="0.2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2:27" ht="15.75" customHeight="1" x14ac:dyDescent="0.2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2:27" ht="15.75" customHeight="1" x14ac:dyDescent="0.2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2:27" ht="15.75" customHeight="1" x14ac:dyDescent="0.2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2:27" ht="15.75" customHeight="1" x14ac:dyDescent="0.2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2:27" ht="15.75" customHeight="1" x14ac:dyDescent="0.2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2:27" ht="15.75" customHeight="1" x14ac:dyDescent="0.2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2:27" ht="15.75" customHeight="1" x14ac:dyDescent="0.2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2:27" ht="15.75" customHeight="1" x14ac:dyDescent="0.2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2:27" ht="15.75" customHeight="1" x14ac:dyDescent="0.2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2:27" ht="15.75" customHeight="1" x14ac:dyDescent="0.2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2:27" ht="15.75" customHeight="1" x14ac:dyDescent="0.2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2:27" ht="15.75" customHeight="1" x14ac:dyDescent="0.2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2:27" ht="15.75" customHeight="1" x14ac:dyDescent="0.2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2:27" ht="15.75" customHeight="1" x14ac:dyDescent="0.2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2:27" ht="15.75" customHeight="1" x14ac:dyDescent="0.2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2:27" ht="15.75" customHeight="1" x14ac:dyDescent="0.2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2:27" ht="15.75" customHeight="1" x14ac:dyDescent="0.2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2:27" ht="15.75" customHeight="1" x14ac:dyDescent="0.2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2:27" ht="15.75" customHeight="1" x14ac:dyDescent="0.2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2:27" ht="15.75" customHeight="1" x14ac:dyDescent="0.2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2:27" ht="15.75" customHeight="1" x14ac:dyDescent="0.2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2:27" ht="15.75" customHeight="1" x14ac:dyDescent="0.2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2:27" ht="15.75" customHeight="1" x14ac:dyDescent="0.2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2:27" ht="15.75" customHeight="1" x14ac:dyDescent="0.2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2:27" ht="15.75" customHeight="1" x14ac:dyDescent="0.2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2:27" ht="15.75" customHeight="1" x14ac:dyDescent="0.2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2:27" ht="15.75" customHeight="1" x14ac:dyDescent="0.2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2:27" ht="15.75" customHeight="1" x14ac:dyDescent="0.2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2:27" ht="15.75" customHeight="1" x14ac:dyDescent="0.2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2:27" ht="15.75" customHeight="1" x14ac:dyDescent="0.2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2:27" ht="15.75" customHeight="1" x14ac:dyDescent="0.2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2:27" ht="15.75" customHeight="1" x14ac:dyDescent="0.2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2:27" ht="15.75" customHeight="1" x14ac:dyDescent="0.2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2:27" ht="15.75" customHeight="1" x14ac:dyDescent="0.2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2:27" ht="15.75" customHeight="1" x14ac:dyDescent="0.2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2:27" ht="15.75" customHeight="1" x14ac:dyDescent="0.2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2:27" ht="15.75" customHeight="1" x14ac:dyDescent="0.2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2:27" ht="15.75" customHeight="1" x14ac:dyDescent="0.2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2:27" ht="15.75" customHeight="1" x14ac:dyDescent="0.2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2:27" ht="15.75" customHeight="1" x14ac:dyDescent="0.2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2:27" ht="15.75" customHeight="1" x14ac:dyDescent="0.2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2:27" ht="15.75" customHeight="1" x14ac:dyDescent="0.2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2:27" ht="15.75" customHeight="1" x14ac:dyDescent="0.2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2:27" ht="15.75" customHeight="1" x14ac:dyDescent="0.2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2:27" ht="15.75" customHeight="1" x14ac:dyDescent="0.2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2:27" ht="15.75" customHeight="1" x14ac:dyDescent="0.2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2:27" ht="15.75" customHeight="1" x14ac:dyDescent="0.2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2:27" ht="15.75" customHeight="1" x14ac:dyDescent="0.2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2:27" ht="15.75" customHeight="1" x14ac:dyDescent="0.2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2:27" ht="15.75" customHeight="1" x14ac:dyDescent="0.2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2:27" ht="15.75" customHeight="1" x14ac:dyDescent="0.2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2:27" ht="15.75" customHeight="1" x14ac:dyDescent="0.2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2:27" ht="15.75" customHeight="1" x14ac:dyDescent="0.2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2:27" ht="15.75" customHeight="1" x14ac:dyDescent="0.2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2:27" ht="15.75" customHeight="1" x14ac:dyDescent="0.2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2:27" ht="15.75" customHeight="1" x14ac:dyDescent="0.2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2:27" ht="15.75" customHeight="1" x14ac:dyDescent="0.2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2:27" ht="15.75" customHeight="1" x14ac:dyDescent="0.2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2:27" ht="15.75" customHeight="1" x14ac:dyDescent="0.2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2:27" ht="15.75" customHeight="1" x14ac:dyDescent="0.2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2:27" ht="15.75" customHeight="1" x14ac:dyDescent="0.2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2:27" ht="15.75" customHeight="1" x14ac:dyDescent="0.2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2:27" ht="15.75" customHeight="1" x14ac:dyDescent="0.2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2:27" ht="15.75" customHeight="1" x14ac:dyDescent="0.2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2:27" ht="15.75" customHeight="1" x14ac:dyDescent="0.2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2:27" ht="15.75" customHeight="1" x14ac:dyDescent="0.2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2:27" ht="15.75" customHeight="1" x14ac:dyDescent="0.2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2:27" ht="15.75" customHeight="1" x14ac:dyDescent="0.2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2:27" ht="15.75" customHeight="1" x14ac:dyDescent="0.2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2:27" ht="15.75" customHeight="1" x14ac:dyDescent="0.2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2:27" ht="15.75" customHeight="1" x14ac:dyDescent="0.2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2:27" ht="15.75" customHeight="1" x14ac:dyDescent="0.2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2:27" ht="15.75" customHeight="1" x14ac:dyDescent="0.2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2:27" ht="15.75" customHeight="1" x14ac:dyDescent="0.2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2:27" ht="15.75" customHeight="1" x14ac:dyDescent="0.2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2:27" ht="15.75" customHeight="1" x14ac:dyDescent="0.2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2:27" ht="15.75" customHeight="1" x14ac:dyDescent="0.2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2:27" ht="15.75" customHeight="1" x14ac:dyDescent="0.2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2:27" ht="15.75" customHeight="1" x14ac:dyDescent="0.2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2:27" ht="15.75" customHeight="1" x14ac:dyDescent="0.2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2:27" ht="15.75" customHeight="1" x14ac:dyDescent="0.2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2:27" ht="15.75" customHeight="1" x14ac:dyDescent="0.2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2:27" ht="15.75" customHeight="1" x14ac:dyDescent="0.2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2:27" ht="15.75" customHeight="1" x14ac:dyDescent="0.2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2:27" ht="15.75" customHeight="1" x14ac:dyDescent="0.2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2:27" ht="15.75" customHeight="1" x14ac:dyDescent="0.2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2:27" ht="15.75" customHeight="1" x14ac:dyDescent="0.2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2:27" ht="15.75" customHeight="1" x14ac:dyDescent="0.2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2:27" ht="15.75" customHeight="1" x14ac:dyDescent="0.2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2:27" ht="15.75" customHeight="1" x14ac:dyDescent="0.2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2:27" ht="15.75" customHeight="1" x14ac:dyDescent="0.2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2:27" ht="15.75" customHeight="1" x14ac:dyDescent="0.2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2:27" ht="15.75" customHeight="1" x14ac:dyDescent="0.2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2:27" ht="15.75" customHeight="1" x14ac:dyDescent="0.2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2:27" ht="15.75" customHeight="1" x14ac:dyDescent="0.2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2:27" ht="15.75" customHeight="1" x14ac:dyDescent="0.2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2:27" ht="15.75" customHeight="1" x14ac:dyDescent="0.2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2:27" ht="15.75" customHeight="1" x14ac:dyDescent="0.2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2:27" ht="15.75" customHeight="1" x14ac:dyDescent="0.2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2:27" ht="15.75" customHeight="1" x14ac:dyDescent="0.2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2:27" ht="15.75" customHeight="1" x14ac:dyDescent="0.2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2:27" ht="15.75" customHeight="1" x14ac:dyDescent="0.2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2:27" ht="15.75" customHeight="1" x14ac:dyDescent="0.2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2:27" ht="15.75" customHeight="1" x14ac:dyDescent="0.2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2:27" ht="15.75" customHeight="1" x14ac:dyDescent="0.2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2:27" ht="15.75" customHeight="1" x14ac:dyDescent="0.2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2:27" ht="15.75" customHeight="1" x14ac:dyDescent="0.2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2:27" ht="15.75" customHeight="1" x14ac:dyDescent="0.2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2:27" ht="15.75" customHeight="1" x14ac:dyDescent="0.2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2:27" ht="15.75" customHeight="1" x14ac:dyDescent="0.2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2:27" ht="15.75" customHeight="1" x14ac:dyDescent="0.2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2:27" ht="15.75" customHeight="1" x14ac:dyDescent="0.2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2:27" ht="15.75" customHeight="1" x14ac:dyDescent="0.2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2:27" ht="15.75" customHeight="1" x14ac:dyDescent="0.2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2:27" ht="15.75" customHeight="1" x14ac:dyDescent="0.2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2:27" ht="15.75" customHeight="1" x14ac:dyDescent="0.2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2:27" ht="15.75" customHeight="1" x14ac:dyDescent="0.2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2:27" ht="15.75" customHeight="1" x14ac:dyDescent="0.2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2:27" ht="15.75" customHeight="1" x14ac:dyDescent="0.2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2:27" ht="15.75" customHeight="1" x14ac:dyDescent="0.2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2:27" ht="15.75" customHeight="1" x14ac:dyDescent="0.2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2:27" ht="15.75" customHeight="1" x14ac:dyDescent="0.2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2:27" ht="15.75" customHeight="1" x14ac:dyDescent="0.2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2:27" ht="15.75" customHeight="1" x14ac:dyDescent="0.2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2:27" ht="15.75" customHeight="1" x14ac:dyDescent="0.2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2:27" ht="15.75" customHeight="1" x14ac:dyDescent="0.2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2:27" ht="15.75" customHeight="1" x14ac:dyDescent="0.2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2:27" ht="15.75" customHeight="1" x14ac:dyDescent="0.2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2:27" ht="15.75" customHeight="1" x14ac:dyDescent="0.2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2:27" ht="15.75" customHeight="1" x14ac:dyDescent="0.2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2:27" ht="15.75" customHeight="1" x14ac:dyDescent="0.2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2:27" ht="15.75" customHeight="1" x14ac:dyDescent="0.2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2:27" ht="15.75" customHeight="1" x14ac:dyDescent="0.2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2:27" ht="15.75" customHeight="1" x14ac:dyDescent="0.2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2:27" ht="15.75" customHeight="1" x14ac:dyDescent="0.2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2:27" ht="15.75" customHeight="1" x14ac:dyDescent="0.2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2:27" ht="15.75" customHeight="1" x14ac:dyDescent="0.2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2:27" ht="15.75" customHeight="1" x14ac:dyDescent="0.2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2:27" ht="15.75" customHeight="1" x14ac:dyDescent="0.2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2:27" ht="15.75" customHeight="1" x14ac:dyDescent="0.2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2:27" ht="15.75" customHeight="1" x14ac:dyDescent="0.2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2:27" ht="15.75" customHeight="1" x14ac:dyDescent="0.2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2:27" ht="15.75" customHeight="1" x14ac:dyDescent="0.2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2:27" ht="15.75" customHeight="1" x14ac:dyDescent="0.2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2:27" ht="15.75" customHeight="1" x14ac:dyDescent="0.2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2:27" ht="15.75" customHeight="1" x14ac:dyDescent="0.2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</sheetData>
  <mergeCells count="36">
    <mergeCell ref="N17:N25"/>
    <mergeCell ref="B29:G29"/>
    <mergeCell ref="H14:J15"/>
    <mergeCell ref="B27:B28"/>
    <mergeCell ref="C27:C28"/>
    <mergeCell ref="D27:D28"/>
    <mergeCell ref="E27:G28"/>
    <mergeCell ref="D30:D31"/>
    <mergeCell ref="E30:G31"/>
    <mergeCell ref="B11:F15"/>
    <mergeCell ref="B16:M16"/>
    <mergeCell ref="H11:I11"/>
    <mergeCell ref="K11:M11"/>
    <mergeCell ref="H12:I12"/>
    <mergeCell ref="K12:M12"/>
    <mergeCell ref="H13:I13"/>
    <mergeCell ref="K13:M13"/>
    <mergeCell ref="B26:M26"/>
    <mergeCell ref="B6:B7"/>
    <mergeCell ref="C6:F7"/>
    <mergeCell ref="N6:P11"/>
    <mergeCell ref="K7:M7"/>
    <mergeCell ref="B8:M8"/>
    <mergeCell ref="G9:G15"/>
    <mergeCell ref="H9:I9"/>
    <mergeCell ref="K9:M9"/>
    <mergeCell ref="H10:I10"/>
    <mergeCell ref="K10:M10"/>
    <mergeCell ref="C2:F2"/>
    <mergeCell ref="G2:G7"/>
    <mergeCell ref="K2:M3"/>
    <mergeCell ref="C3:F3"/>
    <mergeCell ref="C4:F4"/>
    <mergeCell ref="K4:M4"/>
    <mergeCell ref="C5:F5"/>
    <mergeCell ref="K5:M6"/>
  </mergeCell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037B106-646B-0849-A7DE-EC153EC3DDAA}">
          <x14:formula1>
            <xm:f>Lists!$M$2:$M$97</xm:f>
          </x14:formula1>
          <xm:sqref>D10 F10</xm:sqref>
        </x14:dataValidation>
        <x14:dataValidation type="list" allowBlank="1" showInputMessage="1" showErrorMessage="1" xr:uid="{95E0232A-0687-0641-98B7-2DF1704D0A1E}">
          <x14:formula1>
            <xm:f>Lists!$B$2:$B$21</xm:f>
          </x14:formula1>
          <xm:sqref>C10</xm:sqref>
        </x14:dataValidation>
        <x14:dataValidation type="list" allowBlank="1" showInputMessage="1" showErrorMessage="1" xr:uid="{99B9C928-16C5-0246-AA07-24051D39E9D8}">
          <x14:formula1>
            <xm:f>Lists!$G$2:$G$9</xm:f>
          </x14:formula1>
          <xm:sqref>B10</xm:sqref>
        </x14:dataValidation>
        <x14:dataValidation type="list" allowBlank="1" showInputMessage="1" showErrorMessage="1" xr:uid="{2622F3BD-7D5B-5C47-AEA1-2F1D3F9456B0}">
          <x14:formula1>
            <xm:f>Lists!$E$2:$E$10</xm:f>
          </x14:formula1>
          <xm:sqref>E10</xm:sqref>
        </x14:dataValidation>
        <x14:dataValidation type="list" allowBlank="1" showErrorMessage="1" xr:uid="{83EF00F9-2EB9-1547-9648-0085F3061D30}">
          <x14:formula1>
            <xm:f>Lists!$J$2:$J$25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M1000"/>
  <sheetViews>
    <sheetView topLeftCell="J1" workbookViewId="0">
      <selection activeCell="K5" sqref="K5"/>
    </sheetView>
  </sheetViews>
  <sheetFormatPr baseColWidth="10" defaultColWidth="10.140625" defaultRowHeight="15" customHeight="1" x14ac:dyDescent="0.2"/>
  <cols>
    <col min="1" max="1" width="13" customWidth="1"/>
    <col min="2" max="2" width="42.140625" customWidth="1"/>
    <col min="3" max="3" width="25.5703125" customWidth="1"/>
    <col min="4" max="4" width="21.28515625" customWidth="1"/>
    <col min="5" max="5" width="28.140625" bestFit="1" customWidth="1"/>
    <col min="6" max="6" width="19.5703125" customWidth="1"/>
    <col min="7" max="7" width="13.42578125" customWidth="1"/>
    <col min="8" max="8" width="44.7109375" customWidth="1"/>
    <col min="9" max="9" width="30.85546875" bestFit="1" customWidth="1"/>
    <col min="10" max="10" width="116.140625" bestFit="1" customWidth="1"/>
    <col min="11" max="11" width="24.140625" style="14" customWidth="1"/>
    <col min="12" max="12" width="21.85546875" customWidth="1"/>
    <col min="13" max="24" width="10.5703125" customWidth="1"/>
  </cols>
  <sheetData>
    <row r="1" spans="1:13" ht="15.75" customHeight="1" x14ac:dyDescent="0.2">
      <c r="A1" s="9" t="s">
        <v>39</v>
      </c>
      <c r="B1" s="9" t="s">
        <v>40</v>
      </c>
      <c r="C1" s="9" t="s">
        <v>41</v>
      </c>
      <c r="D1" s="9" t="s">
        <v>42</v>
      </c>
      <c r="E1" s="9" t="s">
        <v>43</v>
      </c>
      <c r="F1" s="9" t="s">
        <v>44</v>
      </c>
      <c r="G1" s="9" t="s">
        <v>45</v>
      </c>
      <c r="H1" s="9" t="s">
        <v>46</v>
      </c>
      <c r="I1" s="9" t="s">
        <v>47</v>
      </c>
      <c r="J1" s="9" t="s">
        <v>48</v>
      </c>
      <c r="K1" s="11" t="s">
        <v>120</v>
      </c>
      <c r="L1" s="9" t="s">
        <v>49</v>
      </c>
      <c r="M1" s="6" t="s">
        <v>162</v>
      </c>
    </row>
    <row r="2" spans="1:13" ht="15.75" customHeight="1" x14ac:dyDescent="0.2">
      <c r="A2" s="3" t="s">
        <v>6</v>
      </c>
      <c r="B2" s="3" t="s">
        <v>89</v>
      </c>
      <c r="C2" s="3" t="s">
        <v>51</v>
      </c>
      <c r="D2" s="3" t="s">
        <v>15</v>
      </c>
      <c r="E2" s="3" t="s">
        <v>15</v>
      </c>
      <c r="F2" s="3" t="s">
        <v>20</v>
      </c>
      <c r="G2" s="3" t="s">
        <v>16</v>
      </c>
      <c r="H2" s="3" t="s">
        <v>11</v>
      </c>
      <c r="I2" s="3" t="s">
        <v>97</v>
      </c>
      <c r="J2" s="17" t="s">
        <v>112</v>
      </c>
      <c r="K2" s="15">
        <v>2</v>
      </c>
      <c r="L2" s="3" t="s">
        <v>21</v>
      </c>
      <c r="M2" s="3" t="s">
        <v>126</v>
      </c>
    </row>
    <row r="3" spans="1:13" ht="15.75" customHeight="1" x14ac:dyDescent="0.2">
      <c r="A3" s="3" t="s">
        <v>50</v>
      </c>
      <c r="B3" s="3" t="s">
        <v>87</v>
      </c>
      <c r="C3" s="3" t="s">
        <v>56</v>
      </c>
      <c r="D3" s="3" t="s">
        <v>52</v>
      </c>
      <c r="E3" s="3" t="s">
        <v>101</v>
      </c>
      <c r="F3" s="3" t="s">
        <v>22</v>
      </c>
      <c r="G3" s="3" t="s">
        <v>25</v>
      </c>
      <c r="H3" s="3" t="s">
        <v>53</v>
      </c>
      <c r="I3" s="3" t="s">
        <v>98</v>
      </c>
      <c r="J3" s="3" t="s">
        <v>69</v>
      </c>
      <c r="K3" s="12">
        <v>1.2</v>
      </c>
      <c r="L3" s="3" t="s">
        <v>68</v>
      </c>
      <c r="M3" s="3" t="s">
        <v>127</v>
      </c>
    </row>
    <row r="4" spans="1:13" ht="15.75" customHeight="1" x14ac:dyDescent="0.2">
      <c r="A4" s="3" t="s">
        <v>71</v>
      </c>
      <c r="B4" s="3" t="s">
        <v>88</v>
      </c>
      <c r="C4" s="3" t="s">
        <v>59</v>
      </c>
      <c r="D4" s="3" t="s">
        <v>19</v>
      </c>
      <c r="E4" s="3" t="s">
        <v>18</v>
      </c>
      <c r="F4" s="3" t="s">
        <v>55</v>
      </c>
      <c r="G4" s="3" t="s">
        <v>57</v>
      </c>
      <c r="H4" s="7" t="s">
        <v>72</v>
      </c>
      <c r="I4" s="3" t="s">
        <v>54</v>
      </c>
      <c r="J4" s="3" t="s">
        <v>70</v>
      </c>
      <c r="K4" s="13">
        <v>3.2</v>
      </c>
      <c r="L4" s="3" t="s">
        <v>58</v>
      </c>
      <c r="M4" s="3" t="s">
        <v>128</v>
      </c>
    </row>
    <row r="5" spans="1:13" ht="15.75" customHeight="1" x14ac:dyDescent="0.2">
      <c r="A5" s="3" t="s">
        <v>55</v>
      </c>
      <c r="B5" s="3" t="s">
        <v>96</v>
      </c>
      <c r="C5" s="3" t="s">
        <v>55</v>
      </c>
      <c r="D5" s="3" t="s">
        <v>60</v>
      </c>
      <c r="E5" s="3" t="s">
        <v>23</v>
      </c>
      <c r="G5" s="3" t="s">
        <v>61</v>
      </c>
      <c r="H5" s="10" t="s">
        <v>74</v>
      </c>
      <c r="I5" s="3" t="s">
        <v>55</v>
      </c>
      <c r="J5" s="3" t="s">
        <v>73</v>
      </c>
      <c r="K5" s="13"/>
      <c r="L5" s="3" t="s">
        <v>62</v>
      </c>
      <c r="M5" s="3" t="s">
        <v>129</v>
      </c>
    </row>
    <row r="6" spans="1:13" ht="15.75" customHeight="1" x14ac:dyDescent="0.2">
      <c r="A6" s="3"/>
      <c r="B6" s="16" t="s">
        <v>92</v>
      </c>
      <c r="D6" s="3" t="s">
        <v>55</v>
      </c>
      <c r="E6" s="3" t="s">
        <v>102</v>
      </c>
      <c r="F6" s="3"/>
      <c r="G6" s="3" t="s">
        <v>63</v>
      </c>
      <c r="H6" s="7" t="s">
        <v>72</v>
      </c>
      <c r="J6" s="3" t="s">
        <v>75</v>
      </c>
      <c r="K6" s="13"/>
      <c r="L6" s="3" t="s">
        <v>64</v>
      </c>
      <c r="M6" s="3" t="s">
        <v>130</v>
      </c>
    </row>
    <row r="7" spans="1:13" ht="15.75" customHeight="1" x14ac:dyDescent="0.2">
      <c r="A7" s="3"/>
      <c r="B7" s="16" t="s">
        <v>93</v>
      </c>
      <c r="C7" s="3"/>
      <c r="D7" s="3"/>
      <c r="E7" s="3" t="s">
        <v>103</v>
      </c>
      <c r="F7" s="3"/>
      <c r="G7" s="3" t="s">
        <v>66</v>
      </c>
      <c r="H7" s="3" t="s">
        <v>55</v>
      </c>
      <c r="I7" s="3"/>
      <c r="J7" s="3" t="s">
        <v>76</v>
      </c>
      <c r="K7" s="13"/>
      <c r="L7" s="3" t="s">
        <v>55</v>
      </c>
      <c r="M7" s="3" t="s">
        <v>131</v>
      </c>
    </row>
    <row r="8" spans="1:13" ht="15.75" customHeight="1" x14ac:dyDescent="0.2">
      <c r="A8" s="3"/>
      <c r="B8" s="3" t="s">
        <v>90</v>
      </c>
      <c r="C8" s="3"/>
      <c r="D8" s="3"/>
      <c r="E8" s="3" t="s">
        <v>65</v>
      </c>
      <c r="F8" s="3"/>
      <c r="G8" s="3" t="s">
        <v>24</v>
      </c>
      <c r="H8" s="3"/>
      <c r="I8" s="3"/>
      <c r="J8" s="7" t="s">
        <v>72</v>
      </c>
      <c r="K8" s="13"/>
      <c r="M8" s="3" t="s">
        <v>132</v>
      </c>
    </row>
    <row r="9" spans="1:13" ht="15.75" customHeight="1" x14ac:dyDescent="0.2">
      <c r="A9" s="3"/>
      <c r="B9" s="3" t="s">
        <v>91</v>
      </c>
      <c r="C9" s="3"/>
      <c r="D9" s="3"/>
      <c r="E9" s="3" t="s">
        <v>279</v>
      </c>
      <c r="F9" s="3"/>
      <c r="G9" s="3" t="s">
        <v>67</v>
      </c>
      <c r="H9" s="3"/>
      <c r="I9" s="3"/>
      <c r="J9" s="3" t="s">
        <v>77</v>
      </c>
      <c r="K9" s="13"/>
      <c r="M9" s="3" t="s">
        <v>133</v>
      </c>
    </row>
    <row r="10" spans="1:13" ht="15.75" customHeight="1" x14ac:dyDescent="0.2">
      <c r="A10" s="3"/>
      <c r="B10" s="3" t="s">
        <v>110</v>
      </c>
      <c r="C10" s="3"/>
      <c r="D10" s="3"/>
      <c r="E10" s="3" t="s">
        <v>55</v>
      </c>
      <c r="F10" s="3"/>
      <c r="G10" s="3"/>
      <c r="H10" s="3"/>
      <c r="I10" s="3"/>
      <c r="J10" s="3" t="s">
        <v>78</v>
      </c>
      <c r="K10" s="13"/>
      <c r="M10" s="3" t="s">
        <v>134</v>
      </c>
    </row>
    <row r="11" spans="1:13" ht="15.75" customHeight="1" x14ac:dyDescent="0.2">
      <c r="A11" s="3"/>
      <c r="B11" s="3" t="s">
        <v>119</v>
      </c>
      <c r="C11" s="3"/>
      <c r="D11" s="3"/>
      <c r="E11" s="3"/>
      <c r="F11" s="3"/>
      <c r="G11" s="3"/>
      <c r="H11" s="3"/>
      <c r="I11" s="3"/>
      <c r="J11" s="3" t="s">
        <v>79</v>
      </c>
      <c r="K11" s="13"/>
      <c r="M11" s="3" t="s">
        <v>135</v>
      </c>
    </row>
    <row r="12" spans="1:13" ht="15.75" customHeight="1" x14ac:dyDescent="0.2">
      <c r="A12" s="3"/>
      <c r="B12" s="3" t="s">
        <v>108</v>
      </c>
      <c r="C12" s="3"/>
      <c r="D12" s="3"/>
      <c r="E12" s="3"/>
      <c r="F12" s="3"/>
      <c r="G12" s="3"/>
      <c r="H12" s="3"/>
      <c r="I12" s="3"/>
      <c r="J12" s="3" t="s">
        <v>80</v>
      </c>
      <c r="K12" s="13"/>
      <c r="M12" s="3" t="s">
        <v>136</v>
      </c>
    </row>
    <row r="13" spans="1:13" ht="15.75" customHeight="1" x14ac:dyDescent="0.2">
      <c r="A13" s="3"/>
      <c r="B13" s="3" t="s">
        <v>109</v>
      </c>
      <c r="C13" s="3"/>
      <c r="D13" s="3"/>
      <c r="E13" s="3"/>
      <c r="F13" s="3"/>
      <c r="G13" s="3"/>
      <c r="H13" s="3"/>
      <c r="I13" s="3"/>
      <c r="J13" s="3" t="s">
        <v>81</v>
      </c>
      <c r="K13" s="13"/>
      <c r="M13" s="3" t="s">
        <v>137</v>
      </c>
    </row>
    <row r="14" spans="1:13" ht="15.75" customHeight="1" x14ac:dyDescent="0.2">
      <c r="A14" s="3"/>
      <c r="B14" s="3" t="s">
        <v>94</v>
      </c>
      <c r="C14" s="3"/>
      <c r="D14" s="3"/>
      <c r="E14" s="3"/>
      <c r="F14" s="3"/>
      <c r="G14" s="3"/>
      <c r="H14" s="3"/>
      <c r="I14" s="3"/>
      <c r="J14" s="3" t="s">
        <v>82</v>
      </c>
      <c r="K14" s="13"/>
      <c r="M14" t="s">
        <v>138</v>
      </c>
    </row>
    <row r="15" spans="1:13" ht="15.75" customHeight="1" x14ac:dyDescent="0.2">
      <c r="A15" s="3"/>
      <c r="B15" s="3" t="s">
        <v>99</v>
      </c>
      <c r="C15" s="3"/>
      <c r="D15" s="3"/>
      <c r="E15" s="3"/>
      <c r="F15" s="3"/>
      <c r="G15" s="3"/>
      <c r="H15" s="3"/>
      <c r="I15" s="3"/>
      <c r="J15" s="3" t="s">
        <v>83</v>
      </c>
      <c r="K15" s="13"/>
      <c r="M15" t="s">
        <v>139</v>
      </c>
    </row>
    <row r="16" spans="1:13" ht="15.75" customHeight="1" x14ac:dyDescent="0.2">
      <c r="A16" s="3"/>
      <c r="B16" s="3" t="s">
        <v>100</v>
      </c>
      <c r="C16" s="3"/>
      <c r="D16" s="3"/>
      <c r="E16" s="3"/>
      <c r="F16" s="3"/>
      <c r="G16" s="3"/>
      <c r="H16" s="3"/>
      <c r="I16" s="3"/>
      <c r="J16" s="3" t="s">
        <v>84</v>
      </c>
      <c r="K16" s="13"/>
      <c r="M16" t="s">
        <v>140</v>
      </c>
    </row>
    <row r="17" spans="1:13" ht="15.75" customHeight="1" x14ac:dyDescent="0.2">
      <c r="A17" s="3"/>
      <c r="B17" s="16" t="s">
        <v>95</v>
      </c>
      <c r="C17" s="3"/>
      <c r="D17" s="3"/>
      <c r="E17" s="3"/>
      <c r="F17" s="3"/>
      <c r="G17" s="3"/>
      <c r="H17" s="3"/>
      <c r="I17" s="3"/>
      <c r="J17" s="18" t="s">
        <v>113</v>
      </c>
      <c r="K17" s="13"/>
      <c r="M17" t="s">
        <v>141</v>
      </c>
    </row>
    <row r="18" spans="1:13" ht="15.75" customHeight="1" x14ac:dyDescent="0.2">
      <c r="A18" s="3"/>
      <c r="B18" s="3" t="s">
        <v>121</v>
      </c>
      <c r="C18" s="3"/>
      <c r="D18" s="3"/>
      <c r="E18" s="3"/>
      <c r="F18" s="3"/>
      <c r="G18" s="3"/>
      <c r="H18" s="3"/>
      <c r="I18" s="3"/>
      <c r="J18" s="3" t="s">
        <v>117</v>
      </c>
      <c r="K18" s="13"/>
      <c r="M18" t="s">
        <v>142</v>
      </c>
    </row>
    <row r="19" spans="1:13" ht="15.75" customHeight="1" x14ac:dyDescent="0.2">
      <c r="A19" s="3"/>
      <c r="B19" s="3" t="s">
        <v>279</v>
      </c>
      <c r="C19" s="3"/>
      <c r="D19" s="3"/>
      <c r="E19" s="3"/>
      <c r="F19" s="3"/>
      <c r="G19" s="3"/>
      <c r="H19" s="3"/>
      <c r="I19" s="3"/>
      <c r="J19" s="63" t="s">
        <v>111</v>
      </c>
      <c r="K19" s="13"/>
      <c r="M19" t="s">
        <v>143</v>
      </c>
    </row>
    <row r="20" spans="1:13" ht="15.75" customHeight="1" x14ac:dyDescent="0.2">
      <c r="A20" s="3"/>
      <c r="B20" s="3" t="s">
        <v>280</v>
      </c>
      <c r="C20" s="3"/>
      <c r="D20" s="3"/>
      <c r="E20" s="3"/>
      <c r="F20" s="3"/>
      <c r="G20" s="3"/>
      <c r="H20" s="3"/>
      <c r="I20" s="3"/>
      <c r="J20" s="3" t="s">
        <v>86</v>
      </c>
      <c r="K20" s="13"/>
      <c r="M20" t="s">
        <v>144</v>
      </c>
    </row>
    <row r="21" spans="1:13" ht="15.75" customHeight="1" x14ac:dyDescent="0.2">
      <c r="A21" s="3"/>
      <c r="B21" s="3" t="s">
        <v>55</v>
      </c>
      <c r="C21" s="3"/>
      <c r="D21" s="3"/>
      <c r="E21" s="3"/>
      <c r="F21" s="3"/>
      <c r="G21" s="3"/>
      <c r="H21" s="3"/>
      <c r="I21" s="3"/>
      <c r="J21" s="3" t="s">
        <v>114</v>
      </c>
      <c r="K21" s="13"/>
      <c r="M21" t="s">
        <v>145</v>
      </c>
    </row>
    <row r="22" spans="1:13" ht="15.75" customHeight="1" x14ac:dyDescent="0.2">
      <c r="A22" s="3"/>
      <c r="C22" s="3"/>
      <c r="D22" s="3"/>
      <c r="E22" s="3"/>
      <c r="F22" s="3"/>
      <c r="G22" s="3"/>
      <c r="H22" s="3"/>
      <c r="I22" s="3"/>
      <c r="J22" s="63" t="s">
        <v>118</v>
      </c>
      <c r="K22" s="13"/>
      <c r="M22" t="s">
        <v>146</v>
      </c>
    </row>
    <row r="23" spans="1:13" ht="15.75" customHeight="1" x14ac:dyDescent="0.2">
      <c r="A23" s="3"/>
      <c r="C23" s="3"/>
      <c r="D23" s="3"/>
      <c r="E23" s="3"/>
      <c r="F23" s="3"/>
      <c r="G23" s="3"/>
      <c r="H23" s="3"/>
      <c r="I23" s="3"/>
      <c r="J23" s="3" t="s">
        <v>116</v>
      </c>
      <c r="K23" s="13"/>
      <c r="M23" t="s">
        <v>147</v>
      </c>
    </row>
    <row r="24" spans="1:13" ht="15.75" customHeight="1" x14ac:dyDescent="0.2">
      <c r="A24" s="3"/>
      <c r="B24" s="8"/>
      <c r="C24" s="3"/>
      <c r="D24" s="3"/>
      <c r="E24" s="3"/>
      <c r="F24" s="3"/>
      <c r="G24" s="3"/>
      <c r="H24" s="3"/>
      <c r="I24" s="3"/>
      <c r="J24" s="3" t="s">
        <v>115</v>
      </c>
      <c r="K24" s="13"/>
      <c r="M24" t="s">
        <v>148</v>
      </c>
    </row>
    <row r="25" spans="1:13" ht="15.75" customHeight="1" x14ac:dyDescent="0.2">
      <c r="A25" s="3"/>
      <c r="C25" s="3"/>
      <c r="D25" s="3"/>
      <c r="E25" s="3"/>
      <c r="F25" s="3"/>
      <c r="G25" s="3"/>
      <c r="H25" s="3"/>
      <c r="I25" s="3"/>
      <c r="J25" s="3" t="s">
        <v>85</v>
      </c>
      <c r="K25" s="13"/>
      <c r="M25" t="s">
        <v>149</v>
      </c>
    </row>
    <row r="26" spans="1:13" ht="15.75" customHeight="1" x14ac:dyDescent="0.2">
      <c r="B26" s="8"/>
      <c r="H26" s="3"/>
      <c r="M26" t="s">
        <v>150</v>
      </c>
    </row>
    <row r="27" spans="1:13" ht="15.75" customHeight="1" x14ac:dyDescent="0.2">
      <c r="B27" s="8"/>
      <c r="M27" t="s">
        <v>151</v>
      </c>
    </row>
    <row r="28" spans="1:13" ht="15.75" customHeight="1" x14ac:dyDescent="0.2">
      <c r="B28" s="8"/>
      <c r="M28" t="s">
        <v>152</v>
      </c>
    </row>
    <row r="29" spans="1:13" ht="15.75" customHeight="1" x14ac:dyDescent="0.2">
      <c r="M29" t="s">
        <v>153</v>
      </c>
    </row>
    <row r="30" spans="1:13" ht="15.75" customHeight="1" x14ac:dyDescent="0.2">
      <c r="M30" t="s">
        <v>154</v>
      </c>
    </row>
    <row r="31" spans="1:13" ht="15.75" customHeight="1" x14ac:dyDescent="0.2">
      <c r="M31" t="s">
        <v>155</v>
      </c>
    </row>
    <row r="32" spans="1:13" ht="15.75" customHeight="1" x14ac:dyDescent="0.2">
      <c r="M32" t="s">
        <v>156</v>
      </c>
    </row>
    <row r="33" spans="13:13" ht="15.75" customHeight="1" x14ac:dyDescent="0.2">
      <c r="M33" t="s">
        <v>157</v>
      </c>
    </row>
    <row r="34" spans="13:13" ht="15.75" customHeight="1" x14ac:dyDescent="0.2">
      <c r="M34" t="s">
        <v>158</v>
      </c>
    </row>
    <row r="35" spans="13:13" ht="15.75" customHeight="1" x14ac:dyDescent="0.2">
      <c r="M35" t="s">
        <v>159</v>
      </c>
    </row>
    <row r="36" spans="13:13" ht="15.75" customHeight="1" x14ac:dyDescent="0.2">
      <c r="M36" t="s">
        <v>160</v>
      </c>
    </row>
    <row r="37" spans="13:13" ht="15.75" customHeight="1" x14ac:dyDescent="0.2">
      <c r="M37" t="s">
        <v>161</v>
      </c>
    </row>
    <row r="38" spans="13:13" ht="15.75" customHeight="1" x14ac:dyDescent="0.2">
      <c r="M38" t="s">
        <v>163</v>
      </c>
    </row>
    <row r="39" spans="13:13" ht="15.75" customHeight="1" x14ac:dyDescent="0.2">
      <c r="M39" t="s">
        <v>164</v>
      </c>
    </row>
    <row r="40" spans="13:13" ht="15.75" customHeight="1" x14ac:dyDescent="0.2">
      <c r="M40" t="s">
        <v>165</v>
      </c>
    </row>
    <row r="41" spans="13:13" ht="15.75" customHeight="1" x14ac:dyDescent="0.2">
      <c r="M41" t="s">
        <v>166</v>
      </c>
    </row>
    <row r="42" spans="13:13" ht="15.75" customHeight="1" x14ac:dyDescent="0.2">
      <c r="M42" t="s">
        <v>167</v>
      </c>
    </row>
    <row r="43" spans="13:13" ht="15.75" customHeight="1" x14ac:dyDescent="0.2">
      <c r="M43" t="s">
        <v>168</v>
      </c>
    </row>
    <row r="44" spans="13:13" ht="15.75" customHeight="1" x14ac:dyDescent="0.2">
      <c r="M44" t="s">
        <v>169</v>
      </c>
    </row>
    <row r="45" spans="13:13" ht="15.75" customHeight="1" x14ac:dyDescent="0.2">
      <c r="M45" t="s">
        <v>170</v>
      </c>
    </row>
    <row r="46" spans="13:13" ht="15.75" customHeight="1" x14ac:dyDescent="0.2">
      <c r="M46" t="s">
        <v>171</v>
      </c>
    </row>
    <row r="47" spans="13:13" ht="15.75" customHeight="1" x14ac:dyDescent="0.2">
      <c r="M47" t="s">
        <v>172</v>
      </c>
    </row>
    <row r="48" spans="13:13" ht="15.75" customHeight="1" x14ac:dyDescent="0.2">
      <c r="M48" t="s">
        <v>173</v>
      </c>
    </row>
    <row r="49" spans="13:13" ht="15.75" customHeight="1" x14ac:dyDescent="0.2">
      <c r="M49" t="s">
        <v>174</v>
      </c>
    </row>
    <row r="50" spans="13:13" ht="15.75" customHeight="1" x14ac:dyDescent="0.2">
      <c r="M50" t="s">
        <v>175</v>
      </c>
    </row>
    <row r="51" spans="13:13" ht="15.75" customHeight="1" x14ac:dyDescent="0.2">
      <c r="M51" t="s">
        <v>176</v>
      </c>
    </row>
    <row r="52" spans="13:13" ht="15.75" customHeight="1" x14ac:dyDescent="0.2">
      <c r="M52" t="s">
        <v>177</v>
      </c>
    </row>
    <row r="53" spans="13:13" ht="15.75" customHeight="1" x14ac:dyDescent="0.2">
      <c r="M53" t="s">
        <v>178</v>
      </c>
    </row>
    <row r="54" spans="13:13" ht="15.75" customHeight="1" x14ac:dyDescent="0.2">
      <c r="M54" t="s">
        <v>179</v>
      </c>
    </row>
    <row r="55" spans="13:13" ht="15.75" customHeight="1" x14ac:dyDescent="0.2">
      <c r="M55" t="s">
        <v>180</v>
      </c>
    </row>
    <row r="56" spans="13:13" ht="15.75" customHeight="1" x14ac:dyDescent="0.2">
      <c r="M56" t="s">
        <v>181</v>
      </c>
    </row>
    <row r="57" spans="13:13" ht="15.75" customHeight="1" x14ac:dyDescent="0.2">
      <c r="M57" t="s">
        <v>182</v>
      </c>
    </row>
    <row r="58" spans="13:13" ht="15.75" customHeight="1" x14ac:dyDescent="0.2">
      <c r="M58" t="s">
        <v>183</v>
      </c>
    </row>
    <row r="59" spans="13:13" ht="15.75" customHeight="1" x14ac:dyDescent="0.2">
      <c r="M59" t="s">
        <v>184</v>
      </c>
    </row>
    <row r="60" spans="13:13" ht="15.75" customHeight="1" x14ac:dyDescent="0.2">
      <c r="M60" t="s">
        <v>185</v>
      </c>
    </row>
    <row r="61" spans="13:13" ht="15.75" customHeight="1" x14ac:dyDescent="0.2">
      <c r="M61" t="s">
        <v>186</v>
      </c>
    </row>
    <row r="62" spans="13:13" ht="15.75" customHeight="1" x14ac:dyDescent="0.2">
      <c r="M62" t="s">
        <v>187</v>
      </c>
    </row>
    <row r="63" spans="13:13" ht="15.75" customHeight="1" x14ac:dyDescent="0.2">
      <c r="M63" t="s">
        <v>188</v>
      </c>
    </row>
    <row r="64" spans="13:13" ht="15.75" customHeight="1" x14ac:dyDescent="0.2">
      <c r="M64" t="s">
        <v>189</v>
      </c>
    </row>
    <row r="65" spans="13:13" ht="15.75" customHeight="1" x14ac:dyDescent="0.2">
      <c r="M65" t="s">
        <v>190</v>
      </c>
    </row>
    <row r="66" spans="13:13" ht="15.75" customHeight="1" x14ac:dyDescent="0.2">
      <c r="M66" t="s">
        <v>191</v>
      </c>
    </row>
    <row r="67" spans="13:13" ht="15.75" customHeight="1" x14ac:dyDescent="0.2">
      <c r="M67" t="s">
        <v>192</v>
      </c>
    </row>
    <row r="68" spans="13:13" ht="15.75" customHeight="1" x14ac:dyDescent="0.2">
      <c r="M68" t="s">
        <v>193</v>
      </c>
    </row>
    <row r="69" spans="13:13" ht="15.75" customHeight="1" x14ac:dyDescent="0.2">
      <c r="M69" t="s">
        <v>194</v>
      </c>
    </row>
    <row r="70" spans="13:13" ht="15.75" customHeight="1" x14ac:dyDescent="0.2">
      <c r="M70" t="s">
        <v>195</v>
      </c>
    </row>
    <row r="71" spans="13:13" ht="15.75" customHeight="1" x14ac:dyDescent="0.2">
      <c r="M71" t="s">
        <v>196</v>
      </c>
    </row>
    <row r="72" spans="13:13" ht="15.75" customHeight="1" x14ac:dyDescent="0.2">
      <c r="M72" t="s">
        <v>197</v>
      </c>
    </row>
    <row r="73" spans="13:13" ht="15.75" customHeight="1" x14ac:dyDescent="0.2">
      <c r="M73" t="s">
        <v>198</v>
      </c>
    </row>
    <row r="74" spans="13:13" ht="15.75" customHeight="1" x14ac:dyDescent="0.2">
      <c r="M74" t="s">
        <v>199</v>
      </c>
    </row>
    <row r="75" spans="13:13" ht="15.75" customHeight="1" x14ac:dyDescent="0.2">
      <c r="M75" t="s">
        <v>200</v>
      </c>
    </row>
    <row r="76" spans="13:13" ht="15.75" customHeight="1" x14ac:dyDescent="0.2">
      <c r="M76" t="s">
        <v>201</v>
      </c>
    </row>
    <row r="77" spans="13:13" ht="15.75" customHeight="1" x14ac:dyDescent="0.2">
      <c r="M77" t="s">
        <v>202</v>
      </c>
    </row>
    <row r="78" spans="13:13" ht="15.75" customHeight="1" x14ac:dyDescent="0.2">
      <c r="M78" t="s">
        <v>203</v>
      </c>
    </row>
    <row r="79" spans="13:13" ht="15.75" customHeight="1" x14ac:dyDescent="0.2">
      <c r="M79" t="s">
        <v>204</v>
      </c>
    </row>
    <row r="80" spans="13:13" ht="15.75" customHeight="1" x14ac:dyDescent="0.2">
      <c r="M80" t="s">
        <v>205</v>
      </c>
    </row>
    <row r="81" spans="13:13" ht="15.75" customHeight="1" x14ac:dyDescent="0.2">
      <c r="M81" t="s">
        <v>206</v>
      </c>
    </row>
    <row r="82" spans="13:13" ht="15.75" customHeight="1" x14ac:dyDescent="0.2">
      <c r="M82" t="s">
        <v>207</v>
      </c>
    </row>
    <row r="83" spans="13:13" ht="15.75" customHeight="1" x14ac:dyDescent="0.2">
      <c r="M83" t="s">
        <v>208</v>
      </c>
    </row>
    <row r="84" spans="13:13" ht="15.75" customHeight="1" x14ac:dyDescent="0.2">
      <c r="M84" t="s">
        <v>209</v>
      </c>
    </row>
    <row r="85" spans="13:13" ht="15.75" customHeight="1" x14ac:dyDescent="0.2">
      <c r="M85" t="s">
        <v>210</v>
      </c>
    </row>
    <row r="86" spans="13:13" ht="15.75" customHeight="1" x14ac:dyDescent="0.2">
      <c r="M86" t="s">
        <v>211</v>
      </c>
    </row>
    <row r="87" spans="13:13" ht="15.75" customHeight="1" x14ac:dyDescent="0.2">
      <c r="M87" t="s">
        <v>212</v>
      </c>
    </row>
    <row r="88" spans="13:13" ht="15.75" customHeight="1" x14ac:dyDescent="0.2">
      <c r="M88" t="s">
        <v>213</v>
      </c>
    </row>
    <row r="89" spans="13:13" ht="15.75" customHeight="1" x14ac:dyDescent="0.2">
      <c r="M89" t="s">
        <v>214</v>
      </c>
    </row>
    <row r="90" spans="13:13" ht="15.75" customHeight="1" x14ac:dyDescent="0.2">
      <c r="M90" t="s">
        <v>215</v>
      </c>
    </row>
    <row r="91" spans="13:13" ht="15.75" customHeight="1" x14ac:dyDescent="0.2">
      <c r="M91" t="s">
        <v>216</v>
      </c>
    </row>
    <row r="92" spans="13:13" ht="15.75" customHeight="1" x14ac:dyDescent="0.2">
      <c r="M92" t="s">
        <v>217</v>
      </c>
    </row>
    <row r="93" spans="13:13" ht="15.75" customHeight="1" x14ac:dyDescent="0.2">
      <c r="M93" t="s">
        <v>218</v>
      </c>
    </row>
    <row r="94" spans="13:13" ht="15.75" customHeight="1" x14ac:dyDescent="0.2">
      <c r="M94" t="s">
        <v>219</v>
      </c>
    </row>
    <row r="95" spans="13:13" ht="15.75" customHeight="1" x14ac:dyDescent="0.2">
      <c r="M95" t="s">
        <v>220</v>
      </c>
    </row>
    <row r="96" spans="13:13" ht="15.75" customHeight="1" x14ac:dyDescent="0.2">
      <c r="M96" t="s">
        <v>221</v>
      </c>
    </row>
    <row r="97" spans="13:13" ht="15.75" customHeight="1" x14ac:dyDescent="0.2">
      <c r="M97" t="s">
        <v>222</v>
      </c>
    </row>
    <row r="98" spans="13:13" ht="15.75" customHeight="1" x14ac:dyDescent="0.2"/>
    <row r="99" spans="13:13" ht="15.75" customHeight="1" x14ac:dyDescent="0.2"/>
    <row r="100" spans="13:13" ht="15.75" customHeight="1" x14ac:dyDescent="0.2"/>
    <row r="101" spans="13:13" ht="15.75" customHeight="1" x14ac:dyDescent="0.2"/>
    <row r="102" spans="13:13" ht="15.75" customHeight="1" x14ac:dyDescent="0.2"/>
    <row r="103" spans="13:13" ht="15.75" customHeight="1" x14ac:dyDescent="0.2"/>
    <row r="104" spans="13:13" ht="15.75" customHeight="1" x14ac:dyDescent="0.2"/>
    <row r="105" spans="13:13" ht="15.75" customHeight="1" x14ac:dyDescent="0.2"/>
    <row r="106" spans="13:13" ht="15.75" customHeight="1" x14ac:dyDescent="0.2"/>
    <row r="107" spans="13:13" ht="15.75" customHeight="1" x14ac:dyDescent="0.2"/>
    <row r="108" spans="13:13" ht="15.75" customHeight="1" x14ac:dyDescent="0.2"/>
    <row r="109" spans="13:13" ht="15.75" customHeight="1" x14ac:dyDescent="0.2"/>
    <row r="110" spans="13:13" ht="15.75" customHeight="1" x14ac:dyDescent="0.2"/>
    <row r="111" spans="13:13" ht="15.75" customHeight="1" x14ac:dyDescent="0.2"/>
    <row r="112" spans="13:13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Metadata</vt:lpstr>
      <vt:lpstr>Plate Map</vt:lpstr>
      <vt:lpstr>ASSAY Respiratory Multiplex</vt:lpstr>
      <vt:lpstr>ASSAY Norovirus</vt:lpstr>
      <vt:lpstr>ASSAY Pertussis</vt:lpstr>
      <vt:lpstr>ASSAY Measles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Driscoll</dc:creator>
  <cp:lastModifiedBy>Timothy Driscoll</cp:lastModifiedBy>
  <dcterms:created xsi:type="dcterms:W3CDTF">2021-08-03T22:14:55Z</dcterms:created>
  <dcterms:modified xsi:type="dcterms:W3CDTF">2026-07-20T18:29:23Z</dcterms:modified>
</cp:coreProperties>
</file>