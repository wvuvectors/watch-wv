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FDCCA833-3738-0742-932F-C6A80CBC3B29}" xr6:coauthVersionLast="47" xr6:coauthVersionMax="47" xr10:uidLastSave="{00000000-0000-0000-0000-000000000000}"/>
  <bookViews>
    <workbookView xWindow="0" yWindow="660" windowWidth="23260" windowHeight="13900" activeTab="1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<sst xmlns="http://schemas.openxmlformats.org/spreadsheetml/2006/main" count="471" uniqueCount="284">
  <si>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</si>
  <si>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</si>
  <si>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</si>
  <si>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</si>
  <si>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</si>
  <si>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</si>
  <si>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</si>
  <si>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</si>
  <si>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</si>
  <si>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</si>
  <si>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</si>
  <si>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</si>
  <si>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</si>
  <si>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</si>
  <si>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</si>
  <si>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</si>
  <si>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</si>
  <si>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</si>
  <si>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</si>
  <si>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</si>
  <si>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</si>
  <si>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</si>
  <si>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</si>
  <si>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</si>
  <si>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</si>
  <si>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</si>
  <si>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</si>
  <si>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</si>
  <si>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</si>
  <si>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</si>
  <si>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</si>
  <si>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</si>
  <si>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</si>
  <si>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</si>
  <si>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</si>
  <si>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</si>
  <si>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</si>
  <si>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</si>
  <si>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</si>
  <si>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</si>
  <si>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</si>
  <si>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</si>
  <si>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</si>
  <si>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</si>
  <si>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</si>
  <si>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</si>
  <si>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</si>
  <si>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</si>
  <si>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</si>
  <si>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</si>
  <si>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</si>
  <si>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</si>
  <si>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</si>
  <si>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</si>
  <si>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</si>
  <si>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</si>
  <si>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</si>
  <si>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</si>
  <si>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</si>
  <si>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</si>
  <si>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</si>
  <si>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</si>
  <si>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</si>
  <si>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</si>
  <si>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</si>
  <si>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</si>
  <si>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</si>
  <si>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</si>
  <si>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</si>
  <si>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</si>
  <si>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</si>
  <si>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</si>
  <si>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</si>
  <si>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</si>
  <si>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</si>
  <si>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</si>
  <si>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</si>
  <si>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</si>
  <si>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</si>
  <si>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</si>
  <si>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</si>
  <si>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</si>
  <si>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</si>
  <si>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</si>
  <si>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</si>
  <si>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</si>
  <si>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</si>
  <si>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</si>
  <si>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</si>
  <si>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</si>
  <si>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</si>
  <si>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</si>
  <si>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</si>
  <si>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</si>
  <si>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</si>
  <si>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</si>
  <si>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</si>
  <si>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</si>
  <si>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</si>
  <si>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</si>
  <si>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</si>
  <si>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</si>
  <si>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</si>
  <si>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</si>
  <si>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</si>
  <si>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</si>
  <si>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</si>
  <si>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</si>
  <si>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</si>
  <si>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</si>
  <si>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</si>
  <si>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</si>
  <si>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</si>
  <si>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</si>
  <si>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</si>
  <si>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</si>
  <si>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</si>
  <si>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</si>
  <si>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</si>
  <si>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</si>
  <si>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</si>
  <si>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</si>
  <si>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</si>
  <si>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</si>
  <si>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</si>
  <si>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</si>
  <si>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</si>
  <si>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</si>
  <si>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</si>
  <si>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</si>
  <si>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</si>
  <si>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</si>
  <si>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</si>
  <si>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</si>
  <si>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</si>
  <si>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</si>
  <si>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</si>
  <si>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</si>
  <si>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</si>
  <si>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</si>
  <si>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</si>
  <si>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</si>
  <si>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</si>
  <si>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</si>
  <si>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</si>
  <si>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</si>
  <si>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</si>
  <si>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</si>
  <si>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</si>
  <si>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</si>
  <si>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</si>
  <si>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</si>
  <si>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</si>
  <si>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</si>
  <si>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</si>
  <si>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</si>
  <si>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</si>
  <si>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</si>
  <si>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</si>
  <si>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</si>
  <si>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</si>
  <si>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</si>
  <si>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</si>
  <si>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</si>
  <si>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</si>
  <si>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</si>
  <si>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</si>
  <si>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</si>
  <si>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</si>
  <si>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</si>
  <si>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</si>
  <si>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</si>
  <si>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</si>
  <si>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</si>
  <si>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</si>
  <si>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</si>
  <si>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</si>
  <si>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</si>
  <si>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</si>
  <si>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</si>
  <si>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</si>
  <si>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</si>
  <si>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</si>
  <si>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</si>
  <si>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</si>
  <si>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</si>
  <si>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</si>
  <si>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</si>
  <si>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</si>
  <si>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</si>
  <si>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</si>
  <si>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</si>
  <si>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</si>
  <si>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</si>
  <si>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</si>
  <si>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</si>
  <si>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</si>
  <si>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</si>
  <si>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</si>
  <si>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</si>
  <si>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</si>
  <si>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</si>
  <si>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A01-1458</t>
  </si>
  <si>
    <t>A01-1459</t>
  </si>
  <si>
    <t>M04-0431</t>
  </si>
  <si>
    <t>A04-0598</t>
  </si>
  <si>
    <t>P01-1007</t>
  </si>
  <si>
    <t>D01-1007</t>
  </si>
  <si>
    <t>Q01-1009</t>
  </si>
  <si>
    <t>G01-0653</t>
  </si>
  <si>
    <t>U01-0174</t>
  </si>
  <si>
    <t>J01-1009</t>
  </si>
  <si>
    <t>K01-0469</t>
  </si>
  <si>
    <t>L01-1004</t>
  </si>
  <si>
    <t>A01-1460</t>
  </si>
  <si>
    <t>A01-1461</t>
  </si>
  <si>
    <t>A01-1462</t>
  </si>
  <si>
    <t>A01-1463</t>
  </si>
  <si>
    <t>A01-1464</t>
  </si>
  <si>
    <t>A01-1465</t>
  </si>
  <si>
    <t>C01-1200</t>
  </si>
  <si>
    <t>C01-1201</t>
  </si>
  <si>
    <t>C01-1202</t>
  </si>
  <si>
    <t>C01-1203</t>
  </si>
  <si>
    <t>C01-1204</t>
  </si>
  <si>
    <t>C01-1205</t>
  </si>
  <si>
    <t>C01-1206</t>
  </si>
  <si>
    <t>C01-1207</t>
  </si>
  <si>
    <t>C01-1208</t>
  </si>
  <si>
    <t>C01-1209</t>
  </si>
  <si>
    <t>H01-1016</t>
  </si>
  <si>
    <t>R02-1009</t>
  </si>
  <si>
    <t>A04-0597</t>
  </si>
  <si>
    <t>R02-1010</t>
  </si>
  <si>
    <t>G01-0650</t>
  </si>
  <si>
    <t>K01-0468</t>
  </si>
  <si>
    <t>T01-0415</t>
  </si>
  <si>
    <t>T01-0421</t>
  </si>
  <si>
    <t>U01-1005</t>
  </si>
  <si>
    <t>Q01-1010</t>
  </si>
  <si>
    <t>NAB 162 B1</t>
  </si>
  <si>
    <t>C1</t>
  </si>
  <si>
    <t>B2</t>
  </si>
  <si>
    <t>C2</t>
  </si>
  <si>
    <t>B3</t>
  </si>
  <si>
    <t>C3</t>
  </si>
  <si>
    <t>B4</t>
  </si>
  <si>
    <t>C4</t>
  </si>
  <si>
    <t>B5</t>
  </si>
  <si>
    <t>C5</t>
  </si>
  <si>
    <t>B6</t>
  </si>
  <si>
    <t>B7</t>
  </si>
  <si>
    <t>B8</t>
  </si>
  <si>
    <t>NAB-162 D1</t>
  </si>
  <si>
    <t>E1</t>
  </si>
  <si>
    <t>F1</t>
  </si>
  <si>
    <t>G1</t>
  </si>
  <si>
    <t>D2</t>
  </si>
  <si>
    <t>E2</t>
  </si>
  <si>
    <t>F2</t>
  </si>
  <si>
    <t>G2</t>
  </si>
  <si>
    <t>D3</t>
  </si>
  <si>
    <t>E3</t>
  </si>
  <si>
    <t>F3</t>
  </si>
  <si>
    <t>D4</t>
  </si>
  <si>
    <t>E4</t>
  </si>
  <si>
    <t>F4</t>
  </si>
  <si>
    <t>D5</t>
  </si>
  <si>
    <t>E5</t>
  </si>
  <si>
    <t>F5</t>
  </si>
  <si>
    <t>D6</t>
  </si>
  <si>
    <t>E6</t>
  </si>
  <si>
    <t>F6</t>
  </si>
  <si>
    <t>D7</t>
  </si>
  <si>
    <t>E7</t>
  </si>
  <si>
    <t>F7</t>
  </si>
  <si>
    <t>D8</t>
  </si>
  <si>
    <t>E8</t>
  </si>
  <si>
    <t>F8</t>
  </si>
  <si>
    <t>ntc</t>
  </si>
  <si>
    <t>JL</t>
  </si>
  <si>
    <t>AB132</t>
  </si>
  <si>
    <t>B02</t>
  </si>
  <si>
    <t>M03-1005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</si>
</sst>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zoomScale="89" zoomScaleNormal="70" workbookViewId="0">
      <selection activeCell="B93" sqref="B93"/>
    </sheetView>
  </sheetViews>
  <sheetFormatPr baseColWidth="10" defaultColWidth="11.42578125" defaultRowHeight="15" customHeight="1" x14ac:dyDescent="0.2"/>
  <cols>
    <col min="1" max="1" width="51.5703125" style="43" customWidth="1"/>
    <col min="2" max="2" width="113.85546875" style="43" bestFit="1" customWidth="1"/>
    <col min="3" max="3" width="93.85546875" style="43" customWidth="1"/>
    <col min="4" max="26" width="26" style="43" customWidth="1"/>
    <col min="27" max="16384" width="11.42578125" style="43"/>
  </cols>
  <sheetData>
    <row r="1" spans="1:26" ht="32" customHeight="1" x14ac:dyDescent="0.2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2" customHeight="1" thickBot="1" x14ac:dyDescent="0.25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2">
      <c r="A3" s="46" t="s">
        <v>1</v>
      </c>
      <c r="B3" s="47">
        <v>46056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2">
      <c r="A4" s="42" t="s">
        <v>2</v>
      </c>
      <c r="B4" s="42" t="s">
        <v>280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2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2">
      <c r="A6" s="49" t="s">
        <v>120</v>
      </c>
      <c r="B6" s="49" t="s">
        <v>281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2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2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2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2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2">
      <c r="A11" s="46" t="s">
        <v>82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2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2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2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2">
      <c r="A15" s="69" t="s">
        <v>112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25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" customHeight="1" x14ac:dyDescent="0.2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" customHeight="1" x14ac:dyDescent="0.2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" customHeight="1" x14ac:dyDescent="0.2">
      <c r="A19" s="51" t="s">
        <v>113</v>
      </c>
      <c r="B19" s="52" t="s">
        <v>197</v>
      </c>
      <c r="C19"/>
    </row>
    <row r="20" spans="1:26" ht="25" customHeight="1" x14ac:dyDescent="0.2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" customHeight="1" x14ac:dyDescent="0.2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" customHeight="1" x14ac:dyDescent="0.2">
      <c r="A22" s="53" t="s">
        <v>79</v>
      </c>
      <c r="B22" s="54" t="s">
        <v>89</v>
      </c>
      <c r="C22"/>
    </row>
    <row r="23" spans="1:26" ht="25" customHeight="1" x14ac:dyDescent="0.2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" customHeight="1" x14ac:dyDescent="0.2">
      <c r="A24" s="53" t="s">
        <v>75</v>
      </c>
      <c r="B24" s="54" t="s">
        <v>130</v>
      </c>
      <c r="C24"/>
    </row>
    <row r="25" spans="1:26" ht="25" customHeight="1" x14ac:dyDescent="0.2">
      <c r="A25" s="56" t="s">
        <v>116</v>
      </c>
      <c r="B25" s="55" t="s">
        <v>282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" customHeight="1" x14ac:dyDescent="0.2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" customHeight="1" x14ac:dyDescent="0.2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" customHeight="1" x14ac:dyDescent="0.2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" customHeight="1" x14ac:dyDescent="0.2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" customHeight="1" x14ac:dyDescent="0.2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" customHeight="1" thickBot="1" x14ac:dyDescent="0.25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2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2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2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2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2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2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2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2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2">
      <c r="A40" s="56" t="s">
        <v>116</v>
      </c>
      <c r="B40" s="55" t="s">
        <v>282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2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2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2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2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2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25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2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2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2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2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2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2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2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2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2">
      <c r="A55" s="56" t="s">
        <v>116</v>
      </c>
      <c r="B55" s="55" t="s">
        <v>282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2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2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2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2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2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25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2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2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2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2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2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2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2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2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2">
      <c r="A70" s="56" t="s">
        <v>116</v>
      </c>
      <c r="B70" s="55" t="s">
        <v>282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2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2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2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2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2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25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2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2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2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2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2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2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2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2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2">
      <c r="A85" s="56" t="s">
        <v>116</v>
      </c>
      <c r="B85" s="55" t="s">
        <v>282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2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2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2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2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2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25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abSelected="1" zoomScale="50" zoomScaleNormal="50" workbookViewId="0">
      <selection activeCell="C3" sqref="C3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 t="s">
        <v>202</v>
      </c>
      <c r="C2" s="37" t="s">
        <v>283</v>
      </c>
      <c r="D2" s="36" t="s">
        <v>214</v>
      </c>
      <c r="E2" s="37" t="s">
        <v>222</v>
      </c>
      <c r="F2" s="36" t="s">
        <v>230</v>
      </c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 t="s">
        <v>203</v>
      </c>
      <c r="C3" s="36" t="s">
        <v>204</v>
      </c>
      <c r="D3" s="37" t="s">
        <v>215</v>
      </c>
      <c r="E3" s="36" t="s">
        <v>223</v>
      </c>
      <c r="F3" s="37" t="s">
        <v>231</v>
      </c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 t="s">
        <v>205</v>
      </c>
      <c r="C4" s="37" t="s">
        <v>206</v>
      </c>
      <c r="D4" s="36" t="s">
        <v>216</v>
      </c>
      <c r="E4" s="37" t="s">
        <v>224</v>
      </c>
      <c r="F4" s="36" t="s">
        <v>232</v>
      </c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 t="s">
        <v>207</v>
      </c>
      <c r="C5" s="36" t="s">
        <v>208</v>
      </c>
      <c r="D5" s="37" t="s">
        <v>217</v>
      </c>
      <c r="E5" s="36" t="s">
        <v>225</v>
      </c>
      <c r="F5" s="37" t="s">
        <v>233</v>
      </c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 t="s">
        <v>209</v>
      </c>
      <c r="C6" s="37" t="s">
        <v>210</v>
      </c>
      <c r="D6" s="36" t="s">
        <v>218</v>
      </c>
      <c r="E6" s="37" t="s">
        <v>226</v>
      </c>
      <c r="F6" s="36" t="s">
        <v>234</v>
      </c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 t="s">
        <v>211</v>
      </c>
      <c r="C7" s="36" t="s">
        <v>238</v>
      </c>
      <c r="D7" s="37" t="s">
        <v>219</v>
      </c>
      <c r="E7" s="36" t="s">
        <v>227</v>
      </c>
      <c r="F7" s="37" t="s">
        <v>235</v>
      </c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 t="s">
        <v>212</v>
      </c>
      <c r="C8" s="37" t="s">
        <v>239</v>
      </c>
      <c r="D8" s="36" t="s">
        <v>220</v>
      </c>
      <c r="E8" s="37" t="s">
        <v>228</v>
      </c>
      <c r="F8" s="36" t="s">
        <v>236</v>
      </c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 t="s">
        <v>213</v>
      </c>
      <c r="C9" s="36"/>
      <c r="D9" s="37" t="s">
        <v>221</v>
      </c>
      <c r="E9" s="36" t="s">
        <v>229</v>
      </c>
      <c r="F9" s="37" t="s">
        <v>237</v>
      </c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50" zoomScaleNormal="50" workbookViewId="0">
      <selection activeCell="K3" sqref="K3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 t="s">
        <v>240</v>
      </c>
      <c r="C2" s="37" t="s">
        <v>241</v>
      </c>
      <c r="D2" s="36" t="s">
        <v>253</v>
      </c>
      <c r="E2" s="37" t="s">
        <v>254</v>
      </c>
      <c r="F2" s="36" t="s">
        <v>255</v>
      </c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 t="s">
        <v>242</v>
      </c>
      <c r="C3" s="36" t="s">
        <v>243</v>
      </c>
      <c r="D3" s="37" t="s">
        <v>257</v>
      </c>
      <c r="E3" s="36" t="s">
        <v>258</v>
      </c>
      <c r="F3" s="37" t="s">
        <v>259</v>
      </c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 t="s">
        <v>244</v>
      </c>
      <c r="C4" s="37" t="s">
        <v>245</v>
      </c>
      <c r="D4" s="36" t="s">
        <v>261</v>
      </c>
      <c r="E4" s="37" t="s">
        <v>262</v>
      </c>
      <c r="F4" s="36" t="s">
        <v>263</v>
      </c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 t="s">
        <v>246</v>
      </c>
      <c r="C5" s="36" t="s">
        <v>247</v>
      </c>
      <c r="D5" s="37" t="s">
        <v>264</v>
      </c>
      <c r="E5" s="36" t="s">
        <v>265</v>
      </c>
      <c r="F5" s="37" t="s">
        <v>266</v>
      </c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 t="s">
        <v>248</v>
      </c>
      <c r="C6" s="37" t="s">
        <v>249</v>
      </c>
      <c r="D6" s="36" t="s">
        <v>267</v>
      </c>
      <c r="E6" s="37" t="s">
        <v>268</v>
      </c>
      <c r="F6" s="36" t="s">
        <v>269</v>
      </c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 t="s">
        <v>250</v>
      </c>
      <c r="C7" s="36" t="s">
        <v>256</v>
      </c>
      <c r="D7" s="37" t="s">
        <v>270</v>
      </c>
      <c r="E7" s="36" t="s">
        <v>271</v>
      </c>
      <c r="F7" s="37" t="s">
        <v>272</v>
      </c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 t="s">
        <v>251</v>
      </c>
      <c r="C8" s="37" t="s">
        <v>260</v>
      </c>
      <c r="D8" s="36" t="s">
        <v>273</v>
      </c>
      <c r="E8" s="37" t="s">
        <v>274</v>
      </c>
      <c r="F8" s="36" t="s">
        <v>275</v>
      </c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 t="s">
        <v>252</v>
      </c>
      <c r="C9" s="36" t="s">
        <v>279</v>
      </c>
      <c r="D9" s="37" t="s">
        <v>276</v>
      </c>
      <c r="E9" s="36" t="s">
        <v>277</v>
      </c>
      <c r="F9" s="37" t="s">
        <v>278</v>
      </c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4" activePane="bottomLeft" state="frozen"/>
      <selection pane="bottomLeft" activeCell="G7" sqref="G7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2"/>
      <c r="S1" s="2"/>
    </row>
    <row r="2" spans="1:19" ht="31.5" customHeight="1" x14ac:dyDescent="0.2">
      <c r="A2" s="88" t="s">
        <v>5</v>
      </c>
      <c r="B2" s="88"/>
      <c r="C2" s="88"/>
      <c r="D2" s="88"/>
      <c r="E2" s="88"/>
      <c r="F2" s="88"/>
      <c r="G2" s="88"/>
      <c r="H2" s="88"/>
      <c r="I2" s="88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89" t="s">
        <v>6</v>
      </c>
      <c r="B3" s="89"/>
      <c r="C3" s="89"/>
      <c r="D3" s="89"/>
      <c r="E3" s="89"/>
      <c r="F3" s="89"/>
      <c r="G3" s="89"/>
      <c r="H3" s="89"/>
      <c r="I3" s="89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">
      <c r="A6" s="9" t="s">
        <v>9</v>
      </c>
      <c r="B6" s="10">
        <v>16.5</v>
      </c>
      <c r="C6" s="78" t="s">
        <v>10</v>
      </c>
      <c r="D6" s="79"/>
      <c r="E6" s="79"/>
      <c r="F6" s="8"/>
      <c r="G6" s="8"/>
      <c r="H6" s="8"/>
      <c r="I6" s="8"/>
      <c r="J6" s="8"/>
      <c r="K6" s="8"/>
      <c r="L6" s="8"/>
    </row>
    <row r="7" spans="1:19" ht="22.5" customHeight="1" x14ac:dyDescent="0.2">
      <c r="A7" s="9" t="s">
        <v>11</v>
      </c>
      <c r="B7" s="10">
        <v>5.5</v>
      </c>
      <c r="C7" s="79"/>
      <c r="D7" s="79"/>
      <c r="E7" s="79"/>
      <c r="F7" s="8"/>
      <c r="G7" s="8"/>
      <c r="H7" s="8"/>
      <c r="I7" s="8"/>
      <c r="J7" s="8"/>
      <c r="K7" s="8"/>
      <c r="L7" s="8"/>
    </row>
    <row r="8" spans="1:19" ht="22.5" customHeight="1" x14ac:dyDescent="0.2">
      <c r="A8" s="9" t="s">
        <v>12</v>
      </c>
      <c r="B8" s="10">
        <f>SUM(B6:B7)</f>
        <v>22</v>
      </c>
      <c r="C8" s="79"/>
      <c r="D8" s="79"/>
      <c r="E8" s="79"/>
      <c r="F8" s="8"/>
      <c r="G8" s="8"/>
      <c r="H8" s="8"/>
      <c r="I8" s="8"/>
      <c r="J8" s="8"/>
      <c r="K8" s="8"/>
      <c r="L8" s="8"/>
    </row>
    <row r="9" spans="1:19" ht="22.5" customHeight="1" x14ac:dyDescent="0.2">
      <c r="A9" s="9" t="s">
        <v>13</v>
      </c>
      <c r="B9" s="10">
        <v>20</v>
      </c>
      <c r="C9" s="79"/>
      <c r="D9" s="79"/>
      <c r="E9" s="79"/>
      <c r="F9" s="8"/>
      <c r="G9" s="8"/>
      <c r="H9" s="8"/>
      <c r="I9" s="8"/>
      <c r="J9" s="8"/>
      <c r="K9" s="8"/>
      <c r="L9" s="8"/>
    </row>
    <row r="10" spans="1:19" ht="30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">
      <c r="A11" s="85" t="s">
        <v>14</v>
      </c>
      <c r="B11" s="83"/>
      <c r="C11" s="83"/>
      <c r="D11" s="84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2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">
      <c r="A15" s="15" t="s">
        <v>21</v>
      </c>
      <c r="B15" s="17">
        <v>94</v>
      </c>
      <c r="C15" s="17">
        <v>0.5</v>
      </c>
      <c r="D15" s="86">
        <v>40</v>
      </c>
    </row>
    <row r="16" spans="1:19" ht="15.75" customHeight="1" x14ac:dyDescent="0.2">
      <c r="A16" s="15" t="s">
        <v>22</v>
      </c>
      <c r="B16" s="17">
        <v>55</v>
      </c>
      <c r="C16" s="17">
        <v>1</v>
      </c>
      <c r="D16" s="87"/>
    </row>
    <row r="17" spans="1:26" ht="15.75" customHeight="1" x14ac:dyDescent="0.2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">
      <c r="A18" s="18"/>
      <c r="B18" s="12"/>
      <c r="C18" s="12"/>
      <c r="D18" s="12"/>
    </row>
    <row r="19" spans="1:26" ht="27" customHeight="1" x14ac:dyDescent="0.2">
      <c r="A19" s="75" t="s">
        <v>24</v>
      </c>
      <c r="B19" s="76"/>
      <c r="C19" s="76"/>
      <c r="D19" s="77"/>
    </row>
    <row r="20" spans="1:26" ht="15.75" customHeight="1" x14ac:dyDescent="0.25">
      <c r="A20" s="19" t="s">
        <v>25</v>
      </c>
      <c r="B20" s="17" t="s">
        <v>26</v>
      </c>
      <c r="C20" s="20"/>
      <c r="D20" s="20"/>
    </row>
    <row r="21" spans="1:26" ht="15.75" customHeight="1" x14ac:dyDescent="0.25">
      <c r="A21" s="19" t="s">
        <v>27</v>
      </c>
      <c r="B21" s="17" t="s">
        <v>28</v>
      </c>
      <c r="C21" s="20"/>
      <c r="D21" s="20"/>
    </row>
    <row r="22" spans="1:26" ht="15.75" customHeight="1" x14ac:dyDescent="0.25">
      <c r="A22" s="19" t="s">
        <v>29</v>
      </c>
      <c r="B22" s="17" t="s">
        <v>30</v>
      </c>
      <c r="C22" s="20"/>
      <c r="D22" s="20"/>
    </row>
    <row r="23" spans="1:26" ht="51" customHeight="1" x14ac:dyDescent="0.2"/>
    <row r="24" spans="1:26" ht="31.5" customHeight="1" x14ac:dyDescent="0.2">
      <c r="A24" s="21" t="s">
        <v>31</v>
      </c>
      <c r="B24" s="22">
        <f>COUNTIF('Sample IDs'!B2:M9,"&lt;&gt;"&amp;"")</f>
        <v>39</v>
      </c>
      <c r="C24" s="78" t="s">
        <v>32</v>
      </c>
      <c r="D24" s="79"/>
      <c r="E24" s="79"/>
      <c r="F24" s="79"/>
      <c r="G24" s="79"/>
      <c r="H24" s="79"/>
      <c r="I24" s="79"/>
      <c r="J24" s="79"/>
      <c r="K24" s="79"/>
      <c r="L24" s="79"/>
    </row>
    <row r="25" spans="1:26" ht="30" customHeight="1" x14ac:dyDescent="0.2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">
      <c r="A27" s="80" t="s">
        <v>35</v>
      </c>
      <c r="B27" s="81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7" t="s">
        <v>36</v>
      </c>
      <c r="B28" s="28">
        <f>ROUNDUP(B33-B29-B30-B31-($B$5*B32),0)</f>
        <v>284</v>
      </c>
      <c r="C28" s="29"/>
      <c r="D28" s="29"/>
      <c r="E28" s="8"/>
      <c r="F28" s="8"/>
      <c r="L28" s="8"/>
    </row>
    <row r="29" spans="1:26" ht="15.75" customHeight="1" x14ac:dyDescent="0.25">
      <c r="A29" s="27" t="s">
        <v>37</v>
      </c>
      <c r="B29" s="28">
        <f>ROUNDUP(5.5*($B$24*B25),0)</f>
        <v>236</v>
      </c>
      <c r="C29" s="30" t="s">
        <v>38</v>
      </c>
      <c r="D29" s="29"/>
      <c r="E29" s="8"/>
      <c r="F29" s="8"/>
      <c r="L29" s="8"/>
    </row>
    <row r="30" spans="1:26" ht="15.75" customHeight="1" x14ac:dyDescent="0.25">
      <c r="A30" s="27" t="s">
        <v>39</v>
      </c>
      <c r="B30" s="28">
        <f>ROUNDUP(2.2*($B$24*B25),1)</f>
        <v>94.399999999999991</v>
      </c>
      <c r="C30" s="30" t="s">
        <v>38</v>
      </c>
      <c r="D30" s="29"/>
      <c r="E30" s="8"/>
      <c r="F30" s="8"/>
      <c r="L30" s="8"/>
    </row>
    <row r="31" spans="1:26" ht="15.75" customHeight="1" x14ac:dyDescent="0.25">
      <c r="A31" s="27" t="s">
        <v>40</v>
      </c>
      <c r="B31" s="28">
        <f>ROUNDUP(1.1*$B$24*B25,1)</f>
        <v>47.2</v>
      </c>
      <c r="C31" s="30" t="s">
        <v>38</v>
      </c>
      <c r="D31" s="29"/>
      <c r="E31" s="8"/>
      <c r="F31" s="8"/>
      <c r="L31" s="8"/>
    </row>
    <row r="32" spans="1:26" ht="15.75" customHeight="1" x14ac:dyDescent="0.25">
      <c r="A32" s="27" t="s">
        <v>41</v>
      </c>
      <c r="B32" s="28">
        <f>ROUNDUP(1.1*$B$24*B25,1)</f>
        <v>47.2</v>
      </c>
      <c r="C32" s="30" t="s">
        <v>38</v>
      </c>
      <c r="D32" s="29"/>
      <c r="E32" s="8"/>
      <c r="F32" s="8"/>
      <c r="L32" s="8"/>
    </row>
    <row r="33" spans="1:12" ht="15.75" customHeight="1" x14ac:dyDescent="0.25">
      <c r="A33" s="31" t="s">
        <v>42</v>
      </c>
      <c r="B33" s="32">
        <f>ROUNDUP(B25*$B$24*16.5,0)</f>
        <v>708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baseColWidth="10" defaultColWidth="11.42578125" defaultRowHeight="15" customHeight="1" x14ac:dyDescent="0.2"/>
  <cols>
    <col min="1" max="1" width="13" customWidth="1"/>
    <col min="2" max="2" width="42.140625" bestFit="1" customWidth="1"/>
    <col min="3" max="3" width="25.5703125" customWidth="1"/>
    <col min="4" max="4" width="17.1406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9" width="44.7109375" customWidth="1"/>
    <col min="10" max="10" width="18.42578125" customWidth="1"/>
    <col min="11" max="11" width="21.5703125" customWidth="1"/>
    <col min="12" max="12" width="86.42578125" bestFit="1" customWidth="1"/>
    <col min="13" max="13" width="20.140625" customWidth="1"/>
    <col min="14" max="14" width="12.7109375" customWidth="1"/>
    <col min="15" max="29" width="10.5703125" customWidth="1"/>
  </cols>
  <sheetData>
    <row r="1" spans="1:14" ht="15.75" customHeight="1" x14ac:dyDescent="0.2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">
      <c r="B26" s="73" t="s">
        <v>144</v>
      </c>
      <c r="D26" s="63" t="s">
        <v>106</v>
      </c>
    </row>
    <row r="27" spans="1:13" ht="15.75" customHeight="1" x14ac:dyDescent="0.2">
      <c r="B27" s="63" t="s">
        <v>70</v>
      </c>
      <c r="D27" s="63" t="s">
        <v>105</v>
      </c>
    </row>
    <row r="28" spans="1:13" ht="15.75" customHeight="1" x14ac:dyDescent="0.2">
      <c r="B28" s="63" t="s">
        <v>68</v>
      </c>
      <c r="D28" s="63" t="s">
        <v>149</v>
      </c>
    </row>
    <row r="29" spans="1:13" ht="15.75" customHeight="1" x14ac:dyDescent="0.2">
      <c r="D29" s="63" t="s">
        <v>68</v>
      </c>
    </row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2026-02-13T21:29:19Z</dcterms:modified>
</cp:coreProperties>
</file>