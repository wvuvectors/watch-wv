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cb00015\Desktop\"/>
    </mc:Choice>
  </mc:AlternateContent>
  <xr:revisionPtr revIDLastSave="0" documentId="13_ncr:1_{878398A4-67DB-401C-8360-2823E34CBF80}" xr6:coauthVersionLast="47" xr6:coauthVersionMax="47" xr10:uidLastSave="{00000000-0000-0000-0000-000000000000}"/>
  <bookViews>
    <workbookView xWindow="3036" yWindow="3036" windowWidth="17280" windowHeight="10044" firstSheet="1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<sst xmlns="http://schemas.openxmlformats.org/spreadsheetml/2006/main" count="376" uniqueCount="222">
  <si>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</si>
  <si>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</si>
  <si>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</si>
  <si>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</si>
  <si>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</si>
  <si>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</si>
  <si>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</si>
  <si>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</si>
  <si>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</si>
  <si>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</si>
  <si>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</si>
  <si>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</si>
  <si>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</si>
  <si>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</si>
  <si>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</si>
  <si>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</si>
  <si>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</si>
  <si>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</si>
  <si>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</si>
  <si>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</si>
  <si>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</si>
  <si>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</si>
  <si>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</si>
  <si>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</si>
  <si>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</si>
  <si>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</si>
  <si>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</si>
  <si>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</si>
  <si>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</si>
  <si>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XX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</si>
  <si>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</si>
  <si>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</si>
  <si>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</si>
  <si>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</si>
  <si>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</si>
  <si>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</si>
  <si>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</si>
  <si>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</si>
  <si>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</si>
  <si>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</si>
  <si>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</si>
  <si>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</si>
  <si>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</si>
  <si>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</si>
  <si>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</si>
  <si>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</si>
  <si>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</si>
  <si>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</si>
  <si>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</si>
  <si>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</si>
  <si>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</si>
  <si>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</si>
  <si>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</si>
  <si>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</si>
  <si>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</si>
  <si>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</si>
  <si>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</si>
  <si>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</si>
  <si>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</si>
  <si>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</si>
  <si>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</si>
  <si>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</si>
  <si>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</si>
  <si>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</si>
  <si>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</si>
  <si>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</si>
  <si>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</si>
  <si>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</si>
  <si>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</si>
  <si>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</si>
  <si>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</si>
  <si>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</si>
  <si>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</si>
  <si>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</si>
  <si>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</si>
  <si>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</si>
  <si>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</si>
  <si>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</si>
  <si>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</si>
  <si>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</si>
  <si>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</si>
  <si>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</si>
  <si>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</si>
  <si>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</si>
  <si>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</si>
  <si>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</si>
  <si>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</si>
  <si>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</si>
  <si>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</si>
  <si>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</si>
  <si>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</si>
  <si>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</si>
  <si>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</si>
  <si>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</si>
  <si>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</si>
  <si>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</si>
  <si>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</si>
  <si>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</si>
  <si>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</si>
  <si>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</si>
  <si>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</si>
  <si>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</si>
  <si>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</si>
  <si>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</si>
  <si>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</si>
  <si>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</si>
  <si>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</si>
  <si>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</si>
  <si>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</si>
  <si>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</si>
  <si>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</si>
  <si>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</si>
  <si>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</si>
  <si>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</si>
  <si>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</si>
  <si>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</si>
  <si>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</si>
  <si>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</si>
  <si>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</si>
  <si>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</si>
  <si>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</si>
  <si>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</si>
  <si>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</si>
  <si>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</si>
  <si>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</si>
  <si>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</si>
  <si>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</si>
  <si>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</si>
  <si>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</si>
  <si>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</si>
  <si>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</si>
  <si>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</si>
  <si>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</si>
  <si>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</si>
  <si>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</si>
  <si>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</si>
  <si>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</si>
  <si>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</si>
  <si>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</si>
  <si>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</si>
  <si>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</si>
  <si>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</si>
  <si>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</si>
  <si>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</si>
  <si>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</si>
  <si>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</si>
  <si>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</si>
  <si>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</si>
  <si>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</si>
  <si>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</si>
  <si>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</si>
  <si>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</si>
  <si>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</si>
  <si>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</si>
  <si>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</si>
  <si>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</si>
  <si>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</si>
  <si>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</si>
  <si>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</si>
  <si>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</si>
  <si>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</si>
  <si>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</si>
  <si>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</si>
  <si>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</si>
  <si>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</si>
  <si>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</si>
  <si>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</si>
  <si>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</si>
  <si>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</si>
  <si>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</si>
  <si>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</si>
  <si>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</si>
  <si>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</si>
  <si>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</si>
  <si>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</si>
  <si>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AB167</t>
  </si>
  <si>
    <t>A01-1602</t>
  </si>
  <si>
    <t>A01-1603</t>
  </si>
  <si>
    <t>A01-1604</t>
  </si>
  <si>
    <t>C01-1309</t>
  </si>
  <si>
    <t>C01-1310</t>
  </si>
  <si>
    <t>C01-1311</t>
  </si>
  <si>
    <t>C01-1312</t>
  </si>
  <si>
    <t>C01-1313</t>
  </si>
  <si>
    <t>J01-1033</t>
  </si>
  <si>
    <t>P01-1022</t>
  </si>
  <si>
    <t>M03-1027</t>
  </si>
  <si>
    <t>D01-1029</t>
  </si>
  <si>
    <t>M04-1014</t>
  </si>
  <si>
    <t>N02-1015</t>
  </si>
  <si>
    <t>O01-1017</t>
  </si>
  <si>
    <t>L01-1024</t>
  </si>
  <si>
    <t>K01-1013</t>
  </si>
  <si>
    <t>Q01-1033</t>
  </si>
  <si>
    <t>U01-0166</t>
  </si>
  <si>
    <t>R02-1032</t>
  </si>
  <si>
    <t>W02-1005</t>
  </si>
  <si>
    <t>W01-1020</t>
  </si>
  <si>
    <t>H01-1039</t>
  </si>
  <si>
    <t>NAB171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</si>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</sst>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10" workbookViewId="0">
      <selection activeCell="B14" sqref="B1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46212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174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158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159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156</v>
      </c>
      <c r="B13" s="4" t="s">
        <v>118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157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33</v>
      </c>
      <c r="B26" s="21" t="s">
        <v>153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35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36</v>
      </c>
      <c r="B28" s="21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33</v>
      </c>
      <c r="B40" s="21" t="s">
        <v>153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35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36</v>
      </c>
      <c r="B42" s="21" t="s">
        <v>29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37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29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33</v>
      </c>
      <c r="B54" s="21" t="s">
        <v>153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35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36</v>
      </c>
      <c r="B56" s="21" t="s">
        <v>29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37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29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33</v>
      </c>
      <c r="B68" s="21" t="s">
        <v>153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35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36</v>
      </c>
      <c r="B70" s="21" t="s">
        <v>29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37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139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29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33</v>
      </c>
      <c r="B82" s="21" t="s">
        <v>153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35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36</v>
      </c>
      <c r="B84" s="21" t="s">
        <v>29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37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B2" zoomScale="40" zoomScaleNormal="40" workbookViewId="0">
      <selection activeCell="D2" sqref="D2:D8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40</v>
      </c>
      <c r="B2" s="28" t="s">
        <v>176</v>
      </c>
      <c r="C2" s="28" t="s">
        <v>184</v>
      </c>
      <c r="D2" s="96" t="s">
        <v>192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41</v>
      </c>
      <c r="B3" s="94" t="s">
        <v>177</v>
      </c>
      <c r="C3" s="94" t="s">
        <v>185</v>
      </c>
      <c r="D3" s="29" t="s">
        <v>193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42</v>
      </c>
      <c r="B4" s="28" t="s">
        <v>178</v>
      </c>
      <c r="C4" s="28" t="s">
        <v>186</v>
      </c>
      <c r="D4" s="28" t="s">
        <v>194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43</v>
      </c>
      <c r="B5" s="29" t="s">
        <v>179</v>
      </c>
      <c r="C5" s="29" t="s">
        <v>187</v>
      </c>
      <c r="D5" s="29" t="s">
        <v>195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44</v>
      </c>
      <c r="B6" s="29" t="s">
        <v>180</v>
      </c>
      <c r="C6" s="29" t="s">
        <v>188</v>
      </c>
      <c r="D6" s="29" t="s">
        <v>196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45</v>
      </c>
      <c r="B7" s="95" t="s">
        <v>181</v>
      </c>
      <c r="C7" s="95" t="s">
        <v>189</v>
      </c>
      <c r="D7" s="28" t="s">
        <v>197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46</v>
      </c>
      <c r="B8" s="29" t="s">
        <v>182</v>
      </c>
      <c r="C8" s="29" t="s">
        <v>190</v>
      </c>
      <c r="D8" s="29" t="s">
        <v>198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47</v>
      </c>
      <c r="B9" s="28" t="s">
        <v>183</v>
      </c>
      <c r="C9" s="28" t="s">
        <v>191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3" zoomScale="40" zoomScaleNormal="40" workbookViewId="0">
      <selection activeCell="H4" sqref="H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 t="s">
        <v>199</v>
      </c>
      <c r="C2" s="29" t="s">
        <v>207</v>
      </c>
      <c r="D2" s="28" t="s">
        <v>215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 t="s">
        <v>200</v>
      </c>
      <c r="C3" s="28" t="s">
        <v>208</v>
      </c>
      <c r="D3" s="29" t="s">
        <v>216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 t="s">
        <v>201</v>
      </c>
      <c r="C4" s="29" t="s">
        <v>209</v>
      </c>
      <c r="D4" s="28" t="s">
        <v>217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 t="s">
        <v>202</v>
      </c>
      <c r="C5" s="28" t="s">
        <v>210</v>
      </c>
      <c r="D5" s="29" t="s">
        <v>218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 t="s">
        <v>203</v>
      </c>
      <c r="C6" s="29" t="s">
        <v>211</v>
      </c>
      <c r="D6" s="28" t="s">
        <v>219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 t="s">
        <v>204</v>
      </c>
      <c r="C7" s="28" t="s">
        <v>212</v>
      </c>
      <c r="D7" s="29" t="s">
        <v>220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 t="s">
        <v>205</v>
      </c>
      <c r="C8" s="29" t="s">
        <v>213</v>
      </c>
      <c r="D8" s="28" t="s">
        <v>221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 t="s">
        <v>206</v>
      </c>
      <c r="C9" s="28" t="s">
        <v>214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4" t="s">
        <v>48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5">
      <c r="A2" s="87" t="s">
        <v>49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8" t="s">
        <v>50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53</v>
      </c>
      <c r="B6" s="37">
        <v>16.5</v>
      </c>
      <c r="C6" s="89" t="s">
        <v>54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55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56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57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1" t="s">
        <v>58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3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65</v>
      </c>
      <c r="B15" s="44">
        <v>94</v>
      </c>
      <c r="C15" s="44">
        <v>0.5</v>
      </c>
      <c r="D15" s="92">
        <v>40</v>
      </c>
    </row>
    <row r="16" spans="1:19" ht="15.75" customHeight="1" x14ac:dyDescent="0.25">
      <c r="A16" s="42" t="s">
        <v>66</v>
      </c>
      <c r="B16" s="44">
        <v>55</v>
      </c>
      <c r="C16" s="44">
        <v>1</v>
      </c>
      <c r="D16" s="93"/>
    </row>
    <row r="17" spans="1:26" ht="15.75" customHeight="1" x14ac:dyDescent="0.25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9" t="s">
        <v>68</v>
      </c>
      <c r="B19" s="80"/>
      <c r="C19" s="80"/>
      <c r="D19" s="81"/>
    </row>
    <row r="20" spans="1:26" ht="15.75" customHeight="1" x14ac:dyDescent="0.35">
      <c r="A20" s="46" t="s">
        <v>69</v>
      </c>
      <c r="B20" s="44" t="s">
        <v>70</v>
      </c>
      <c r="C20" s="47"/>
      <c r="D20" s="47"/>
    </row>
    <row r="21" spans="1:26" ht="15.75" customHeight="1" x14ac:dyDescent="0.35">
      <c r="A21" s="46" t="s">
        <v>71</v>
      </c>
      <c r="B21" s="44" t="s">
        <v>72</v>
      </c>
      <c r="C21" s="47"/>
      <c r="D21" s="47"/>
    </row>
    <row r="22" spans="1:26" ht="15.75" customHeight="1" x14ac:dyDescent="0.35">
      <c r="A22" s="46" t="s">
        <v>73</v>
      </c>
      <c r="B22" s="44" t="s">
        <v>74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75</v>
      </c>
      <c r="B24" s="49">
        <f>COUNTIF('Sample IDs'!B2:M9,"&lt;&gt;"&amp;"")</f>
        <v>23</v>
      </c>
      <c r="C24" s="89" t="s">
        <v>76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5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2" t="s">
        <v>79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80</v>
      </c>
      <c r="B28" s="56">
        <f>ROUNDUP(B33-B29-B30-B31-($B$5*B32),0)</f>
        <v>167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81</v>
      </c>
      <c r="B29" s="56">
        <f>ROUNDUP(5.5*($B$24*B25),0)</f>
        <v>140</v>
      </c>
      <c r="C29" s="58" t="s">
        <v>82</v>
      </c>
      <c r="D29" s="57"/>
      <c r="E29" s="35"/>
      <c r="F29" s="35"/>
      <c r="L29" s="35"/>
    </row>
    <row r="30" spans="1:26" ht="15.75" customHeight="1" x14ac:dyDescent="0.35">
      <c r="A30" s="55" t="s">
        <v>83</v>
      </c>
      <c r="B30" s="56">
        <f>ROUNDUP(2.2*($B$24*B25),1)</f>
        <v>55.7</v>
      </c>
      <c r="C30" s="58" t="s">
        <v>82</v>
      </c>
      <c r="D30" s="57"/>
      <c r="E30" s="35"/>
      <c r="F30" s="35"/>
      <c r="L30" s="35"/>
    </row>
    <row r="31" spans="1:26" ht="15.75" customHeight="1" x14ac:dyDescent="0.35">
      <c r="A31" s="55" t="s">
        <v>84</v>
      </c>
      <c r="B31" s="56">
        <f>ROUNDUP(1.1*$B$24*B25,1)</f>
        <v>27.900000000000002</v>
      </c>
      <c r="C31" s="58" t="s">
        <v>82</v>
      </c>
      <c r="D31" s="57"/>
      <c r="E31" s="35"/>
      <c r="F31" s="35"/>
      <c r="L31" s="35"/>
    </row>
    <row r="32" spans="1:26" ht="15.75" customHeight="1" x14ac:dyDescent="0.35">
      <c r="A32" s="55" t="s">
        <v>85</v>
      </c>
      <c r="B32" s="56">
        <f>ROUNDUP(1.1*$B$24*B25,1)</f>
        <v>27.900000000000002</v>
      </c>
      <c r="C32" s="58" t="s">
        <v>82</v>
      </c>
      <c r="D32" s="57"/>
      <c r="E32" s="35"/>
      <c r="F32" s="35"/>
      <c r="L32" s="35"/>
    </row>
    <row r="33" spans="1:12" ht="15.75" customHeight="1" x14ac:dyDescent="0.35">
      <c r="A33" s="59" t="s">
        <v>86</v>
      </c>
      <c r="B33" s="60">
        <f>ROUNDUP(B25*$B$24*16.5,0)</f>
        <v>418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4.17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172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139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149</v>
      </c>
      <c r="J2" s="77" t="s">
        <v>164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137</v>
      </c>
      <c r="C3" s="25" t="s">
        <v>105</v>
      </c>
      <c r="D3" s="25" t="s">
        <v>101</v>
      </c>
      <c r="E3" s="25" t="s">
        <v>153</v>
      </c>
      <c r="F3" s="25" t="s">
        <v>32</v>
      </c>
      <c r="G3" s="25" t="s">
        <v>39</v>
      </c>
      <c r="H3" s="25" t="s">
        <v>102</v>
      </c>
      <c r="I3" s="25" t="s">
        <v>150</v>
      </c>
      <c r="J3" s="25" t="s">
        <v>118</v>
      </c>
      <c r="K3" s="69">
        <v>1.2</v>
      </c>
      <c r="L3" s="25" t="s">
        <v>117</v>
      </c>
      <c r="M3" s="25"/>
    </row>
    <row r="4" spans="1:13" ht="15.75" customHeight="1" x14ac:dyDescent="0.25">
      <c r="A4" s="25" t="s">
        <v>120</v>
      </c>
      <c r="B4" s="25" t="s">
        <v>138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121</v>
      </c>
      <c r="I4" s="25" t="s">
        <v>103</v>
      </c>
      <c r="J4" s="25" t="s">
        <v>119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148</v>
      </c>
      <c r="C5" s="25" t="s">
        <v>104</v>
      </c>
      <c r="D5" s="25" t="s">
        <v>109</v>
      </c>
      <c r="E5" s="25" t="s">
        <v>34</v>
      </c>
      <c r="G5" s="25" t="s">
        <v>110</v>
      </c>
      <c r="H5" s="67" t="s">
        <v>123</v>
      </c>
      <c r="I5" s="25" t="s">
        <v>104</v>
      </c>
      <c r="J5" s="25" t="s">
        <v>122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143</v>
      </c>
      <c r="D6" s="25" t="s">
        <v>104</v>
      </c>
      <c r="E6" s="25" t="s">
        <v>154</v>
      </c>
      <c r="F6" s="25"/>
      <c r="G6" s="25" t="s">
        <v>112</v>
      </c>
      <c r="H6" s="64" t="s">
        <v>121</v>
      </c>
      <c r="J6" s="25" t="s">
        <v>124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144</v>
      </c>
      <c r="C7" s="25"/>
      <c r="D7" s="25"/>
      <c r="E7" s="25" t="s">
        <v>155</v>
      </c>
      <c r="F7" s="25"/>
      <c r="G7" s="25" t="s">
        <v>115</v>
      </c>
      <c r="H7" s="25" t="s">
        <v>104</v>
      </c>
      <c r="I7" s="25"/>
      <c r="J7" s="25" t="s">
        <v>125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140</v>
      </c>
      <c r="C8" s="25"/>
      <c r="D8" s="25"/>
      <c r="E8" s="25" t="s">
        <v>114</v>
      </c>
      <c r="F8" s="25"/>
      <c r="G8" s="25" t="s">
        <v>38</v>
      </c>
      <c r="H8" s="25"/>
      <c r="I8" s="25"/>
      <c r="J8" s="64" t="s">
        <v>121</v>
      </c>
      <c r="K8" s="70"/>
    </row>
    <row r="9" spans="1:13" ht="15.75" customHeight="1" x14ac:dyDescent="0.25">
      <c r="A9" s="25"/>
      <c r="B9" s="25" t="s">
        <v>141</v>
      </c>
      <c r="C9" s="25"/>
      <c r="D9" s="25"/>
      <c r="E9" s="25" t="s">
        <v>147</v>
      </c>
      <c r="F9" s="25"/>
      <c r="G9" s="25" t="s">
        <v>116</v>
      </c>
      <c r="H9" s="25"/>
      <c r="I9" s="25"/>
      <c r="J9" s="25" t="s">
        <v>126</v>
      </c>
      <c r="K9" s="70"/>
    </row>
    <row r="10" spans="1:13" ht="15.75" customHeight="1" x14ac:dyDescent="0.25">
      <c r="A10" s="25"/>
      <c r="B10" s="25" t="s">
        <v>162</v>
      </c>
      <c r="C10" s="25"/>
      <c r="D10" s="25"/>
      <c r="E10" s="25" t="s">
        <v>104</v>
      </c>
      <c r="F10" s="25"/>
      <c r="G10" s="25"/>
      <c r="H10" s="25"/>
      <c r="I10" s="25"/>
      <c r="J10" s="25" t="s">
        <v>127</v>
      </c>
      <c r="K10" s="70"/>
    </row>
    <row r="11" spans="1:13" ht="15.75" customHeight="1" x14ac:dyDescent="0.25">
      <c r="A11" s="25"/>
      <c r="B11" s="25" t="s">
        <v>171</v>
      </c>
      <c r="C11" s="25"/>
      <c r="D11" s="25"/>
      <c r="E11" s="25"/>
      <c r="F11" s="25"/>
      <c r="G11" s="25"/>
      <c r="H11" s="25"/>
      <c r="I11" s="25"/>
      <c r="J11" s="25" t="s">
        <v>128</v>
      </c>
      <c r="K11" s="70"/>
    </row>
    <row r="12" spans="1:13" ht="15.75" customHeight="1" x14ac:dyDescent="0.25">
      <c r="A12" s="25"/>
      <c r="B12" s="25" t="s">
        <v>160</v>
      </c>
      <c r="C12" s="25"/>
      <c r="D12" s="25"/>
      <c r="E12" s="25"/>
      <c r="F12" s="25"/>
      <c r="G12" s="25"/>
      <c r="H12" s="25"/>
      <c r="I12" s="25"/>
      <c r="J12" s="25" t="s">
        <v>129</v>
      </c>
      <c r="K12" s="70"/>
    </row>
    <row r="13" spans="1:13" ht="15.75" customHeight="1" x14ac:dyDescent="0.25">
      <c r="A13" s="25"/>
      <c r="B13" s="25" t="s">
        <v>161</v>
      </c>
      <c r="C13" s="25"/>
      <c r="D13" s="25"/>
      <c r="E13" s="25"/>
      <c r="F13" s="25"/>
      <c r="G13" s="25"/>
      <c r="H13" s="25"/>
      <c r="I13" s="25"/>
      <c r="J13" s="25" t="s">
        <v>130</v>
      </c>
      <c r="K13" s="70"/>
    </row>
    <row r="14" spans="1:13" ht="15.75" customHeight="1" x14ac:dyDescent="0.25">
      <c r="A14" s="25"/>
      <c r="B14" s="25" t="s">
        <v>145</v>
      </c>
      <c r="C14" s="25"/>
      <c r="D14" s="25"/>
      <c r="E14" s="25"/>
      <c r="F14" s="25"/>
      <c r="G14" s="25"/>
      <c r="H14" s="25"/>
      <c r="I14" s="25"/>
      <c r="J14" s="25" t="s">
        <v>131</v>
      </c>
      <c r="K14" s="70"/>
    </row>
    <row r="15" spans="1:13" ht="15.75" customHeight="1" x14ac:dyDescent="0.25">
      <c r="A15" s="25"/>
      <c r="B15" s="25" t="s">
        <v>151</v>
      </c>
      <c r="C15" s="25"/>
      <c r="D15" s="25"/>
      <c r="E15" s="25"/>
      <c r="F15" s="25"/>
      <c r="G15" s="25"/>
      <c r="H15" s="25"/>
      <c r="I15" s="25"/>
      <c r="J15" s="25" t="s">
        <v>132</v>
      </c>
      <c r="K15" s="70"/>
    </row>
    <row r="16" spans="1:13" ht="15.75" customHeight="1" x14ac:dyDescent="0.25">
      <c r="A16" s="25"/>
      <c r="B16" s="25" t="s">
        <v>152</v>
      </c>
      <c r="C16" s="25"/>
      <c r="D16" s="25"/>
      <c r="E16" s="25"/>
      <c r="F16" s="25"/>
      <c r="G16" s="25"/>
      <c r="H16" s="25"/>
      <c r="I16" s="25"/>
      <c r="J16" s="25" t="s">
        <v>133</v>
      </c>
      <c r="K16" s="70"/>
    </row>
    <row r="17" spans="1:11" ht="15.75" customHeight="1" x14ac:dyDescent="0.25">
      <c r="A17" s="25"/>
      <c r="B17" s="75" t="s">
        <v>146</v>
      </c>
      <c r="C17" s="25"/>
      <c r="D17" s="25"/>
      <c r="E17" s="25"/>
      <c r="F17" s="25"/>
      <c r="G17" s="25"/>
      <c r="H17" s="25"/>
      <c r="I17" s="25"/>
      <c r="J17" s="78" t="s">
        <v>165</v>
      </c>
      <c r="K17" s="70"/>
    </row>
    <row r="18" spans="1:11" ht="15.75" customHeight="1" x14ac:dyDescent="0.25">
      <c r="A18" s="25"/>
      <c r="B18" s="25" t="s">
        <v>173</v>
      </c>
      <c r="C18" s="25"/>
      <c r="D18" s="25"/>
      <c r="E18" s="25"/>
      <c r="F18" s="25"/>
      <c r="G18" s="25"/>
      <c r="H18" s="25"/>
      <c r="I18" s="25"/>
      <c r="J18" s="25" t="s">
        <v>169</v>
      </c>
      <c r="K18" s="70"/>
    </row>
    <row r="19" spans="1:11" ht="15.75" customHeight="1" x14ac:dyDescent="0.25">
      <c r="A19" s="25"/>
      <c r="B19" s="25" t="s">
        <v>147</v>
      </c>
      <c r="C19" s="25"/>
      <c r="D19" s="25"/>
      <c r="E19" s="25"/>
      <c r="F19" s="25"/>
      <c r="G19" s="25"/>
      <c r="H19" s="25"/>
      <c r="I19" s="25"/>
      <c r="J19" s="76" t="s">
        <v>163</v>
      </c>
      <c r="K19" s="70"/>
    </row>
    <row r="20" spans="1:11" ht="15.75" customHeight="1" x14ac:dyDescent="0.25">
      <c r="A20" s="25"/>
      <c r="B20" s="25" t="s">
        <v>142</v>
      </c>
      <c r="C20" s="25"/>
      <c r="D20" s="25"/>
      <c r="E20" s="25"/>
      <c r="F20" s="25"/>
      <c r="G20" s="25"/>
      <c r="H20" s="25"/>
      <c r="I20" s="25"/>
      <c r="J20" s="25" t="s">
        <v>135</v>
      </c>
      <c r="K20" s="70"/>
    </row>
    <row r="21" spans="1:11" ht="15.75" customHeight="1" x14ac:dyDescent="0.25">
      <c r="A21" s="25"/>
      <c r="B21" s="25" t="s">
        <v>104</v>
      </c>
      <c r="C21" s="25"/>
      <c r="D21" s="25"/>
      <c r="E21" s="25"/>
      <c r="F21" s="25"/>
      <c r="G21" s="25"/>
      <c r="H21" s="25"/>
      <c r="I21" s="25"/>
      <c r="J21" s="25" t="s">
        <v>166</v>
      </c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J22" s="76" t="s">
        <v>170</v>
      </c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J23" s="25" t="s">
        <v>168</v>
      </c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167</v>
      </c>
      <c r="K24" s="70"/>
    </row>
    <row r="25" spans="1:11" ht="15.75" customHeight="1" x14ac:dyDescent="0.25">
      <c r="A25" s="25"/>
      <c r="C25" s="25"/>
      <c r="D25" s="25"/>
      <c r="E25" s="25"/>
      <c r="F25" s="25"/>
      <c r="G25" s="25"/>
      <c r="H25" s="25"/>
      <c r="I25" s="25"/>
      <c r="J25" s="25" t="s">
        <v>134</v>
      </c>
      <c r="K25" s="70"/>
    </row>
    <row r="26" spans="1:11" ht="15.75" customHeight="1" x14ac:dyDescent="0.25">
      <c r="B26" s="65"/>
      <c r="H26" s="25"/>
    </row>
    <row r="27" spans="1:11" ht="15.75" customHeight="1" x14ac:dyDescent="0.25">
      <c r="B27" s="6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2026-07-09T17:12:11Z</dcterms:modified>
</cp:coreProperties>
</file>