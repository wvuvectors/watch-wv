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0F367798-8677-4777-AFB8-0C557E3A96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<sst xmlns="http://schemas.openxmlformats.org/spreadsheetml/2006/main" count="314" uniqueCount="196">
  <si>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</si>
  <si>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</si>
  <si>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</si>
  <si>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</si>
  <si>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</si>
  <si>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</si>
  <si>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</si>
  <si>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</si>
  <si>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</si>
  <si>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</si>
  <si>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</si>
  <si>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</si>
  <si>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</si>
  <si>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</si>
  <si>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Direct Quantification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</si>
  <si>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</si>
  <si>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</si>
  <si>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</si>
  <si>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</si>
  <si>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</si>
  <si>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</si>
  <si>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</si>
  <si>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</si>
  <si>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</si>
  <si>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</si>
  <si>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</si>
  <si>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</si>
  <si>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</si>
  <si>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</si>
  <si>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</si>
  <si>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</si>
  <si>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PCR Positive</t>
  </si>
  <si>
    <t>LV-SARS_N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</si>
  <si>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</si>
  <si>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</si>
  <si>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</si>
  <si>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</si>
  <si>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</si>
  <si>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</si>
  <si>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</si>
  <si>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</si>
  <si>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</si>
  <si>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</si>
  <si>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</si>
  <si>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</si>
  <si>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</si>
  <si>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</si>
  <si>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</si>
  <si>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</si>
  <si>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</si>
  <si>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</si>
  <si>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</si>
  <si>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</si>
  <si>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</si>
  <si>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</si>
  <si>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</si>
  <si>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</si>
  <si>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</si>
  <si>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</si>
  <si>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</si>
  <si>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</si>
  <si>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</si>
  <si>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</si>
  <si>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</si>
  <si>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</si>
  <si>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</si>
  <si>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</si>
  <si>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</si>
  <si>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</si>
  <si>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</si>
  <si>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</si>
  <si>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</si>
  <si>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</si>
  <si>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</si>
  <si>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</si>
  <si>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</si>
  <si>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</si>
  <si>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</si>
  <si>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</si>
  <si>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</si>
  <si>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</si>
  <si>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</si>
  <si>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</si>
  <si>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</si>
  <si>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</si>
  <si>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</si>
  <si>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</si>
  <si>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</si>
  <si>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</si>
  <si>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</si>
  <si>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</si>
  <si>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</si>
  <si>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</si>
  <si>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</si>
  <si>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</si>
  <si>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</si>
  <si>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</si>
  <si>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</si>
  <si>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</si>
  <si>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</si>
  <si>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</si>
  <si>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</si>
  <si>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</si>
  <si>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</si>
  <si>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</si>
  <si>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</si>
  <si>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</si>
  <si>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</si>
  <si>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</si>
  <si>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</si>
  <si>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</si>
  <si>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</si>
  <si>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</si>
  <si>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</si>
  <si>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</si>
  <si>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</si>
  <si>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</si>
  <si>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</si>
  <si>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</si>
  <si>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</si>
  <si>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</si>
  <si>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</si>
  <si>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</si>
  <si>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</si>
  <si>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</si>
  <si>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</si>
  <si>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</si>
  <si>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</si>
  <si>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</si>
  <si>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</si>
  <si>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</si>
  <si>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</si>
  <si>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</si>
  <si>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</si>
  <si>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</si>
  <si>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</si>
  <si>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</si>
  <si>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</si>
  <si>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</si>
  <si>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</si>
  <si>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</si>
  <si>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</si>
  <si>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</si>
  <si>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</si>
  <si>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</si>
  <si>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</si>
  <si>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</si>
  <si>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</si>
  <si>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</si>
  <si>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</si>
  <si>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</si>
  <si>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</si>
  <si>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</si>
  <si>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</si>
  <si>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</si>
  <si>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</si>
  <si>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</si>
  <si>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</si>
  <si>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</si>
  <si>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</si>
  <si>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A01-1482</t>
  </si>
  <si>
    <t>R02-1013</t>
  </si>
  <si>
    <t>A01-1483</t>
  </si>
  <si>
    <t>N02-0575</t>
  </si>
  <si>
    <t>A01-1484</t>
  </si>
  <si>
    <t>L01-1005</t>
  </si>
  <si>
    <t>A01-1485</t>
  </si>
  <si>
    <t>M03-1009</t>
  </si>
  <si>
    <t>A01-1486</t>
  </si>
  <si>
    <t>M04-0428</t>
  </si>
  <si>
    <t>A01-1487</t>
  </si>
  <si>
    <t>D01-1011</t>
  </si>
  <si>
    <t>H01-1019</t>
  </si>
  <si>
    <t>W01-1000</t>
  </si>
  <si>
    <t>K01-0475</t>
  </si>
  <si>
    <t>G01-0658</t>
  </si>
  <si>
    <t>NAB163 D1</t>
  </si>
  <si>
    <t>E1</t>
  </si>
  <si>
    <t>D2</t>
  </si>
  <si>
    <t>E2</t>
  </si>
  <si>
    <t>D3</t>
  </si>
  <si>
    <t>E3</t>
  </si>
  <si>
    <t>D4</t>
  </si>
  <si>
    <t>E4</t>
  </si>
  <si>
    <t>D5</t>
  </si>
  <si>
    <t>E5</t>
  </si>
  <si>
    <t>D6</t>
  </si>
  <si>
    <t>E6</t>
  </si>
  <si>
    <t>D7</t>
  </si>
  <si>
    <t>E7</t>
  </si>
  <si>
    <t>D8</t>
  </si>
  <si>
    <t>E8</t>
  </si>
  <si>
    <t>ntc</t>
  </si>
  <si>
    <t>JL</t>
  </si>
  <si>
    <t>AB135</t>
  </si>
  <si>
    <t>A03,B03,C03,D03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</si>
</sst>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80" zoomScaleNormal="80" workbookViewId="0">
      <selection activeCell="C76" sqref="C76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46078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193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194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155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156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153</v>
      </c>
      <c r="B13" s="4" t="s">
        <v>115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154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19</v>
      </c>
      <c r="B17" s="17" t="s">
        <v>137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29</v>
      </c>
      <c r="B23" s="18" t="s">
        <v>195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/>
      <c r="B25" s="22"/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/>
      <c r="B26" s="2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/>
      <c r="B27" s="22"/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/>
      <c r="B28" s="2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/>
      <c r="B29" s="74"/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17</v>
      </c>
      <c r="B30" s="15" t="s">
        <v>34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19</v>
      </c>
      <c r="B31" s="17" t="s">
        <v>144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29</v>
      </c>
      <c r="B37" s="18" t="s">
        <v>195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/>
      <c r="B39" s="2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/>
      <c r="B40" s="2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/>
      <c r="B41" s="2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/>
      <c r="B42" s="2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/>
      <c r="B43" s="74"/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17</v>
      </c>
      <c r="B44" s="15" t="s">
        <v>102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19</v>
      </c>
      <c r="B45" s="17" t="s">
        <v>139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29</v>
      </c>
      <c r="B51" s="18" t="s">
        <v>195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/>
      <c r="B53" s="2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/>
      <c r="B54" s="2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/>
      <c r="B55" s="2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/>
      <c r="B56" s="2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/>
      <c r="B57" s="74"/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17</v>
      </c>
      <c r="B58" s="15" t="s">
        <v>106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19</v>
      </c>
      <c r="B59" s="17" t="s">
        <v>138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29</v>
      </c>
      <c r="B65" s="18" t="s">
        <v>195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/>
      <c r="B67" s="2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/>
      <c r="B68" s="2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/>
      <c r="B69" s="2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/>
      <c r="B70" s="2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/>
      <c r="B71" s="74"/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17</v>
      </c>
      <c r="B72" s="15" t="s">
        <v>108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19</v>
      </c>
      <c r="B73" s="17" t="s">
        <v>136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29</v>
      </c>
      <c r="B79" s="18" t="s">
        <v>195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/>
      <c r="B81" s="2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/>
      <c r="B82" s="2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/>
      <c r="B83" s="2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/>
      <c r="B84" s="2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/>
      <c r="B85" s="74"/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B67 B25 B62 B20 B39 B34 B53 B48 B81 B76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B63 B68 B35 B40 B49 B54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B69 B27 B46 B41 B60 B55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B64 B36 B50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F5" sqref="F5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35</v>
      </c>
      <c r="B2" s="76" t="s">
        <v>160</v>
      </c>
      <c r="C2" s="77" t="s">
        <v>161</v>
      </c>
      <c r="D2" s="28" t="s">
        <v>192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36</v>
      </c>
      <c r="B3" s="77" t="s">
        <v>162</v>
      </c>
      <c r="C3" s="76" t="s">
        <v>163</v>
      </c>
      <c r="D3" s="29" t="s">
        <v>192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37</v>
      </c>
      <c r="B4" s="76" t="s">
        <v>164</v>
      </c>
      <c r="C4" s="77" t="s">
        <v>165</v>
      </c>
      <c r="D4" s="28" t="s">
        <v>192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38</v>
      </c>
      <c r="B5" s="77" t="s">
        <v>166</v>
      </c>
      <c r="C5" s="76" t="s">
        <v>167</v>
      </c>
      <c r="D5" s="29" t="s">
        <v>192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39</v>
      </c>
      <c r="B6" s="76" t="s">
        <v>168</v>
      </c>
      <c r="C6" s="77" t="s">
        <v>169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40</v>
      </c>
      <c r="B7" s="77" t="s">
        <v>170</v>
      </c>
      <c r="C7" s="76" t="s">
        <v>171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41</v>
      </c>
      <c r="B8" s="76" t="s">
        <v>172</v>
      </c>
      <c r="C8" s="77" t="s">
        <v>173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42</v>
      </c>
      <c r="B9" s="77" t="s">
        <v>174</v>
      </c>
      <c r="C9" s="76" t="s">
        <v>175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35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36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37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38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39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40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41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42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35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36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37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38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39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40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41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42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0" zoomScaleNormal="50" workbookViewId="0">
      <selection activeCell="E5" sqref="E5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35</v>
      </c>
      <c r="B2" s="76" t="s">
        <v>176</v>
      </c>
      <c r="C2" s="77" t="s">
        <v>177</v>
      </c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36</v>
      </c>
      <c r="B3" s="77" t="s">
        <v>178</v>
      </c>
      <c r="C3" s="76" t="s">
        <v>179</v>
      </c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37</v>
      </c>
      <c r="B4" s="76" t="s">
        <v>180</v>
      </c>
      <c r="C4" s="77" t="s">
        <v>181</v>
      </c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38</v>
      </c>
      <c r="B5" s="77" t="s">
        <v>182</v>
      </c>
      <c r="C5" s="76" t="s">
        <v>183</v>
      </c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39</v>
      </c>
      <c r="B6" s="76" t="s">
        <v>184</v>
      </c>
      <c r="C6" s="77" t="s">
        <v>185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40</v>
      </c>
      <c r="B7" s="77" t="s">
        <v>186</v>
      </c>
      <c r="C7" s="76" t="s">
        <v>187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41</v>
      </c>
      <c r="B8" s="76" t="s">
        <v>188</v>
      </c>
      <c r="C8" s="77" t="s">
        <v>189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42</v>
      </c>
      <c r="B9" s="77" t="s">
        <v>190</v>
      </c>
      <c r="C9" s="76" t="s">
        <v>191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4" activePane="bottomLeft" state="frozen"/>
      <selection pane="bottomLeft" activeCell="G36" sqref="G36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3" t="s">
        <v>43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5">
      <c r="A2" s="86" t="s">
        <v>44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7" t="s">
        <v>45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46</v>
      </c>
      <c r="B5" s="34">
        <v>1</v>
      </c>
      <c r="C5" s="11" t="s">
        <v>47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48</v>
      </c>
      <c r="B6" s="37">
        <v>16.5</v>
      </c>
      <c r="C6" s="88" t="s">
        <v>49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50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51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52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0" t="s">
        <v>53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54</v>
      </c>
      <c r="B12" s="41" t="s">
        <v>55</v>
      </c>
      <c r="C12" s="41" t="s">
        <v>56</v>
      </c>
      <c r="D12" s="41" t="s">
        <v>57</v>
      </c>
      <c r="E12" s="35"/>
    </row>
    <row r="13" spans="1:19" ht="15.75" customHeight="1" x14ac:dyDescent="0.35">
      <c r="A13" s="42" t="s">
        <v>58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59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60</v>
      </c>
      <c r="B15" s="44">
        <v>94</v>
      </c>
      <c r="C15" s="44">
        <v>0.5</v>
      </c>
      <c r="D15" s="91">
        <v>40</v>
      </c>
    </row>
    <row r="16" spans="1:19" ht="15.75" customHeight="1" x14ac:dyDescent="0.25">
      <c r="A16" s="42" t="s">
        <v>61</v>
      </c>
      <c r="B16" s="44">
        <v>55</v>
      </c>
      <c r="C16" s="44">
        <v>1</v>
      </c>
      <c r="D16" s="92"/>
    </row>
    <row r="17" spans="1:26" ht="15.75" customHeight="1" x14ac:dyDescent="0.25">
      <c r="A17" s="42" t="s">
        <v>62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8" t="s">
        <v>63</v>
      </c>
      <c r="B19" s="79"/>
      <c r="C19" s="79"/>
      <c r="D19" s="80"/>
    </row>
    <row r="20" spans="1:26" ht="15.75" customHeight="1" x14ac:dyDescent="0.35">
      <c r="A20" s="46" t="s">
        <v>64</v>
      </c>
      <c r="B20" s="44" t="s">
        <v>65</v>
      </c>
      <c r="C20" s="47"/>
      <c r="D20" s="47"/>
    </row>
    <row r="21" spans="1:26" ht="15.75" customHeight="1" x14ac:dyDescent="0.35">
      <c r="A21" s="46" t="s">
        <v>66</v>
      </c>
      <c r="B21" s="44" t="s">
        <v>67</v>
      </c>
      <c r="C21" s="47"/>
      <c r="D21" s="47"/>
    </row>
    <row r="22" spans="1:26" ht="15.75" customHeight="1" x14ac:dyDescent="0.35">
      <c r="A22" s="46" t="s">
        <v>68</v>
      </c>
      <c r="B22" s="44" t="s">
        <v>69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70</v>
      </c>
      <c r="B24" s="49">
        <f>COUNTIF('Sample IDs'!B2:M9,"&lt;&gt;"&amp;"")</f>
        <v>20</v>
      </c>
      <c r="C24" s="88" t="s">
        <v>71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5">
      <c r="A25" s="50" t="s">
        <v>72</v>
      </c>
      <c r="B25" s="51">
        <v>1.1000000000000001</v>
      </c>
      <c r="C25" s="52" t="s">
        <v>73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1" t="s">
        <v>74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75</v>
      </c>
      <c r="B28" s="56">
        <f>ROUNDUP(B33-B29-B30-B31-($B$5*B32),0)</f>
        <v>146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76</v>
      </c>
      <c r="B29" s="56">
        <f>ROUNDUP(5.5*($B$24*B25),0)</f>
        <v>121</v>
      </c>
      <c r="C29" s="58" t="s">
        <v>77</v>
      </c>
      <c r="D29" s="57"/>
      <c r="E29" s="35"/>
      <c r="F29" s="35"/>
      <c r="L29" s="35"/>
    </row>
    <row r="30" spans="1:26" ht="15.75" customHeight="1" x14ac:dyDescent="0.35">
      <c r="A30" s="55" t="s">
        <v>78</v>
      </c>
      <c r="B30" s="56">
        <f>ROUNDUP(2.2*($B$24*B25),1)</f>
        <v>48.4</v>
      </c>
      <c r="C30" s="58" t="s">
        <v>77</v>
      </c>
      <c r="D30" s="57"/>
      <c r="E30" s="35"/>
      <c r="F30" s="35"/>
      <c r="L30" s="35"/>
    </row>
    <row r="31" spans="1:26" ht="15.75" customHeight="1" x14ac:dyDescent="0.35">
      <c r="A31" s="55" t="s">
        <v>79</v>
      </c>
      <c r="B31" s="56">
        <f>ROUNDUP(1.1*$B$24*B25,1)</f>
        <v>24.2</v>
      </c>
      <c r="C31" s="58" t="s">
        <v>77</v>
      </c>
      <c r="D31" s="57"/>
      <c r="E31" s="35"/>
      <c r="F31" s="35"/>
      <c r="L31" s="35"/>
    </row>
    <row r="32" spans="1:26" ht="15.75" customHeight="1" x14ac:dyDescent="0.35">
      <c r="A32" s="55" t="s">
        <v>80</v>
      </c>
      <c r="B32" s="56">
        <f>ROUNDUP(1.1*$B$24*B25,1)</f>
        <v>24.2</v>
      </c>
      <c r="C32" s="58" t="s">
        <v>77</v>
      </c>
      <c r="D32" s="57"/>
      <c r="E32" s="35"/>
      <c r="F32" s="35"/>
      <c r="L32" s="35"/>
    </row>
    <row r="33" spans="1:12" ht="15.75" customHeight="1" x14ac:dyDescent="0.35">
      <c r="A33" s="59" t="s">
        <v>81</v>
      </c>
      <c r="B33" s="60">
        <f>ROUNDUP(B25*$B$24*16.5,0)</f>
        <v>363</v>
      </c>
      <c r="C33" s="58" t="s">
        <v>82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83</v>
      </c>
      <c r="B1" s="66" t="s">
        <v>84</v>
      </c>
      <c r="C1" s="66" t="s">
        <v>85</v>
      </c>
      <c r="D1" s="66" t="s">
        <v>86</v>
      </c>
      <c r="E1" s="66" t="s">
        <v>87</v>
      </c>
      <c r="F1" s="66" t="s">
        <v>88</v>
      </c>
      <c r="G1" s="66" t="s">
        <v>89</v>
      </c>
      <c r="H1" s="66" t="s">
        <v>90</v>
      </c>
      <c r="I1" s="66" t="s">
        <v>91</v>
      </c>
      <c r="J1" s="66" t="s">
        <v>92</v>
      </c>
      <c r="K1" s="68" t="s">
        <v>93</v>
      </c>
      <c r="L1" s="66" t="s">
        <v>94</v>
      </c>
      <c r="M1" s="63"/>
    </row>
    <row r="2" spans="1:13" ht="15.75" customHeight="1" x14ac:dyDescent="0.25">
      <c r="A2" s="25" t="s">
        <v>6</v>
      </c>
      <c r="B2" s="25" t="s">
        <v>136</v>
      </c>
      <c r="C2" s="25" t="s">
        <v>96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12</v>
      </c>
      <c r="I2" s="25" t="s">
        <v>146</v>
      </c>
      <c r="J2" s="25" t="s">
        <v>115</v>
      </c>
      <c r="K2" s="72">
        <v>2</v>
      </c>
      <c r="L2" s="25" t="s">
        <v>27</v>
      </c>
      <c r="M2" s="25"/>
    </row>
    <row r="3" spans="1:13" ht="15.75" customHeight="1" x14ac:dyDescent="0.25">
      <c r="A3" s="25" t="s">
        <v>95</v>
      </c>
      <c r="B3" s="25" t="s">
        <v>134</v>
      </c>
      <c r="C3" s="25" t="s">
        <v>101</v>
      </c>
      <c r="D3" s="25" t="s">
        <v>97</v>
      </c>
      <c r="E3" s="25" t="s">
        <v>150</v>
      </c>
      <c r="F3" s="25" t="s">
        <v>31</v>
      </c>
      <c r="G3" s="25" t="s">
        <v>34</v>
      </c>
      <c r="H3" s="25" t="s">
        <v>98</v>
      </c>
      <c r="I3" s="25" t="s">
        <v>147</v>
      </c>
      <c r="J3" s="25" t="s">
        <v>116</v>
      </c>
      <c r="K3" s="69">
        <v>1.2</v>
      </c>
      <c r="L3" s="25" t="s">
        <v>114</v>
      </c>
      <c r="M3" s="25"/>
    </row>
    <row r="4" spans="1:13" ht="15.75" customHeight="1" x14ac:dyDescent="0.25">
      <c r="A4" s="25" t="s">
        <v>117</v>
      </c>
      <c r="B4" s="25" t="s">
        <v>135</v>
      </c>
      <c r="C4" s="25" t="s">
        <v>104</v>
      </c>
      <c r="D4" s="25" t="s">
        <v>22</v>
      </c>
      <c r="E4" s="25" t="s">
        <v>20</v>
      </c>
      <c r="F4" s="25" t="s">
        <v>100</v>
      </c>
      <c r="G4" s="25" t="s">
        <v>102</v>
      </c>
      <c r="H4" s="64" t="s">
        <v>118</v>
      </c>
      <c r="I4" s="25" t="s">
        <v>99</v>
      </c>
      <c r="J4" s="25" t="s">
        <v>119</v>
      </c>
      <c r="K4" s="70"/>
      <c r="L4" s="25" t="s">
        <v>103</v>
      </c>
      <c r="M4" s="25"/>
    </row>
    <row r="5" spans="1:13" ht="15.75" customHeight="1" x14ac:dyDescent="0.25">
      <c r="A5" s="25" t="s">
        <v>100</v>
      </c>
      <c r="B5" s="25" t="s">
        <v>145</v>
      </c>
      <c r="C5" s="25" t="s">
        <v>100</v>
      </c>
      <c r="D5" s="25" t="s">
        <v>105</v>
      </c>
      <c r="E5" s="25" t="s">
        <v>32</v>
      </c>
      <c r="G5" s="25" t="s">
        <v>106</v>
      </c>
      <c r="H5" s="67" t="s">
        <v>120</v>
      </c>
      <c r="I5" s="25" t="s">
        <v>100</v>
      </c>
      <c r="J5" s="25" t="s">
        <v>121</v>
      </c>
      <c r="K5" s="70"/>
      <c r="L5" s="25" t="s">
        <v>107</v>
      </c>
      <c r="M5" s="25"/>
    </row>
    <row r="6" spans="1:13" ht="15.75" customHeight="1" x14ac:dyDescent="0.25">
      <c r="A6" s="25"/>
      <c r="B6" s="75" t="s">
        <v>140</v>
      </c>
      <c r="D6" s="25" t="s">
        <v>100</v>
      </c>
      <c r="E6" s="25" t="s">
        <v>151</v>
      </c>
      <c r="F6" s="25"/>
      <c r="G6" s="25" t="s">
        <v>108</v>
      </c>
      <c r="H6" s="64" t="s">
        <v>118</v>
      </c>
      <c r="J6" s="25" t="s">
        <v>122</v>
      </c>
      <c r="K6" s="70"/>
      <c r="L6" s="25" t="s">
        <v>109</v>
      </c>
      <c r="M6" s="25"/>
    </row>
    <row r="7" spans="1:13" ht="15.75" customHeight="1" x14ac:dyDescent="0.25">
      <c r="A7" s="25"/>
      <c r="B7" s="75" t="s">
        <v>141</v>
      </c>
      <c r="C7" s="25"/>
      <c r="D7" s="25"/>
      <c r="E7" s="25" t="s">
        <v>152</v>
      </c>
      <c r="F7" s="25"/>
      <c r="G7" s="25" t="s">
        <v>111</v>
      </c>
      <c r="H7" s="25" t="s">
        <v>100</v>
      </c>
      <c r="I7" s="25"/>
      <c r="J7" s="64" t="s">
        <v>118</v>
      </c>
      <c r="K7" s="70"/>
      <c r="L7" s="25" t="s">
        <v>100</v>
      </c>
      <c r="M7" s="25"/>
    </row>
    <row r="8" spans="1:13" ht="15.75" customHeight="1" x14ac:dyDescent="0.25">
      <c r="A8" s="25"/>
      <c r="B8" s="25" t="s">
        <v>137</v>
      </c>
      <c r="C8" s="25"/>
      <c r="D8" s="25"/>
      <c r="E8" s="25" t="s">
        <v>110</v>
      </c>
      <c r="F8" s="25"/>
      <c r="G8" s="25" t="s">
        <v>33</v>
      </c>
      <c r="H8" s="25"/>
      <c r="I8" s="25"/>
      <c r="J8" s="25" t="s">
        <v>123</v>
      </c>
      <c r="K8" s="70"/>
    </row>
    <row r="9" spans="1:13" ht="15.75" customHeight="1" x14ac:dyDescent="0.25">
      <c r="A9" s="25"/>
      <c r="B9" s="25" t="s">
        <v>138</v>
      </c>
      <c r="C9" s="25"/>
      <c r="D9" s="25"/>
      <c r="E9" s="25" t="s">
        <v>144</v>
      </c>
      <c r="F9" s="25"/>
      <c r="G9" s="25" t="s">
        <v>112</v>
      </c>
      <c r="H9" s="25"/>
      <c r="I9" s="25"/>
      <c r="J9" s="25" t="s">
        <v>124</v>
      </c>
      <c r="K9" s="70"/>
    </row>
    <row r="10" spans="1:13" ht="15.75" customHeight="1" x14ac:dyDescent="0.25">
      <c r="A10" s="25"/>
      <c r="B10" s="25" t="s">
        <v>159</v>
      </c>
      <c r="C10" s="25"/>
      <c r="D10" s="25"/>
      <c r="E10" s="25" t="s">
        <v>100</v>
      </c>
      <c r="F10" s="25"/>
      <c r="G10" s="25"/>
      <c r="H10" s="25"/>
      <c r="I10" s="25"/>
      <c r="J10" s="25" t="s">
        <v>125</v>
      </c>
      <c r="K10" s="70"/>
    </row>
    <row r="11" spans="1:13" ht="15.75" customHeight="1" x14ac:dyDescent="0.25">
      <c r="A11" s="25"/>
      <c r="B11" s="25" t="s">
        <v>157</v>
      </c>
      <c r="C11" s="25"/>
      <c r="D11" s="25"/>
      <c r="E11" s="25"/>
      <c r="F11" s="25"/>
      <c r="G11" s="25"/>
      <c r="H11" s="25"/>
      <c r="I11" s="25"/>
      <c r="J11" s="25" t="s">
        <v>126</v>
      </c>
      <c r="K11" s="70"/>
    </row>
    <row r="12" spans="1:13" ht="15.75" customHeight="1" x14ac:dyDescent="0.25">
      <c r="A12" s="25"/>
      <c r="B12" s="25" t="s">
        <v>158</v>
      </c>
      <c r="C12" s="25"/>
      <c r="D12" s="25"/>
      <c r="E12" s="25"/>
      <c r="F12" s="25"/>
      <c r="G12" s="25"/>
      <c r="H12" s="25"/>
      <c r="I12" s="25"/>
      <c r="J12" s="25" t="s">
        <v>127</v>
      </c>
      <c r="K12" s="70"/>
    </row>
    <row r="13" spans="1:13" ht="15.75" customHeight="1" x14ac:dyDescent="0.25">
      <c r="A13" s="25"/>
      <c r="B13" s="25" t="s">
        <v>142</v>
      </c>
      <c r="C13" s="25"/>
      <c r="D13" s="25"/>
      <c r="E13" s="25"/>
      <c r="F13" s="25"/>
      <c r="G13" s="25"/>
      <c r="H13" s="25"/>
      <c r="I13" s="25"/>
      <c r="J13" s="25" t="s">
        <v>128</v>
      </c>
      <c r="K13" s="70"/>
    </row>
    <row r="14" spans="1:13" ht="15.75" customHeight="1" x14ac:dyDescent="0.25">
      <c r="A14" s="25"/>
      <c r="B14" s="25" t="s">
        <v>148</v>
      </c>
      <c r="C14" s="25"/>
      <c r="D14" s="25"/>
      <c r="E14" s="25"/>
      <c r="F14" s="25"/>
      <c r="G14" s="25"/>
      <c r="H14" s="25"/>
      <c r="I14" s="25"/>
      <c r="J14" s="25" t="s">
        <v>129</v>
      </c>
      <c r="K14" s="70"/>
    </row>
    <row r="15" spans="1:13" ht="15.75" customHeight="1" x14ac:dyDescent="0.25">
      <c r="A15" s="25"/>
      <c r="B15" s="25" t="s">
        <v>149</v>
      </c>
      <c r="C15" s="25"/>
      <c r="D15" s="25"/>
      <c r="E15" s="25"/>
      <c r="F15" s="25"/>
      <c r="G15" s="25"/>
      <c r="H15" s="25"/>
      <c r="I15" s="25"/>
      <c r="J15" s="25" t="s">
        <v>130</v>
      </c>
      <c r="K15" s="70"/>
    </row>
    <row r="16" spans="1:13" ht="15.75" customHeight="1" x14ac:dyDescent="0.25">
      <c r="A16" s="25"/>
      <c r="B16" s="75" t="s">
        <v>143</v>
      </c>
      <c r="C16" s="25"/>
      <c r="D16" s="25"/>
      <c r="E16" s="25"/>
      <c r="F16" s="25"/>
      <c r="G16" s="25"/>
      <c r="H16" s="25"/>
      <c r="I16" s="25"/>
      <c r="J16" s="64" t="s">
        <v>118</v>
      </c>
      <c r="K16" s="70"/>
    </row>
    <row r="17" spans="1:11" ht="15.75" customHeight="1" x14ac:dyDescent="0.25">
      <c r="A17" s="25"/>
      <c r="B17" s="25" t="s">
        <v>144</v>
      </c>
      <c r="C17" s="25"/>
      <c r="D17" s="25"/>
      <c r="E17" s="25"/>
      <c r="F17" s="25"/>
      <c r="G17" s="25"/>
      <c r="H17" s="25"/>
      <c r="I17" s="25"/>
      <c r="J17" s="67" t="s">
        <v>131</v>
      </c>
      <c r="K17" s="70"/>
    </row>
    <row r="18" spans="1:11" ht="15.75" customHeight="1" x14ac:dyDescent="0.25">
      <c r="A18" s="25"/>
      <c r="B18" s="25" t="s">
        <v>139</v>
      </c>
      <c r="C18" s="25"/>
      <c r="D18" s="25"/>
      <c r="E18" s="25"/>
      <c r="F18" s="25"/>
      <c r="G18" s="25"/>
      <c r="H18" s="25"/>
      <c r="I18" s="25"/>
      <c r="J18" s="67" t="s">
        <v>132</v>
      </c>
      <c r="K18" s="70"/>
    </row>
    <row r="19" spans="1:11" ht="15.75" customHeight="1" x14ac:dyDescent="0.25">
      <c r="A19" s="25"/>
      <c r="B19" s="25" t="s">
        <v>100</v>
      </c>
      <c r="C19" s="25"/>
      <c r="D19" s="25"/>
      <c r="E19" s="25"/>
      <c r="F19" s="25"/>
      <c r="G19" s="25"/>
      <c r="H19" s="25"/>
      <c r="I19" s="25"/>
      <c r="J19" s="64" t="s">
        <v>118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113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2026-02-26T13:09:01Z</dcterms:modified>
</cp:coreProperties>
</file>