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E45E73DB-C005-4782-A49B-DAFB18854A15}" xr6:coauthVersionLast="47" xr6:coauthVersionMax="47" xr10:uidLastSave="{00000000-0000-0000-0000-000000000000}"/>
  <bookViews>
    <workbookView xWindow="1848" yWindow="276" windowWidth="20472" windowHeight="13092" firstSheet="1" activeTab="5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<sst xmlns="http://schemas.openxmlformats.org/spreadsheetml/2006/main" count="377" uniqueCount="222">
  <si>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</si>
  <si>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</si>
  <si>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</si>
  <si>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</si>
  <si>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</si>
  <si>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</si>
  <si>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</si>
  <si>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</si>
  <si>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</si>
  <si>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</si>
  <si>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</si>
  <si>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</si>
  <si>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</si>
  <si>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</si>
  <si>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</si>
  <si>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</si>
  <si>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</si>
  <si>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</si>
  <si>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</si>
  <si>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</si>
  <si>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</si>
  <si>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</si>
  <si>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</si>
  <si>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</si>
  <si>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</si>
  <si>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</si>
  <si>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</si>
  <si>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</si>
  <si>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</si>
  <si>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</si>
  <si>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</si>
  <si>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</si>
  <si>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</si>
  <si>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</si>
  <si>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</si>
  <si>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</si>
  <si>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</si>
  <si>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</si>
  <si>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</si>
  <si>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</si>
  <si>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</si>
  <si>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</si>
  <si>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</si>
  <si>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</si>
  <si>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</si>
  <si>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</si>
  <si>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</si>
  <si>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</si>
  <si>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</si>
  <si>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</si>
  <si>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</si>
  <si>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</si>
  <si>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</si>
  <si>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</si>
  <si>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</si>
  <si>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</si>
  <si>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</si>
  <si>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</si>
  <si>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</si>
  <si>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</si>
  <si>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</si>
  <si>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</si>
  <si>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</si>
  <si>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</si>
  <si>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</si>
  <si>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</si>
  <si>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</si>
  <si>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</si>
  <si>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</si>
  <si>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</si>
  <si>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</si>
  <si>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</si>
  <si>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</si>
  <si>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</si>
  <si>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</si>
  <si>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</si>
  <si>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</si>
  <si>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</si>
  <si>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</si>
  <si>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</si>
  <si>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</si>
  <si>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</si>
  <si>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</si>
  <si>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</si>
  <si>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</si>
  <si>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</si>
  <si>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</si>
  <si>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</si>
  <si>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</si>
  <si>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</si>
  <si>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</si>
  <si>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</si>
  <si>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</si>
  <si>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</si>
  <si>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</si>
  <si>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</si>
  <si>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</si>
  <si>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</si>
  <si>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</si>
  <si>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</si>
  <si>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</si>
  <si>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</si>
  <si>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</si>
  <si>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</si>
  <si>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</si>
  <si>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</si>
  <si>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</si>
  <si>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</si>
  <si>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</si>
  <si>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</si>
  <si>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</si>
  <si>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</si>
  <si>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</si>
  <si>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</si>
  <si>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</si>
  <si>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</si>
  <si>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</si>
  <si>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</si>
  <si>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</si>
  <si>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</si>
  <si>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</si>
  <si>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</si>
  <si>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</si>
  <si>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</si>
  <si>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</si>
  <si>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</si>
  <si>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</si>
  <si>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</si>
  <si>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</si>
  <si>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</si>
  <si>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</si>
  <si>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</si>
  <si>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</si>
  <si>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</si>
  <si>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</si>
  <si>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</si>
  <si>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</si>
  <si>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</si>
  <si>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</si>
  <si>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</si>
  <si>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</si>
  <si>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</si>
  <si>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</si>
  <si>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</si>
  <si>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</si>
  <si>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</si>
  <si>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</si>
  <si>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</si>
  <si>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</si>
  <si>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</si>
  <si>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</si>
  <si>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</si>
  <si>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</si>
  <si>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</si>
  <si>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</si>
  <si>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</si>
  <si>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</si>
  <si>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</si>
  <si>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</si>
  <si>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</si>
  <si>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</si>
  <si>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</si>
  <si>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</si>
  <si>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</si>
  <si>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AJ</t>
  </si>
  <si>
    <t>AB146</t>
  </si>
  <si>
    <t>A01-1543</t>
  </si>
  <si>
    <t>A01-1544</t>
  </si>
  <si>
    <t>A01-1545</t>
  </si>
  <si>
    <t>C01-1231</t>
  </si>
  <si>
    <t>C01-1232</t>
  </si>
  <si>
    <t>C01-1233</t>
  </si>
  <si>
    <t>C01-1234</t>
  </si>
  <si>
    <t>C01-1235</t>
  </si>
  <si>
    <t>W01-1009</t>
  </si>
  <si>
    <t>D01-1019</t>
  </si>
  <si>
    <t>J01-1022</t>
  </si>
  <si>
    <t>M03-1016</t>
  </si>
  <si>
    <t>H01-1028</t>
  </si>
  <si>
    <t>K01-0494</t>
  </si>
  <si>
    <t>P01-1016</t>
  </si>
  <si>
    <t>M04-1007</t>
  </si>
  <si>
    <t>N03-1004</t>
  </si>
  <si>
    <t>N02-1006</t>
  </si>
  <si>
    <t>O01-1009</t>
  </si>
  <si>
    <t>L01-1014</t>
  </si>
  <si>
    <t>U01-0176</t>
  </si>
  <si>
    <t>A04-0586</t>
  </si>
  <si>
    <t>Q01-1022</t>
  </si>
  <si>
    <t>F01-1012</t>
  </si>
  <si>
    <t>G01-1009</t>
  </si>
  <si>
    <t>R02-1022</t>
  </si>
  <si>
    <t>NTC</t>
  </si>
  <si>
    <t>PC</t>
  </si>
  <si>
    <t>C4</t>
  </si>
  <si>
    <t>D4</t>
  </si>
  <si>
    <t>NAB166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</si>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</sst>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2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A14" workbookViewId="0">
      <selection activeCell="B84" sqref="B84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46135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164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165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158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28</v>
      </c>
      <c r="B23" s="18" t="s">
        <v>194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35</v>
      </c>
      <c r="B28" s="21" t="s">
        <v>195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28</v>
      </c>
      <c r="B37" s="18" t="s">
        <v>194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35</v>
      </c>
      <c r="B42" s="21" t="s">
        <v>195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28</v>
      </c>
      <c r="B51" s="18" t="s">
        <v>194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35</v>
      </c>
      <c r="B56" s="21" t="s">
        <v>195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28</v>
      </c>
      <c r="B65" s="18" t="s">
        <v>194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35</v>
      </c>
      <c r="B70" s="21" t="s">
        <v>195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28</v>
      </c>
      <c r="B79" s="18" t="s">
        <v>194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35</v>
      </c>
      <c r="B84" s="21" t="s">
        <v>195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workbookViewId="0">
      <selection activeCell="E5" sqref="E5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39</v>
      </c>
      <c r="B2" s="91" t="s">
        <v>166</v>
      </c>
      <c r="C2" s="92" t="s">
        <v>174</v>
      </c>
      <c r="D2" s="91" t="s">
        <v>182</v>
      </c>
      <c r="E2" s="92" t="s">
        <v>190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40</v>
      </c>
      <c r="B3" s="92" t="s">
        <v>167</v>
      </c>
      <c r="C3" s="91" t="s">
        <v>175</v>
      </c>
      <c r="D3" s="92" t="s">
        <v>183</v>
      </c>
      <c r="E3" s="91" t="s">
        <v>191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41</v>
      </c>
      <c r="B4" s="91" t="s">
        <v>168</v>
      </c>
      <c r="C4" s="92" t="s">
        <v>176</v>
      </c>
      <c r="D4" s="91" t="s">
        <v>184</v>
      </c>
      <c r="E4" s="29" t="s">
        <v>192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42</v>
      </c>
      <c r="B5" s="92" t="s">
        <v>169</v>
      </c>
      <c r="C5" s="91" t="s">
        <v>177</v>
      </c>
      <c r="D5" s="92" t="s">
        <v>185</v>
      </c>
      <c r="E5" s="28" t="s">
        <v>193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43</v>
      </c>
      <c r="B6" s="91" t="s">
        <v>170</v>
      </c>
      <c r="C6" s="92" t="s">
        <v>178</v>
      </c>
      <c r="D6" s="91" t="s">
        <v>186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44</v>
      </c>
      <c r="B7" s="92" t="s">
        <v>171</v>
      </c>
      <c r="C7" s="91" t="s">
        <v>179</v>
      </c>
      <c r="D7" s="92" t="s">
        <v>187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45</v>
      </c>
      <c r="B8" s="91" t="s">
        <v>172</v>
      </c>
      <c r="C8" s="92" t="s">
        <v>180</v>
      </c>
      <c r="D8" s="91" t="s">
        <v>188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46</v>
      </c>
      <c r="B9" s="92" t="s">
        <v>173</v>
      </c>
      <c r="C9" s="91" t="s">
        <v>181</v>
      </c>
      <c r="D9" s="92" t="s">
        <v>189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F4" sqref="F4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 t="s">
        <v>196</v>
      </c>
      <c r="C2" s="29" t="s">
        <v>204</v>
      </c>
      <c r="D2" s="28" t="s">
        <v>212</v>
      </c>
      <c r="E2" s="29" t="s">
        <v>220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 t="s">
        <v>197</v>
      </c>
      <c r="C3" s="28" t="s">
        <v>205</v>
      </c>
      <c r="D3" s="29" t="s">
        <v>213</v>
      </c>
      <c r="E3" s="28" t="s">
        <v>221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 t="s">
        <v>198</v>
      </c>
      <c r="C4" s="29" t="s">
        <v>206</v>
      </c>
      <c r="D4" s="28" t="s">
        <v>214</v>
      </c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 t="s">
        <v>199</v>
      </c>
      <c r="C5" s="28" t="s">
        <v>207</v>
      </c>
      <c r="D5" s="29" t="s">
        <v>215</v>
      </c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 t="s">
        <v>200</v>
      </c>
      <c r="C6" s="29" t="s">
        <v>208</v>
      </c>
      <c r="D6" s="28" t="s">
        <v>216</v>
      </c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 t="s">
        <v>201</v>
      </c>
      <c r="C7" s="28" t="s">
        <v>209</v>
      </c>
      <c r="D7" s="29" t="s">
        <v>217</v>
      </c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 t="s">
        <v>202</v>
      </c>
      <c r="C8" s="29" t="s">
        <v>210</v>
      </c>
      <c r="D8" s="28" t="s">
        <v>218</v>
      </c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 t="s">
        <v>203</v>
      </c>
      <c r="C9" s="28" t="s">
        <v>211</v>
      </c>
      <c r="D9" s="29" t="s">
        <v>219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tabSelected="1" workbookViewId="0">
      <pane ySplit="3" topLeftCell="A23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1" t="s">
        <v>47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3"/>
      <c r="R1" s="30"/>
      <c r="S1" s="30"/>
    </row>
    <row r="2" spans="1:19" ht="31.5" customHeight="1" x14ac:dyDescent="0.25">
      <c r="A2" s="84" t="s">
        <v>48</v>
      </c>
      <c r="B2" s="82"/>
      <c r="C2" s="82"/>
      <c r="D2" s="82"/>
      <c r="E2" s="82"/>
      <c r="F2" s="82"/>
      <c r="G2" s="82"/>
      <c r="H2" s="82"/>
      <c r="I2" s="83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5" t="s">
        <v>49</v>
      </c>
      <c r="B3" s="77"/>
      <c r="C3" s="77"/>
      <c r="D3" s="77"/>
      <c r="E3" s="77"/>
      <c r="F3" s="77"/>
      <c r="G3" s="77"/>
      <c r="H3" s="77"/>
      <c r="I3" s="78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52</v>
      </c>
      <c r="B6" s="37">
        <v>16.5</v>
      </c>
      <c r="C6" s="86" t="s">
        <v>53</v>
      </c>
      <c r="D6" s="87"/>
      <c r="E6" s="87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54</v>
      </c>
      <c r="B7" s="37">
        <v>5.5</v>
      </c>
      <c r="C7" s="87"/>
      <c r="D7" s="87"/>
      <c r="E7" s="87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55</v>
      </c>
      <c r="B8" s="37">
        <f>SUM(B6:B7)</f>
        <v>22</v>
      </c>
      <c r="C8" s="87"/>
      <c r="D8" s="87"/>
      <c r="E8" s="87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56</v>
      </c>
      <c r="B9" s="37">
        <v>20</v>
      </c>
      <c r="C9" s="87"/>
      <c r="D9" s="87"/>
      <c r="E9" s="87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88" t="s">
        <v>57</v>
      </c>
      <c r="B11" s="82"/>
      <c r="C11" s="82"/>
      <c r="D11" s="83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3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64</v>
      </c>
      <c r="B15" s="44">
        <v>94</v>
      </c>
      <c r="C15" s="44">
        <v>0.5</v>
      </c>
      <c r="D15" s="89">
        <v>40</v>
      </c>
    </row>
    <row r="16" spans="1:19" ht="15.75" customHeight="1" x14ac:dyDescent="0.25">
      <c r="A16" s="42" t="s">
        <v>65</v>
      </c>
      <c r="B16" s="44">
        <v>55</v>
      </c>
      <c r="C16" s="44">
        <v>1</v>
      </c>
      <c r="D16" s="90"/>
    </row>
    <row r="17" spans="1:26" ht="15.75" customHeight="1" x14ac:dyDescent="0.25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6" t="s">
        <v>67</v>
      </c>
      <c r="B19" s="77"/>
      <c r="C19" s="77"/>
      <c r="D19" s="78"/>
    </row>
    <row r="20" spans="1:26" ht="15.75" customHeight="1" x14ac:dyDescent="0.35">
      <c r="A20" s="46" t="s">
        <v>68</v>
      </c>
      <c r="B20" s="44" t="s">
        <v>69</v>
      </c>
      <c r="C20" s="47"/>
      <c r="D20" s="47"/>
    </row>
    <row r="21" spans="1:26" ht="15.75" customHeight="1" x14ac:dyDescent="0.35">
      <c r="A21" s="46" t="s">
        <v>70</v>
      </c>
      <c r="B21" s="44" t="s">
        <v>71</v>
      </c>
      <c r="C21" s="47"/>
      <c r="D21" s="47"/>
    </row>
    <row r="22" spans="1:26" ht="15.75" customHeight="1" x14ac:dyDescent="0.35">
      <c r="A22" s="46" t="s">
        <v>72</v>
      </c>
      <c r="B22" s="44" t="s">
        <v>73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74</v>
      </c>
      <c r="B24" s="49">
        <f>COUNTIF('Sample IDs'!B2:M9,"&lt;&gt;"&amp;"")</f>
        <v>28</v>
      </c>
      <c r="C24" s="86" t="s">
        <v>75</v>
      </c>
      <c r="D24" s="87"/>
      <c r="E24" s="87"/>
      <c r="F24" s="87"/>
      <c r="G24" s="87"/>
      <c r="H24" s="87"/>
      <c r="I24" s="87"/>
      <c r="J24" s="87"/>
      <c r="K24" s="87"/>
      <c r="L24" s="87"/>
    </row>
    <row r="25" spans="1:26" ht="30" customHeight="1" x14ac:dyDescent="0.25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79" t="s">
        <v>78</v>
      </c>
      <c r="B27" s="80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79</v>
      </c>
      <c r="B28" s="56">
        <f>ROUNDUP(B33-B29-B30-B31-($B$5*B32),0)</f>
        <v>204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80</v>
      </c>
      <c r="B29" s="56">
        <f>ROUNDUP(5.5*($B$24*B25),0)</f>
        <v>170</v>
      </c>
      <c r="C29" s="58" t="s">
        <v>81</v>
      </c>
      <c r="D29" s="57"/>
      <c r="E29" s="35"/>
      <c r="F29" s="35"/>
      <c r="L29" s="35"/>
    </row>
    <row r="30" spans="1:26" ht="15.75" customHeight="1" x14ac:dyDescent="0.35">
      <c r="A30" s="55" t="s">
        <v>82</v>
      </c>
      <c r="B30" s="56">
        <f>ROUNDUP(2.2*($B$24*B25),1)</f>
        <v>67.8</v>
      </c>
      <c r="C30" s="58" t="s">
        <v>81</v>
      </c>
      <c r="D30" s="57"/>
      <c r="E30" s="35"/>
      <c r="F30" s="35"/>
      <c r="L30" s="35"/>
    </row>
    <row r="31" spans="1:26" ht="15.75" customHeight="1" x14ac:dyDescent="0.35">
      <c r="A31" s="55" t="s">
        <v>83</v>
      </c>
      <c r="B31" s="56">
        <f>ROUNDUP(1.1*$B$24*B25,1)</f>
        <v>33.9</v>
      </c>
      <c r="C31" s="58" t="s">
        <v>81</v>
      </c>
      <c r="D31" s="57"/>
      <c r="E31" s="35"/>
      <c r="F31" s="35"/>
      <c r="L31" s="35"/>
    </row>
    <row r="32" spans="1:26" ht="15.75" customHeight="1" x14ac:dyDescent="0.35">
      <c r="A32" s="55" t="s">
        <v>84</v>
      </c>
      <c r="B32" s="56">
        <f>ROUNDUP(1.1*$B$24*B25,1)</f>
        <v>33.9</v>
      </c>
      <c r="C32" s="58" t="s">
        <v>81</v>
      </c>
      <c r="D32" s="57"/>
      <c r="E32" s="35"/>
      <c r="F32" s="35"/>
      <c r="L32" s="35"/>
    </row>
    <row r="33" spans="1:12" ht="15.75" customHeight="1" x14ac:dyDescent="0.35">
      <c r="A33" s="59" t="s">
        <v>85</v>
      </c>
      <c r="B33" s="60">
        <f>ROUNDUP(B25*$B$24*16.5,0)</f>
        <v>509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5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5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5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5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5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5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5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5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5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5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5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5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5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5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5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5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5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5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2026-04-23T18:06:03Z</dcterms:modified>
</cp:coreProperties>
</file>