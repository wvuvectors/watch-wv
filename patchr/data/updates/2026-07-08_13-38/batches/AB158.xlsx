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cb00015/Library/CloudStorage/GoogleDrive-bcb00015@mix.wvu.edu/.shortcut-targets-by-id/1ynIwybRoeHNYTBDqlV8K5jP7UjQcrjPk/DRISCOLL_LAB/2 PROJECTS/WaTCH/TESTING_LAB/DATA_PCR/3 AB_PLATES/"/>
    </mc:Choice>
  </mc:AlternateContent>
  <xr:revisionPtr revIDLastSave="0" documentId="13_ncr:1_{2F8FEA42-DB94-1440-A7C0-4C6BAD2FC088}" xr6:coauthVersionLast="47" xr6:coauthVersionMax="47" xr10:uidLastSave="{00000000-0000-0000-0000-000000000000}"/>
  <bookViews>
    <workbookView xWindow="0" yWindow="600" windowWidth="28800" windowHeight="1678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32" i="7" l="1"/>
  <c r="B28" i="7" s="1"/>
  <c r="B31" i="7"/>
  <c r="B30" i="7"/>
  <c r="B29" i="7"/>
  <c r="B8" i="7" l="1"/>
  <c r="B24" i="7"/>
</calcChain>
</file>

<file path=xl/sharedStrings.xml><?xml version="1.0" encoding="utf-8"?>
<sst xmlns="http://schemas.openxmlformats.org/spreadsheetml/2006/main" count="391" uniqueCount="332">
  <si>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</si>
  <si>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</si>
  <si>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</si>
  <si>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</si>
  <si>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</si>
  <si>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</si>
  <si>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</si>
  <si>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</si>
  <si>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</si>
  <si>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</si>
  <si>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</si>
  <si>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</si>
  <si>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</si>
  <si>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</si>
  <si>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</si>
  <si>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</si>
  <si>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</si>
  <si>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</si>
  <si>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</si>
  <si>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</si>
  <si>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</si>
  <si>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</si>
  <si>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</si>
  <si>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</si>
  <si>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</si>
  <si>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</si>
  <si>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</si>
  <si>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</si>
  <si>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</si>
  <si>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</si>
  <si>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</si>
  <si>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</si>
  <si>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</si>
  <si>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</si>
  <si>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</si>
  <si>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</si>
  <si>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</si>
  <si>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</si>
  <si>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</si>
  <si>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</si>
  <si>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</si>
  <si>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</si>
  <si>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</si>
  <si>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</si>
  <si>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</si>
  <si>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</si>
  <si>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</si>
  <si>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</si>
  <si>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</si>
  <si>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</si>
  <si>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</si>
  <si>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</si>
  <si>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</si>
  <si>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</si>
  <si>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</si>
  <si>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</si>
  <si>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</si>
  <si>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</si>
  <si>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</si>
  <si>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</si>
  <si>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</si>
  <si>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</si>
  <si>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</si>
  <si>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</si>
  <si>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</si>
  <si>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</si>
  <si>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Reaction vol: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</si>
  <si>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</si>
  <si>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</si>
  <si>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</si>
  <si>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</si>
  <si>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</si>
  <si>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</si>
  <si>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</si>
  <si>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</si>
  <si>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</si>
  <si>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</si>
  <si>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</si>
  <si>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</si>
  <si>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</si>
  <si>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</si>
  <si>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</si>
  <si>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</si>
  <si>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</si>
  <si>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</si>
  <si>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</si>
  <si>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</si>
  <si>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</si>
  <si>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</si>
  <si>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</si>
  <si>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</si>
  <si>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</si>
  <si>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</si>
  <si>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</si>
  <si>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</si>
  <si>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</si>
  <si>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</si>
  <si>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</si>
  <si>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</si>
  <si>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</si>
  <si>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</si>
  <si>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</si>
  <si>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</si>
  <si>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</si>
  <si>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</si>
  <si>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</si>
  <si>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</si>
  <si>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</si>
  <si>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</si>
  <si>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</si>
  <si>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</si>
  <si>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</si>
  <si>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</si>
  <si>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</si>
  <si>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</si>
  <si>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</si>
  <si>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</si>
  <si>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</si>
  <si>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</si>
  <si>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</si>
  <si>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</si>
  <si>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</si>
  <si>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</si>
  <si>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</si>
  <si>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</si>
  <si>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</si>
  <si>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</si>
  <si>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</si>
  <si>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</si>
  <si>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</si>
  <si>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</si>
  <si>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</si>
  <si>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</si>
  <si>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</si>
  <si>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</si>
  <si>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</si>
  <si>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</si>
  <si>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</si>
  <si>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</si>
  <si>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</si>
  <si>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</si>
  <si>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</si>
  <si>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</si>
  <si>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</si>
  <si>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</si>
  <si>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</si>
  <si>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</si>
  <si>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</si>
  <si>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Amplification Method</t>
  </si>
  <si>
    <t>Amplification Method Lot ID</t>
  </si>
  <si>
    <t>Assay Method</t>
  </si>
  <si>
    <t>Assay Method Lot ID</t>
  </si>
  <si>
    <t>Measles Virus, Wild-Type (N)</t>
  </si>
  <si>
    <t>Mpox Virus Clade I (F3L)</t>
  </si>
  <si>
    <t>Mpox Virus Clade II (F3L)</t>
  </si>
  <si>
    <t>----------------------------- DROPLET DIGITAL ASSAYS -----------------------------</t>
  </si>
  <si>
    <t>----------------------------- DIGITAL ASSAYS -----------------------------</t>
  </si>
  <si>
    <t>GTM GT-Digital Flu;SC2;RSV WW Surveillance Panel for QIAcuity R001 (100740)</t>
  </si>
  <si>
    <t>GTM GT-Digital MeV Cy5 WW SurvAssay for QIAcuity v1.0 (100831)</t>
  </si>
  <si>
    <t>GTM GT-Digital Norovirus GI;Norovirus GII Assay Kit for the QIAcuity Digital PCR System v1.1 (100469-1.1)</t>
  </si>
  <si>
    <t>GTM GT-Digital B. pertussis WW Surv Assay v1.0 for the QIAcuity R001 (101125)</t>
  </si>
  <si>
    <t>GTM GT-Digital C. auris;C. jejuni Assay Kit for the QIAcuity Digital PCR System v1.1 - BETA (100529-1.1)</t>
  </si>
  <si>
    <t>GTM GT-Digital NVO;Mpox Assay Kit for the QIAcuity Digital PCR System v1.1 - BETA (100459-1.1)</t>
  </si>
  <si>
    <t>Measles Virus, Wild-Type (M)</t>
  </si>
  <si>
    <t>A02-2002</t>
  </si>
  <si>
    <t>A02-4004</t>
  </si>
  <si>
    <t>A02-3007</t>
  </si>
  <si>
    <t>A02-2008</t>
  </si>
  <si>
    <t>A02-4010</t>
  </si>
  <si>
    <t>A02-2014</t>
  </si>
  <si>
    <t>A02-4016</t>
  </si>
  <si>
    <t>A02-3019</t>
  </si>
  <si>
    <t>A02-2022</t>
  </si>
  <si>
    <t>A02-4024</t>
  </si>
  <si>
    <t>A02-3027</t>
  </si>
  <si>
    <t xml:space="preserve">pos </t>
  </si>
  <si>
    <t>A02-3002</t>
  </si>
  <si>
    <t>A02-2005</t>
  </si>
  <si>
    <t>A02-4007</t>
  </si>
  <si>
    <t>A02-3008</t>
  </si>
  <si>
    <t>A02-2011</t>
  </si>
  <si>
    <t>A02-3014</t>
  </si>
  <si>
    <t>A02-2017</t>
  </si>
  <si>
    <t>A02-4019</t>
  </si>
  <si>
    <t>A02-3022</t>
  </si>
  <si>
    <t>A02-2025</t>
  </si>
  <si>
    <t>A02-4027</t>
  </si>
  <si>
    <t>NTC</t>
  </si>
  <si>
    <t>A02-4002</t>
  </si>
  <si>
    <t>A02-3005</t>
  </si>
  <si>
    <t>A02-3013</t>
  </si>
  <si>
    <t>A02-4008</t>
  </si>
  <si>
    <t>A02-3011</t>
  </si>
  <si>
    <t>A02-4014</t>
  </si>
  <si>
    <t>A02-3017</t>
  </si>
  <si>
    <t>A02-2020</t>
  </si>
  <si>
    <t>A02-4022</t>
  </si>
  <si>
    <t>A02-3025</t>
  </si>
  <si>
    <t>A02-2028</t>
  </si>
  <si>
    <t>A02-2003</t>
  </si>
  <si>
    <t>A02-4005</t>
  </si>
  <si>
    <t>A02-4013</t>
  </si>
  <si>
    <t>A02-2009</t>
  </si>
  <si>
    <t>A02-4011</t>
  </si>
  <si>
    <t>A02-2015</t>
  </si>
  <si>
    <t>A02-4017</t>
  </si>
  <si>
    <t>A02-3020</t>
  </si>
  <si>
    <t>A02-2023</t>
  </si>
  <si>
    <t>A02-4025</t>
  </si>
  <si>
    <t>A02-3028</t>
  </si>
  <si>
    <t>A02-3003</t>
  </si>
  <si>
    <t>A02-2006</t>
  </si>
  <si>
    <t>A02-3009</t>
  </si>
  <si>
    <t>A02-2012</t>
  </si>
  <si>
    <t>A02-3015</t>
  </si>
  <si>
    <t>A02-2018</t>
  </si>
  <si>
    <t>A02-4020</t>
  </si>
  <si>
    <t>A02-3023</t>
  </si>
  <si>
    <t>A02-2026</t>
  </si>
  <si>
    <t>A02-4028</t>
  </si>
  <si>
    <t>A02-4003</t>
  </si>
  <si>
    <t>A02-3006</t>
  </si>
  <si>
    <t>A02-4009</t>
  </si>
  <si>
    <t>A02-3012</t>
  </si>
  <si>
    <t>A02-4015</t>
  </si>
  <si>
    <t>A02-3018</t>
  </si>
  <si>
    <t>A02-2021</t>
  </si>
  <si>
    <t>A02-4023</t>
  </si>
  <si>
    <t>A02-3026</t>
  </si>
  <si>
    <t>A02-2029</t>
  </si>
  <si>
    <t>A02-2004</t>
  </si>
  <si>
    <t>A02-4006</t>
  </si>
  <si>
    <t>A02-2010</t>
  </si>
  <si>
    <t>A02-4012</t>
  </si>
  <si>
    <t>A02-2016</t>
  </si>
  <si>
    <t>A02-4018</t>
  </si>
  <si>
    <t>A02-3021</t>
  </si>
  <si>
    <t>A02-2024</t>
  </si>
  <si>
    <t>A02-4026</t>
  </si>
  <si>
    <t>A02-3029</t>
  </si>
  <si>
    <t>A02-3004</t>
  </si>
  <si>
    <t>A02-2007</t>
  </si>
  <si>
    <t>A02-3010</t>
  </si>
  <si>
    <t>A02-2013</t>
  </si>
  <si>
    <t>A02-3016</t>
  </si>
  <si>
    <t>A02-2019</t>
  </si>
  <si>
    <t>A02-4021</t>
  </si>
  <si>
    <t>A02-3024</t>
  </si>
  <si>
    <t>A02-2027</t>
  </si>
  <si>
    <t>A02-4029</t>
  </si>
  <si>
    <t>NAB168 E1</t>
  </si>
  <si>
    <t>NAB168  F1</t>
  </si>
  <si>
    <t>NAB168 G1</t>
  </si>
  <si>
    <t>NAB168 L1</t>
  </si>
  <si>
    <t>NAB169 A1</t>
  </si>
  <si>
    <t>NAB169 G1</t>
  </si>
  <si>
    <t>NAB169 H1</t>
  </si>
  <si>
    <t>NAB169 I1</t>
  </si>
  <si>
    <t>NAB 170 A1</t>
  </si>
  <si>
    <t>NAB170 B1</t>
  </si>
  <si>
    <t>NAB170 C1</t>
  </si>
  <si>
    <t>E2</t>
  </si>
  <si>
    <t>F2</t>
  </si>
  <si>
    <t>NAB168 G2</t>
  </si>
  <si>
    <t>L2</t>
  </si>
  <si>
    <t>A2</t>
  </si>
  <si>
    <t>G2</t>
  </si>
  <si>
    <t>H2</t>
  </si>
  <si>
    <t>I2</t>
  </si>
  <si>
    <t>B2</t>
  </si>
  <si>
    <t>C2</t>
  </si>
  <si>
    <t>E3</t>
  </si>
  <si>
    <t>F3</t>
  </si>
  <si>
    <t>NAB169 B1</t>
  </si>
  <si>
    <t>L3</t>
  </si>
  <si>
    <t>A3</t>
  </si>
  <si>
    <t>G3</t>
  </si>
  <si>
    <t>H3</t>
  </si>
  <si>
    <t>I3</t>
  </si>
  <si>
    <t>B3</t>
  </si>
  <si>
    <t>C3</t>
  </si>
  <si>
    <t>E4</t>
  </si>
  <si>
    <t>F4</t>
  </si>
  <si>
    <t xml:space="preserve"> NAB169 B2</t>
  </si>
  <si>
    <t>L4</t>
  </si>
  <si>
    <t>A4</t>
  </si>
  <si>
    <t>G4</t>
  </si>
  <si>
    <t>H4</t>
  </si>
  <si>
    <t>I4</t>
  </si>
  <si>
    <t>B4</t>
  </si>
  <si>
    <t>C4</t>
  </si>
  <si>
    <t>E5</t>
  </si>
  <si>
    <t>F5</t>
  </si>
  <si>
    <t>L5</t>
  </si>
  <si>
    <t>A5</t>
  </si>
  <si>
    <t>G5</t>
  </si>
  <si>
    <t>H5</t>
  </si>
  <si>
    <t>I5</t>
  </si>
  <si>
    <t>B5</t>
  </si>
  <si>
    <t>C5</t>
  </si>
  <si>
    <t>E6</t>
  </si>
  <si>
    <t>F6</t>
  </si>
  <si>
    <t>L6</t>
  </si>
  <si>
    <t>A6</t>
  </si>
  <si>
    <t>G6</t>
  </si>
  <si>
    <t>H6</t>
  </si>
  <si>
    <t>I6</t>
  </si>
  <si>
    <t>B6</t>
  </si>
  <si>
    <t>C6</t>
  </si>
  <si>
    <t>E7</t>
  </si>
  <si>
    <t>F7</t>
  </si>
  <si>
    <t>L7</t>
  </si>
  <si>
    <t>A7</t>
  </si>
  <si>
    <t>G7</t>
  </si>
  <si>
    <t>H7</t>
  </si>
  <si>
    <t>I7</t>
  </si>
  <si>
    <t>B7</t>
  </si>
  <si>
    <t>C7</t>
  </si>
  <si>
    <t>E8</t>
  </si>
  <si>
    <t>F8</t>
  </si>
  <si>
    <t>L8</t>
  </si>
  <si>
    <t>A8</t>
  </si>
  <si>
    <t>G8</t>
  </si>
  <si>
    <t>H8</t>
  </si>
  <si>
    <t>I8</t>
  </si>
  <si>
    <t>B8</t>
  </si>
  <si>
    <t>C8</t>
  </si>
  <si>
    <t>B12</t>
  </si>
  <si>
    <t>A12</t>
  </si>
  <si>
    <t>BB</t>
  </si>
  <si>
    <t>12 µL</t>
  </si>
  <si>
    <t>AB158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</si>
</sst>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1" fillId="0" borderId="0" xfId="0" applyFont="1"/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7"/>
  <sheetViews>
    <sheetView tabSelected="1" workbookViewId="0">
      <selection activeCell="B7" sqref="B7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128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38893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329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112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331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12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148</v>
      </c>
      <c r="B10" s="4" t="s">
        <v>115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149</v>
      </c>
      <c r="B11" s="7">
        <v>181040538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150</v>
      </c>
      <c r="B13" s="4" t="s">
        <v>158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151</v>
      </c>
      <c r="B14" s="7">
        <v>22595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98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152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327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145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93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328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21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21" customHeight="1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21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B25 B20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B27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60" zoomScaleNormal="60" workbookViewId="0">
      <selection activeCell="P7" sqref="P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 t="s">
        <v>164</v>
      </c>
      <c r="C2" s="29" t="s">
        <v>165</v>
      </c>
      <c r="D2" s="28" t="s">
        <v>166</v>
      </c>
      <c r="E2" s="29" t="s">
        <v>167</v>
      </c>
      <c r="F2" s="28" t="s">
        <v>168</v>
      </c>
      <c r="G2" s="29" t="s">
        <v>169</v>
      </c>
      <c r="H2" s="28" t="s">
        <v>170</v>
      </c>
      <c r="I2" s="29" t="s">
        <v>171</v>
      </c>
      <c r="J2" s="28" t="s">
        <v>172</v>
      </c>
      <c r="K2" s="29" t="s">
        <v>173</v>
      </c>
      <c r="L2" s="28" t="s">
        <v>174</v>
      </c>
      <c r="M2" s="29" t="s">
        <v>175</v>
      </c>
    </row>
    <row r="3" spans="1:26" ht="99.75" customHeight="1" x14ac:dyDescent="0.2">
      <c r="A3" s="26" t="s">
        <v>40</v>
      </c>
      <c r="B3" s="29" t="s">
        <v>176</v>
      </c>
      <c r="C3" s="28" t="s">
        <v>177</v>
      </c>
      <c r="D3" s="29" t="s">
        <v>178</v>
      </c>
      <c r="E3" s="28" t="s">
        <v>179</v>
      </c>
      <c r="F3" s="29" t="s">
        <v>180</v>
      </c>
      <c r="G3" s="28" t="s">
        <v>181</v>
      </c>
      <c r="H3" s="29" t="s">
        <v>182</v>
      </c>
      <c r="I3" s="28" t="s">
        <v>183</v>
      </c>
      <c r="J3" s="29" t="s">
        <v>184</v>
      </c>
      <c r="K3" s="28" t="s">
        <v>185</v>
      </c>
      <c r="L3" s="29" t="s">
        <v>186</v>
      </c>
      <c r="M3" s="28" t="s">
        <v>187</v>
      </c>
    </row>
    <row r="4" spans="1:26" ht="99.75" customHeight="1" x14ac:dyDescent="0.2">
      <c r="A4" s="26" t="s">
        <v>41</v>
      </c>
      <c r="B4" s="28" t="s">
        <v>188</v>
      </c>
      <c r="C4" s="29" t="s">
        <v>189</v>
      </c>
      <c r="D4" s="28" t="s">
        <v>190</v>
      </c>
      <c r="E4" s="29" t="s">
        <v>191</v>
      </c>
      <c r="F4" s="28" t="s">
        <v>192</v>
      </c>
      <c r="G4" s="29" t="s">
        <v>193</v>
      </c>
      <c r="H4" s="28" t="s">
        <v>194</v>
      </c>
      <c r="I4" s="29" t="s">
        <v>195</v>
      </c>
      <c r="J4" s="28" t="s">
        <v>196</v>
      </c>
      <c r="K4" s="29" t="s">
        <v>197</v>
      </c>
      <c r="L4" s="28" t="s">
        <v>198</v>
      </c>
      <c r="M4" s="29"/>
    </row>
    <row r="5" spans="1:26" ht="99.75" customHeight="1" x14ac:dyDescent="0.2">
      <c r="A5" s="26" t="s">
        <v>42</v>
      </c>
      <c r="B5" s="29" t="s">
        <v>199</v>
      </c>
      <c r="C5" s="28" t="s">
        <v>200</v>
      </c>
      <c r="D5" s="29" t="s">
        <v>201</v>
      </c>
      <c r="E5" s="28" t="s">
        <v>202</v>
      </c>
      <c r="F5" s="29" t="s">
        <v>203</v>
      </c>
      <c r="G5" s="28" t="s">
        <v>204</v>
      </c>
      <c r="H5" s="29" t="s">
        <v>205</v>
      </c>
      <c r="I5" s="28" t="s">
        <v>206</v>
      </c>
      <c r="J5" s="29" t="s">
        <v>207</v>
      </c>
      <c r="K5" s="28" t="s">
        <v>208</v>
      </c>
      <c r="L5" s="29" t="s">
        <v>209</v>
      </c>
      <c r="M5" s="28"/>
    </row>
    <row r="6" spans="1:26" ht="99.75" customHeight="1" x14ac:dyDescent="0.2">
      <c r="A6" s="26" t="s">
        <v>43</v>
      </c>
      <c r="B6" s="28" t="s">
        <v>210</v>
      </c>
      <c r="C6" s="29" t="s">
        <v>211</v>
      </c>
      <c r="D6" s="28"/>
      <c r="E6" s="29" t="s">
        <v>212</v>
      </c>
      <c r="F6" s="28" t="s">
        <v>213</v>
      </c>
      <c r="G6" s="29" t="s">
        <v>214</v>
      </c>
      <c r="H6" s="28" t="s">
        <v>215</v>
      </c>
      <c r="I6" s="29" t="s">
        <v>216</v>
      </c>
      <c r="J6" s="28" t="s">
        <v>217</v>
      </c>
      <c r="K6" s="29" t="s">
        <v>218</v>
      </c>
      <c r="L6" s="28" t="s">
        <v>219</v>
      </c>
      <c r="M6" s="29"/>
    </row>
    <row r="7" spans="1:26" ht="99.75" customHeight="1" x14ac:dyDescent="0.2">
      <c r="A7" s="26" t="s">
        <v>44</v>
      </c>
      <c r="B7" s="29" t="s">
        <v>220</v>
      </c>
      <c r="C7" s="28" t="s">
        <v>221</v>
      </c>
      <c r="D7" s="29"/>
      <c r="E7" s="28" t="s">
        <v>222</v>
      </c>
      <c r="F7" s="29" t="s">
        <v>223</v>
      </c>
      <c r="G7" s="28" t="s">
        <v>224</v>
      </c>
      <c r="H7" s="29" t="s">
        <v>225</v>
      </c>
      <c r="I7" s="28" t="s">
        <v>226</v>
      </c>
      <c r="J7" s="29" t="s">
        <v>227</v>
      </c>
      <c r="K7" s="28" t="s">
        <v>228</v>
      </c>
      <c r="L7" s="29" t="s">
        <v>229</v>
      </c>
      <c r="M7" s="28"/>
    </row>
    <row r="8" spans="1:26" ht="99.75" customHeight="1" x14ac:dyDescent="0.2">
      <c r="A8" s="26" t="s">
        <v>45</v>
      </c>
      <c r="B8" s="28" t="s">
        <v>230</v>
      </c>
      <c r="C8" s="29" t="s">
        <v>231</v>
      </c>
      <c r="D8" s="28"/>
      <c r="E8" s="29" t="s">
        <v>232</v>
      </c>
      <c r="F8" s="28" t="s">
        <v>233</v>
      </c>
      <c r="G8" s="29" t="s">
        <v>234</v>
      </c>
      <c r="H8" s="28" t="s">
        <v>235</v>
      </c>
      <c r="I8" s="29" t="s">
        <v>236</v>
      </c>
      <c r="J8" s="28" t="s">
        <v>237</v>
      </c>
      <c r="K8" s="29" t="s">
        <v>238</v>
      </c>
      <c r="L8" s="28" t="s">
        <v>239</v>
      </c>
      <c r="M8" s="29"/>
    </row>
    <row r="9" spans="1:26" ht="99.75" customHeight="1" x14ac:dyDescent="0.2">
      <c r="A9" s="26" t="s">
        <v>46</v>
      </c>
      <c r="B9" s="29" t="s">
        <v>240</v>
      </c>
      <c r="C9" s="28" t="s">
        <v>241</v>
      </c>
      <c r="D9" s="29"/>
      <c r="E9" s="28" t="s">
        <v>242</v>
      </c>
      <c r="F9" s="29" t="s">
        <v>243</v>
      </c>
      <c r="G9" s="28" t="s">
        <v>244</v>
      </c>
      <c r="H9" s="29" t="s">
        <v>245</v>
      </c>
      <c r="I9" s="28" t="s">
        <v>246</v>
      </c>
      <c r="J9" s="29" t="s">
        <v>247</v>
      </c>
      <c r="K9" s="28" t="s">
        <v>248</v>
      </c>
      <c r="L9" s="29" t="s">
        <v>249</v>
      </c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57"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50"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69" zoomScaleNormal="135" workbookViewId="0">
      <selection activeCell="P4" sqref="P4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250</v>
      </c>
      <c r="C2" s="29" t="s">
        <v>251</v>
      </c>
      <c r="D2" s="28" t="s">
        <v>252</v>
      </c>
      <c r="E2" s="29" t="s">
        <v>253</v>
      </c>
      <c r="F2" s="28" t="s">
        <v>254</v>
      </c>
      <c r="G2" s="29" t="s">
        <v>255</v>
      </c>
      <c r="H2" s="28" t="s">
        <v>256</v>
      </c>
      <c r="I2" s="29" t="s">
        <v>257</v>
      </c>
      <c r="J2" s="28" t="s">
        <v>258</v>
      </c>
      <c r="K2" s="29" t="s">
        <v>259</v>
      </c>
      <c r="L2" s="28" t="s">
        <v>260</v>
      </c>
      <c r="M2" s="29"/>
    </row>
    <row r="3" spans="1:26" ht="99.75" customHeight="1" x14ac:dyDescent="0.2">
      <c r="A3" s="27" t="s">
        <v>40</v>
      </c>
      <c r="B3" s="29" t="s">
        <v>261</v>
      </c>
      <c r="C3" s="28" t="s">
        <v>262</v>
      </c>
      <c r="D3" s="29" t="s">
        <v>263</v>
      </c>
      <c r="E3" s="28" t="s">
        <v>264</v>
      </c>
      <c r="F3" s="29" t="s">
        <v>265</v>
      </c>
      <c r="G3" s="28" t="s">
        <v>266</v>
      </c>
      <c r="H3" s="29" t="s">
        <v>267</v>
      </c>
      <c r="I3" s="28" t="s">
        <v>268</v>
      </c>
      <c r="J3" s="29" t="s">
        <v>265</v>
      </c>
      <c r="K3" s="28" t="s">
        <v>269</v>
      </c>
      <c r="L3" s="29" t="s">
        <v>270</v>
      </c>
      <c r="M3" s="28"/>
    </row>
    <row r="4" spans="1:26" ht="99.75" customHeight="1" x14ac:dyDescent="0.2">
      <c r="A4" s="27" t="s">
        <v>41</v>
      </c>
      <c r="B4" s="28" t="s">
        <v>271</v>
      </c>
      <c r="C4" s="29" t="s">
        <v>272</v>
      </c>
      <c r="D4" s="28" t="s">
        <v>273</v>
      </c>
      <c r="E4" s="29" t="s">
        <v>274</v>
      </c>
      <c r="F4" s="28" t="s">
        <v>275</v>
      </c>
      <c r="G4" s="29" t="s">
        <v>276</v>
      </c>
      <c r="H4" s="28" t="s">
        <v>277</v>
      </c>
      <c r="I4" s="29" t="s">
        <v>278</v>
      </c>
      <c r="J4" s="28" t="s">
        <v>275</v>
      </c>
      <c r="K4" s="29" t="s">
        <v>279</v>
      </c>
      <c r="L4" s="28" t="s">
        <v>280</v>
      </c>
      <c r="M4" s="29"/>
    </row>
    <row r="5" spans="1:26" ht="99.75" customHeight="1" x14ac:dyDescent="0.2">
      <c r="A5" s="27" t="s">
        <v>42</v>
      </c>
      <c r="B5" s="29" t="s">
        <v>281</v>
      </c>
      <c r="C5" s="28" t="s">
        <v>282</v>
      </c>
      <c r="D5" s="29" t="s">
        <v>283</v>
      </c>
      <c r="E5" s="28" t="s">
        <v>284</v>
      </c>
      <c r="F5" s="29" t="s">
        <v>285</v>
      </c>
      <c r="G5" s="28" t="s">
        <v>286</v>
      </c>
      <c r="H5" s="29" t="s">
        <v>287</v>
      </c>
      <c r="I5" s="28" t="s">
        <v>288</v>
      </c>
      <c r="J5" s="29" t="s">
        <v>285</v>
      </c>
      <c r="K5" s="28" t="s">
        <v>289</v>
      </c>
      <c r="L5" s="29" t="s">
        <v>290</v>
      </c>
      <c r="M5" s="28"/>
    </row>
    <row r="6" spans="1:26" ht="99.75" customHeight="1" x14ac:dyDescent="0.2">
      <c r="A6" s="27" t="s">
        <v>43</v>
      </c>
      <c r="B6" s="28" t="s">
        <v>291</v>
      </c>
      <c r="C6" s="29" t="s">
        <v>292</v>
      </c>
      <c r="D6" s="28"/>
      <c r="E6" s="29" t="s">
        <v>293</v>
      </c>
      <c r="F6" s="28" t="s">
        <v>294</v>
      </c>
      <c r="G6" s="29" t="s">
        <v>295</v>
      </c>
      <c r="H6" s="28" t="s">
        <v>296</v>
      </c>
      <c r="I6" s="29" t="s">
        <v>297</v>
      </c>
      <c r="J6" s="28" t="s">
        <v>294</v>
      </c>
      <c r="K6" s="29" t="s">
        <v>298</v>
      </c>
      <c r="L6" s="28" t="s">
        <v>299</v>
      </c>
      <c r="M6" s="29"/>
    </row>
    <row r="7" spans="1:26" ht="99.75" customHeight="1" x14ac:dyDescent="0.2">
      <c r="A7" s="27" t="s">
        <v>44</v>
      </c>
      <c r="B7" s="29" t="s">
        <v>300</v>
      </c>
      <c r="C7" s="28" t="s">
        <v>301</v>
      </c>
      <c r="D7" s="29"/>
      <c r="E7" s="28" t="s">
        <v>302</v>
      </c>
      <c r="F7" s="29" t="s">
        <v>303</v>
      </c>
      <c r="G7" s="28" t="s">
        <v>304</v>
      </c>
      <c r="H7" s="29" t="s">
        <v>305</v>
      </c>
      <c r="I7" s="28" t="s">
        <v>306</v>
      </c>
      <c r="J7" s="29" t="s">
        <v>42</v>
      </c>
      <c r="K7" s="28" t="s">
        <v>307</v>
      </c>
      <c r="L7" s="29" t="s">
        <v>308</v>
      </c>
      <c r="M7" s="28"/>
    </row>
    <row r="8" spans="1:26" ht="99.75" customHeight="1" x14ac:dyDescent="0.2">
      <c r="A8" s="27" t="s">
        <v>45</v>
      </c>
      <c r="B8" s="28" t="s">
        <v>309</v>
      </c>
      <c r="C8" s="29" t="s">
        <v>310</v>
      </c>
      <c r="D8" s="28"/>
      <c r="E8" s="29" t="s">
        <v>311</v>
      </c>
      <c r="F8" s="28" t="s">
        <v>312</v>
      </c>
      <c r="G8" s="29" t="s">
        <v>313</v>
      </c>
      <c r="H8" s="28" t="s">
        <v>314</v>
      </c>
      <c r="I8" s="29" t="s">
        <v>315</v>
      </c>
      <c r="J8" s="28" t="s">
        <v>312</v>
      </c>
      <c r="K8" s="29" t="s">
        <v>316</v>
      </c>
      <c r="L8" s="28" t="s">
        <v>317</v>
      </c>
      <c r="M8" s="29"/>
    </row>
    <row r="9" spans="1:26" ht="99.75" customHeight="1" x14ac:dyDescent="0.2">
      <c r="A9" s="27" t="s">
        <v>46</v>
      </c>
      <c r="B9" s="29" t="s">
        <v>318</v>
      </c>
      <c r="C9" s="28" t="s">
        <v>319</v>
      </c>
      <c r="D9" s="29"/>
      <c r="E9" s="28" t="s">
        <v>320</v>
      </c>
      <c r="F9" s="29" t="s">
        <v>321</v>
      </c>
      <c r="G9" s="28" t="s">
        <v>322</v>
      </c>
      <c r="H9" s="29" t="s">
        <v>323</v>
      </c>
      <c r="I9" s="28" t="s">
        <v>324</v>
      </c>
      <c r="J9" s="29" t="s">
        <v>321</v>
      </c>
      <c r="K9" s="28" t="s">
        <v>325</v>
      </c>
      <c r="L9" s="29" t="s">
        <v>326</v>
      </c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workbookViewId="0">
      <pane ySplit="3" topLeftCell="A4" activePane="bottomLeft" state="frozen"/>
      <selection pane="bottomLeft" activeCell="G21" sqref="G21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4" t="s">
        <v>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30"/>
      <c r="S1" s="30"/>
    </row>
    <row r="2" spans="1:19" ht="31.5" customHeight="1" x14ac:dyDescent="0.2">
      <c r="A2" s="87" t="s">
        <v>48</v>
      </c>
      <c r="B2" s="85"/>
      <c r="C2" s="85"/>
      <c r="D2" s="85"/>
      <c r="E2" s="85"/>
      <c r="F2" s="85"/>
      <c r="G2" s="85"/>
      <c r="H2" s="85"/>
      <c r="I2" s="86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8" t="s">
        <v>49</v>
      </c>
      <c r="B3" s="80"/>
      <c r="C3" s="80"/>
      <c r="D3" s="80"/>
      <c r="E3" s="80"/>
      <c r="F3" s="80"/>
      <c r="G3" s="80"/>
      <c r="H3" s="80"/>
      <c r="I3" s="81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7</v>
      </c>
      <c r="C6" s="89" t="s">
        <v>53</v>
      </c>
      <c r="D6" s="90"/>
      <c r="E6" s="90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</v>
      </c>
      <c r="C7" s="90"/>
      <c r="D7" s="90"/>
      <c r="E7" s="90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12</v>
      </c>
      <c r="C8" s="90"/>
      <c r="D8" s="90"/>
      <c r="E8" s="90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12</v>
      </c>
      <c r="C9" s="90"/>
      <c r="D9" s="90"/>
      <c r="E9" s="90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1" t="s">
        <v>57</v>
      </c>
      <c r="B11" s="85"/>
      <c r="C11" s="85"/>
      <c r="D11" s="86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30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2</v>
      </c>
      <c r="D14" s="44">
        <v>1</v>
      </c>
    </row>
    <row r="15" spans="1:19" ht="15.75" customHeight="1" x14ac:dyDescent="0.2">
      <c r="A15" s="42" t="s">
        <v>64</v>
      </c>
      <c r="B15" s="44">
        <v>95</v>
      </c>
      <c r="C15" s="44">
        <v>0.15</v>
      </c>
      <c r="D15" s="92">
        <v>45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3"/>
    </row>
    <row r="17" spans="1:26" ht="15.75" customHeight="1" x14ac:dyDescent="0.2">
      <c r="A17" s="42"/>
      <c r="B17" s="44"/>
      <c r="C17" s="44"/>
      <c r="D17" s="44"/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9"/>
      <c r="B19" s="80"/>
      <c r="C19" s="80"/>
      <c r="D19" s="81"/>
    </row>
    <row r="20" spans="1:26" ht="15.75" customHeight="1" x14ac:dyDescent="0.25">
      <c r="A20" s="46"/>
      <c r="B20" s="44"/>
      <c r="C20" s="47"/>
      <c r="D20" s="47"/>
    </row>
    <row r="21" spans="1:26" ht="15.75" customHeight="1" x14ac:dyDescent="0.25">
      <c r="A21" s="46"/>
      <c r="B21" s="44"/>
      <c r="C21" s="47"/>
      <c r="D21" s="47"/>
    </row>
    <row r="22" spans="1:26" ht="15.75" customHeight="1" x14ac:dyDescent="0.25">
      <c r="A22" s="46" t="s">
        <v>66</v>
      </c>
      <c r="B22" s="44" t="s">
        <v>330</v>
      </c>
      <c r="C22" s="47"/>
      <c r="D22" s="47"/>
    </row>
    <row r="23" spans="1:26" ht="51" customHeight="1" x14ac:dyDescent="0.2"/>
    <row r="24" spans="1:26" ht="31.5" customHeight="1" x14ac:dyDescent="0.2">
      <c r="A24" s="48" t="s">
        <v>67</v>
      </c>
      <c r="B24" s="49">
        <f>COUNTIF('Sample IDs'!B2:M9,"&lt;&gt;"&amp;"")</f>
        <v>86</v>
      </c>
      <c r="C24" s="89" t="s">
        <v>68</v>
      </c>
      <c r="D24" s="90"/>
      <c r="E24" s="90"/>
      <c r="F24" s="90"/>
      <c r="G24" s="90"/>
      <c r="H24" s="90"/>
      <c r="I24" s="90"/>
      <c r="J24" s="90"/>
      <c r="K24" s="90"/>
      <c r="L24" s="90"/>
    </row>
    <row r="25" spans="1:26" ht="30" customHeight="1" x14ac:dyDescent="0.2">
      <c r="A25" s="50" t="s">
        <v>69</v>
      </c>
      <c r="B25" s="51">
        <v>1.1000000000000001</v>
      </c>
      <c r="C25" s="52" t="s">
        <v>70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2" t="s">
        <v>71</v>
      </c>
      <c r="B27" s="83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72</v>
      </c>
      <c r="B28" s="56">
        <f>ROUNDUP(B32-B30-B29 -(B31*B5),0)</f>
        <v>341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73</v>
      </c>
      <c r="B29" s="56">
        <f>ROUNDUP(3.3*($B$24*B25),0)</f>
        <v>313</v>
      </c>
      <c r="C29" s="58" t="s">
        <v>74</v>
      </c>
      <c r="D29" s="57"/>
      <c r="E29" s="35"/>
      <c r="F29" s="35"/>
      <c r="L29" s="35"/>
    </row>
    <row r="30" spans="1:26" ht="15.75" customHeight="1" x14ac:dyDescent="0.25">
      <c r="A30" s="55" t="s">
        <v>75</v>
      </c>
      <c r="B30" s="56">
        <f>ROUNDUP(0.132*($B$24*B25),1)</f>
        <v>12.5</v>
      </c>
      <c r="C30" s="58" t="s">
        <v>74</v>
      </c>
      <c r="D30" s="57"/>
      <c r="E30" s="35"/>
      <c r="F30" s="35"/>
      <c r="L30" s="35"/>
    </row>
    <row r="31" spans="1:26" ht="15.75" customHeight="1" x14ac:dyDescent="0.25">
      <c r="A31" s="55" t="s">
        <v>76</v>
      </c>
      <c r="B31" s="56">
        <f>ROUNDUP(0.66*$B$24*B25,1)</f>
        <v>62.5</v>
      </c>
      <c r="C31" s="58" t="s">
        <v>74</v>
      </c>
      <c r="D31" s="57"/>
      <c r="E31" s="35"/>
      <c r="F31" s="35"/>
      <c r="L31" s="35"/>
    </row>
    <row r="32" spans="1:26" ht="15.75" customHeight="1" x14ac:dyDescent="0.25">
      <c r="A32" s="59" t="s">
        <v>77</v>
      </c>
      <c r="B32" s="60">
        <f>ROUNDUP(7.7*B25*B24,0)</f>
        <v>729</v>
      </c>
      <c r="C32" s="58" t="s">
        <v>78</v>
      </c>
      <c r="D32" s="61"/>
      <c r="E32" s="62"/>
      <c r="F32" s="35"/>
      <c r="G32" s="35"/>
      <c r="H32" s="35"/>
      <c r="I32" s="35"/>
      <c r="J32" s="35"/>
      <c r="K32" s="35"/>
      <c r="L32" s="35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2" sqref="B2:B20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0.57031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79</v>
      </c>
      <c r="B1" s="66" t="s">
        <v>80</v>
      </c>
      <c r="C1" s="66" t="s">
        <v>81</v>
      </c>
      <c r="D1" s="66" t="s">
        <v>82</v>
      </c>
      <c r="E1" s="66" t="s">
        <v>83</v>
      </c>
      <c r="F1" s="66" t="s">
        <v>84</v>
      </c>
      <c r="G1" s="66" t="s">
        <v>85</v>
      </c>
      <c r="H1" s="66" t="s">
        <v>86</v>
      </c>
      <c r="I1" s="66" t="s">
        <v>87</v>
      </c>
      <c r="J1" s="66" t="s">
        <v>88</v>
      </c>
      <c r="K1" s="68" t="s">
        <v>89</v>
      </c>
      <c r="L1" s="66" t="s">
        <v>90</v>
      </c>
      <c r="M1" s="63"/>
    </row>
    <row r="2" spans="1:13" ht="15.75" customHeight="1" x14ac:dyDescent="0.2">
      <c r="A2" s="25" t="s">
        <v>6</v>
      </c>
      <c r="B2" s="25" t="s">
        <v>131</v>
      </c>
      <c r="C2" s="25" t="s">
        <v>92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141</v>
      </c>
      <c r="J2" s="76" t="s">
        <v>155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91</v>
      </c>
      <c r="B3" s="25" t="s">
        <v>129</v>
      </c>
      <c r="C3" s="25" t="s">
        <v>97</v>
      </c>
      <c r="D3" s="25" t="s">
        <v>93</v>
      </c>
      <c r="E3" s="25" t="s">
        <v>145</v>
      </c>
      <c r="F3" s="25" t="s">
        <v>31</v>
      </c>
      <c r="G3" s="25" t="s">
        <v>38</v>
      </c>
      <c r="H3" s="25" t="s">
        <v>94</v>
      </c>
      <c r="I3" s="25" t="s">
        <v>142</v>
      </c>
      <c r="J3" s="25" t="s">
        <v>110</v>
      </c>
      <c r="K3" s="69">
        <v>1.2</v>
      </c>
      <c r="L3" s="25" t="s">
        <v>109</v>
      </c>
      <c r="M3" s="25"/>
    </row>
    <row r="4" spans="1:13" ht="15.75" customHeight="1" x14ac:dyDescent="0.2">
      <c r="A4" s="25" t="s">
        <v>112</v>
      </c>
      <c r="B4" s="25" t="s">
        <v>130</v>
      </c>
      <c r="C4" s="25" t="s">
        <v>100</v>
      </c>
      <c r="D4" s="25" t="s">
        <v>21</v>
      </c>
      <c r="E4" s="25" t="s">
        <v>19</v>
      </c>
      <c r="F4" s="25" t="s">
        <v>96</v>
      </c>
      <c r="G4" s="25" t="s">
        <v>98</v>
      </c>
      <c r="H4" s="64" t="s">
        <v>113</v>
      </c>
      <c r="I4" s="25" t="s">
        <v>95</v>
      </c>
      <c r="J4" s="25" t="s">
        <v>111</v>
      </c>
      <c r="K4" s="70"/>
      <c r="L4" s="25" t="s">
        <v>99</v>
      </c>
      <c r="M4" s="25"/>
    </row>
    <row r="5" spans="1:13" ht="15.75" customHeight="1" x14ac:dyDescent="0.2">
      <c r="A5" s="25" t="s">
        <v>96</v>
      </c>
      <c r="B5" s="25" t="s">
        <v>140</v>
      </c>
      <c r="C5" s="25" t="s">
        <v>96</v>
      </c>
      <c r="D5" s="25" t="s">
        <v>101</v>
      </c>
      <c r="E5" s="25" t="s">
        <v>33</v>
      </c>
      <c r="G5" s="25" t="s">
        <v>102</v>
      </c>
      <c r="H5" s="67" t="s">
        <v>115</v>
      </c>
      <c r="I5" s="25" t="s">
        <v>96</v>
      </c>
      <c r="J5" s="25" t="s">
        <v>114</v>
      </c>
      <c r="K5" s="70"/>
      <c r="L5" s="25" t="s">
        <v>103</v>
      </c>
      <c r="M5" s="25"/>
    </row>
    <row r="6" spans="1:13" ht="15.75" customHeight="1" x14ac:dyDescent="0.2">
      <c r="A6" s="25"/>
      <c r="B6" s="75" t="s">
        <v>135</v>
      </c>
      <c r="D6" s="25" t="s">
        <v>96</v>
      </c>
      <c r="E6" s="25" t="s">
        <v>146</v>
      </c>
      <c r="F6" s="25"/>
      <c r="G6" s="25" t="s">
        <v>104</v>
      </c>
      <c r="H6" s="64" t="s">
        <v>113</v>
      </c>
      <c r="J6" s="25" t="s">
        <v>116</v>
      </c>
      <c r="K6" s="70"/>
      <c r="L6" s="25" t="s">
        <v>105</v>
      </c>
      <c r="M6" s="25"/>
    </row>
    <row r="7" spans="1:13" ht="15.75" customHeight="1" x14ac:dyDescent="0.2">
      <c r="A7" s="25"/>
      <c r="B7" s="75" t="s">
        <v>136</v>
      </c>
      <c r="C7" s="25"/>
      <c r="D7" s="25"/>
      <c r="E7" s="25" t="s">
        <v>147</v>
      </c>
      <c r="F7" s="25"/>
      <c r="G7" s="25" t="s">
        <v>107</v>
      </c>
      <c r="H7" s="25" t="s">
        <v>96</v>
      </c>
      <c r="I7" s="25"/>
      <c r="J7" s="25" t="s">
        <v>117</v>
      </c>
      <c r="K7" s="70"/>
      <c r="L7" s="25" t="s">
        <v>96</v>
      </c>
      <c r="M7" s="25"/>
    </row>
    <row r="8" spans="1:13" ht="15.75" customHeight="1" x14ac:dyDescent="0.2">
      <c r="A8" s="25"/>
      <c r="B8" s="25" t="s">
        <v>132</v>
      </c>
      <c r="C8" s="25"/>
      <c r="D8" s="25"/>
      <c r="E8" s="25" t="s">
        <v>106</v>
      </c>
      <c r="F8" s="25"/>
      <c r="G8" s="25" t="s">
        <v>37</v>
      </c>
      <c r="H8" s="25"/>
      <c r="I8" s="25"/>
      <c r="J8" s="64" t="s">
        <v>113</v>
      </c>
      <c r="K8" s="70"/>
    </row>
    <row r="9" spans="1:13" ht="15.75" customHeight="1" x14ac:dyDescent="0.2">
      <c r="A9" s="25"/>
      <c r="B9" s="25" t="s">
        <v>133</v>
      </c>
      <c r="C9" s="25"/>
      <c r="D9" s="25"/>
      <c r="E9" s="25" t="s">
        <v>139</v>
      </c>
      <c r="F9" s="25"/>
      <c r="G9" s="25" t="s">
        <v>108</v>
      </c>
      <c r="H9" s="25"/>
      <c r="I9" s="25"/>
      <c r="J9" s="25" t="s">
        <v>118</v>
      </c>
      <c r="K9" s="70"/>
    </row>
    <row r="10" spans="1:13" ht="15.75" customHeight="1" x14ac:dyDescent="0.2">
      <c r="A10" s="25"/>
      <c r="B10" s="25" t="s">
        <v>152</v>
      </c>
      <c r="C10" s="25"/>
      <c r="D10" s="25"/>
      <c r="E10" s="25" t="s">
        <v>96</v>
      </c>
      <c r="F10" s="25"/>
      <c r="G10" s="25"/>
      <c r="H10" s="25"/>
      <c r="I10" s="25"/>
      <c r="J10" s="25" t="s">
        <v>119</v>
      </c>
      <c r="K10" s="70"/>
    </row>
    <row r="11" spans="1:13" ht="15.75" customHeight="1" x14ac:dyDescent="0.2">
      <c r="A11" s="25"/>
      <c r="B11" s="25" t="s">
        <v>163</v>
      </c>
      <c r="C11" s="25"/>
      <c r="D11" s="25"/>
      <c r="E11" s="25"/>
      <c r="F11" s="25"/>
      <c r="G11" s="25"/>
      <c r="H11" s="25"/>
      <c r="I11" s="25"/>
      <c r="J11" s="25" t="s">
        <v>120</v>
      </c>
      <c r="K11" s="70"/>
    </row>
    <row r="12" spans="1:13" ht="15.75" customHeight="1" x14ac:dyDescent="0.2">
      <c r="A12" s="25"/>
      <c r="B12" s="25" t="s">
        <v>153</v>
      </c>
      <c r="C12" s="25"/>
      <c r="D12" s="25"/>
      <c r="E12" s="25"/>
      <c r="F12" s="25"/>
      <c r="G12" s="25"/>
      <c r="H12" s="25"/>
      <c r="I12" s="25"/>
      <c r="J12" s="25" t="s">
        <v>121</v>
      </c>
      <c r="K12" s="70"/>
    </row>
    <row r="13" spans="1:13" ht="15.75" customHeight="1" x14ac:dyDescent="0.2">
      <c r="A13" s="25"/>
      <c r="B13" s="25" t="s">
        <v>154</v>
      </c>
      <c r="C13" s="25"/>
      <c r="D13" s="25"/>
      <c r="E13" s="25"/>
      <c r="F13" s="25"/>
      <c r="G13" s="25"/>
      <c r="H13" s="25"/>
      <c r="I13" s="25"/>
      <c r="J13" s="25" t="s">
        <v>122</v>
      </c>
      <c r="K13" s="70"/>
    </row>
    <row r="14" spans="1:13" ht="15.75" customHeight="1" x14ac:dyDescent="0.2">
      <c r="A14" s="25"/>
      <c r="B14" s="25" t="s">
        <v>137</v>
      </c>
      <c r="C14" s="25"/>
      <c r="D14" s="25"/>
      <c r="E14" s="25"/>
      <c r="F14" s="25"/>
      <c r="G14" s="25"/>
      <c r="H14" s="25"/>
      <c r="I14" s="25"/>
      <c r="J14" s="25" t="s">
        <v>123</v>
      </c>
      <c r="K14" s="70"/>
    </row>
    <row r="15" spans="1:13" ht="15.75" customHeight="1" x14ac:dyDescent="0.2">
      <c r="A15" s="25"/>
      <c r="B15" s="25" t="s">
        <v>143</v>
      </c>
      <c r="C15" s="25"/>
      <c r="D15" s="25"/>
      <c r="E15" s="25"/>
      <c r="F15" s="25"/>
      <c r="G15" s="25"/>
      <c r="H15" s="25"/>
      <c r="I15" s="25"/>
      <c r="J15" s="25" t="s">
        <v>124</v>
      </c>
      <c r="K15" s="70"/>
    </row>
    <row r="16" spans="1:13" ht="15.75" customHeight="1" x14ac:dyDescent="0.2">
      <c r="A16" s="25"/>
      <c r="B16" s="25" t="s">
        <v>144</v>
      </c>
      <c r="C16" s="25"/>
      <c r="D16" s="25"/>
      <c r="E16" s="25"/>
      <c r="F16" s="25"/>
      <c r="G16" s="25"/>
      <c r="H16" s="25"/>
      <c r="I16" s="25"/>
      <c r="J16" s="25" t="s">
        <v>125</v>
      </c>
      <c r="K16" s="70"/>
    </row>
    <row r="17" spans="1:11" ht="15.75" customHeight="1" x14ac:dyDescent="0.2">
      <c r="A17" s="25"/>
      <c r="B17" s="75" t="s">
        <v>138</v>
      </c>
      <c r="C17" s="25"/>
      <c r="D17" s="25"/>
      <c r="E17" s="25"/>
      <c r="F17" s="25"/>
      <c r="G17" s="25"/>
      <c r="H17" s="25"/>
      <c r="I17" s="25"/>
      <c r="J17" s="77" t="s">
        <v>156</v>
      </c>
      <c r="K17" s="70"/>
    </row>
    <row r="18" spans="1:11" ht="15.75" customHeight="1" x14ac:dyDescent="0.2">
      <c r="A18" s="25"/>
      <c r="B18" s="25" t="s">
        <v>139</v>
      </c>
      <c r="C18" s="25"/>
      <c r="D18" s="25"/>
      <c r="E18" s="25"/>
      <c r="F18" s="25"/>
      <c r="G18" s="25"/>
      <c r="H18" s="25"/>
      <c r="I18" s="25"/>
      <c r="J18" s="25" t="s">
        <v>157</v>
      </c>
      <c r="K18" s="70"/>
    </row>
    <row r="19" spans="1:11" ht="15.75" customHeight="1" x14ac:dyDescent="0.2">
      <c r="A19" s="25"/>
      <c r="B19" s="25" t="s">
        <v>134</v>
      </c>
      <c r="C19" s="25"/>
      <c r="D19" s="25"/>
      <c r="E19" s="25"/>
      <c r="F19" s="25"/>
      <c r="G19" s="25"/>
      <c r="H19" s="25"/>
      <c r="I19" s="25"/>
      <c r="J19" s="78" t="s">
        <v>158</v>
      </c>
      <c r="K19" s="70"/>
    </row>
    <row r="20" spans="1:11" ht="15.75" customHeight="1" x14ac:dyDescent="0.2">
      <c r="A20" s="25"/>
      <c r="B20" s="25" t="s">
        <v>96</v>
      </c>
      <c r="C20" s="25"/>
      <c r="D20" s="25"/>
      <c r="E20" s="25"/>
      <c r="F20" s="25"/>
      <c r="G20" s="25"/>
      <c r="H20" s="25"/>
      <c r="I20" s="25"/>
      <c r="J20" s="25" t="s">
        <v>127</v>
      </c>
      <c r="K20" s="70"/>
    </row>
    <row r="21" spans="1:11" ht="15.75" customHeight="1" x14ac:dyDescent="0.2">
      <c r="A21" s="25"/>
      <c r="C21" s="25"/>
      <c r="D21" s="25"/>
      <c r="E21" s="25"/>
      <c r="F21" s="25"/>
      <c r="G21" s="25"/>
      <c r="H21" s="25"/>
      <c r="I21" s="25"/>
      <c r="J21" s="25" t="s">
        <v>159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8" t="s">
        <v>160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161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162</v>
      </c>
      <c r="K24" s="70"/>
    </row>
    <row r="25" spans="1:11" ht="15.75" customHeight="1" x14ac:dyDescent="0.2">
      <c r="A25" s="25"/>
      <c r="B25" s="65"/>
      <c r="C25" s="25"/>
      <c r="D25" s="25"/>
      <c r="E25" s="25"/>
      <c r="F25" s="25"/>
      <c r="G25" s="25"/>
      <c r="H25" s="25"/>
      <c r="I25" s="25"/>
      <c r="J25" s="25" t="s">
        <v>126</v>
      </c>
      <c r="K25" s="70"/>
    </row>
    <row r="26" spans="1:11" ht="15.75" customHeight="1" x14ac:dyDescent="0.2">
      <c r="B26" s="65"/>
      <c r="H26" s="25"/>
      <c r="J26" s="25"/>
    </row>
    <row r="27" spans="1:11" ht="15.75" customHeight="1" x14ac:dyDescent="0.2">
      <c r="B27" s="65"/>
      <c r="J27" s="2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2026-06-26T19:10:59Z</dcterms:modified>
</cp:coreProperties>
</file>