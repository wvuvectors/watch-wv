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Sample IDs" sheetId="2" r:id="rId5"/>
    <sheet state="visible" name="Comments" sheetId="3" r:id="rId6"/>
    <sheet state="visible" name="Volume Overrides" sheetId="4" r:id="rId7"/>
    <sheet state="visible" name="Storage Locations" sheetId="5" r:id="rId8"/>
    <sheet state="visible" name="Run Setup" sheetId="6" r:id="rId9"/>
    <sheet state="visible" name="Lists" sheetId="7" r:id="rId10"/>
  </sheets>
  <definedNames/>
  <calcPr/>
  <extLst>
    <ext uri="GoogleSheetsCustomDataVersion2">
      <go:sheetsCustomData xmlns:go="http://customooxmlschemas.google.com/" r:id="rId11" roundtripDataChecksum="Zzr/OxNY5e4+LKSraiYRKY/oaPYyXfkMN0fPwEuieGI="/>
    </ext>
  </extLst>
</workbook>
</file>

<file path=xl/sharedStrings.xml><?xml version="1.0" encoding="utf-8"?>
<sst xmlns="http://schemas.openxmlformats.org/spreadsheetml/2006/main" count="389" uniqueCount="232">
  <si>
    <t>Batch Type</t>
  </si>
  <si>
    <t>Assay</t>
  </si>
  <si>
    <t>Batch Record Version</t>
  </si>
  <si>
    <t>2.0.3</t>
  </si>
  <si>
    <t>Date</t>
  </si>
  <si>
    <t>Run by</t>
  </si>
  <si>
    <t>ID</t>
  </si>
  <si>
    <t>Machine</t>
  </si>
  <si>
    <t>Zoo QX600</t>
  </si>
  <si>
    <t>Batch ID</t>
  </si>
  <si>
    <t>AB150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</si>
  <si>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</si>
  <si>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</si>
  <si>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</si>
  <si>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</si>
  <si>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Amplification Method</t>
  </si>
  <si>
    <t>Bio-Rad OneStep RT-ddPCR Advanced Kit for Probes</t>
  </si>
  <si>
    <t>Amplification Method Lot ID</t>
  </si>
  <si>
    <t>Quantification Type</t>
  </si>
  <si>
    <t>Direct Quantification (dPCR; ddPCR)</t>
  </si>
  <si>
    <t>Assay Method</t>
  </si>
  <si>
    <t>GTM GT-Digital MeV WT M Gene WW Surveillance Assay v1.0 for the Qiacuity-BETA (101035)</t>
  </si>
  <si>
    <t>Assay Method Lot ID</t>
  </si>
  <si>
    <t>Batch Comment</t>
  </si>
  <si>
    <t>None</t>
  </si>
  <si>
    <t>Target Fluorophore</t>
  </si>
  <si>
    <t>FAM</t>
  </si>
  <si>
    <t>Target</t>
  </si>
  <si>
    <t>Influenza Virus A (M)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</si>
  <si>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</si>
  <si>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</si>
  <si>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</si>
  <si>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</si>
  <si>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</si>
  <si>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</si>
  <si>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Control 1 Macromolecule</t>
  </si>
  <si>
    <t>Control 1 Well</t>
  </si>
  <si>
    <t>H4</t>
  </si>
  <si>
    <t>Control 1 Predicted Copies Per uL Reaction</t>
  </si>
  <si>
    <t>Control 2 Type</t>
  </si>
  <si>
    <t>PCR Positive</t>
  </si>
  <si>
    <t>Control 2 Template</t>
  </si>
  <si>
    <t>Oligomer</t>
  </si>
  <si>
    <t>Control 2 Macromolecule</t>
  </si>
  <si>
    <t>Control 2 Well</t>
  </si>
  <si>
    <t>A5</t>
  </si>
  <si>
    <t>Control 2 Predicted Copies Per uL Reaction</t>
  </si>
  <si>
    <t>HEX</t>
  </si>
  <si>
    <t>Respiratory Syncitial Virus, Bovine</t>
  </si>
  <si>
    <t>Cy5</t>
  </si>
  <si>
    <t>Respiratory Syncitial Virus, Human (G)</t>
  </si>
  <si>
    <t>Cy5.5</t>
  </si>
  <si>
    <t>Influenza Virus B (NEP/NS1)</t>
  </si>
  <si>
    <t>ROX</t>
  </si>
  <si>
    <t>SARS-CoV-2 (SC2)</t>
  </si>
  <si>
    <t>A</t>
  </si>
  <si>
    <t>A01-1562</t>
  </si>
  <si>
    <t>C01-1251</t>
  </si>
  <si>
    <t>O01-0224</t>
  </si>
  <si>
    <t>D01-1022</t>
  </si>
  <si>
    <t>PC</t>
  </si>
  <si>
    <t>B</t>
  </si>
  <si>
    <t>A01-1563</t>
  </si>
  <si>
    <t>C01-1252</t>
  </si>
  <si>
    <t>L01-1018</t>
  </si>
  <si>
    <t>R02-1026</t>
  </si>
  <si>
    <t>C</t>
  </si>
  <si>
    <t>A01-1564</t>
  </si>
  <si>
    <t>C01-1253</t>
  </si>
  <si>
    <t>A04-0583</t>
  </si>
  <si>
    <t>H01-1032</t>
  </si>
  <si>
    <t>D</t>
  </si>
  <si>
    <t>A01-1565</t>
  </si>
  <si>
    <t>C01-1255</t>
  </si>
  <si>
    <t>M04-1009</t>
  </si>
  <si>
    <t>U01-0171</t>
  </si>
  <si>
    <t>E</t>
  </si>
  <si>
    <t>A01-1566</t>
  </si>
  <si>
    <t>C01-1254</t>
  </si>
  <si>
    <t>O01-1010</t>
  </si>
  <si>
    <t>T01-1002</t>
  </si>
  <si>
    <t>F</t>
  </si>
  <si>
    <t>A01-1567</t>
  </si>
  <si>
    <t>G01-1012</t>
  </si>
  <si>
    <t>N02-1009</t>
  </si>
  <si>
    <t>J01-1026</t>
  </si>
  <si>
    <t>G</t>
  </si>
  <si>
    <t>A01-1568</t>
  </si>
  <si>
    <t>Q01-1026</t>
  </si>
  <si>
    <t>M03-1020</t>
  </si>
  <si>
    <t>W01-1013</t>
  </si>
  <si>
    <t>H</t>
  </si>
  <si>
    <t>A01-1569</t>
  </si>
  <si>
    <t>K01-0480</t>
  </si>
  <si>
    <t>F01-1016</t>
  </si>
  <si>
    <t>NTC</t>
  </si>
  <si>
    <t>NAB167 I1</t>
  </si>
  <si>
    <t>J1</t>
  </si>
  <si>
    <t>K1</t>
  </si>
  <si>
    <t>L1</t>
  </si>
  <si>
    <t>I2</t>
  </si>
  <si>
    <t>J2</t>
  </si>
  <si>
    <t>K2</t>
  </si>
  <si>
    <t>L2</t>
  </si>
  <si>
    <t>I3</t>
  </si>
  <si>
    <t>J3</t>
  </si>
  <si>
    <t>K3</t>
  </si>
  <si>
    <t>L3</t>
  </si>
  <si>
    <t>I4</t>
  </si>
  <si>
    <t>J4</t>
  </si>
  <si>
    <t>K4</t>
  </si>
  <si>
    <t>L4</t>
  </si>
  <si>
    <t>I5</t>
  </si>
  <si>
    <t>J5</t>
  </si>
  <si>
    <t>K5</t>
  </si>
  <si>
    <t>L5</t>
  </si>
  <si>
    <t>I6</t>
  </si>
  <si>
    <t>J6</t>
  </si>
  <si>
    <t>K6</t>
  </si>
  <si>
    <t>L6</t>
  </si>
  <si>
    <t>I7</t>
  </si>
  <si>
    <t>J7</t>
  </si>
  <si>
    <t>K7</t>
  </si>
  <si>
    <t>L7</t>
  </si>
  <si>
    <t>I8</t>
  </si>
  <si>
    <t>J8</t>
  </si>
  <si>
    <t>K8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</si>
  <si>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</si>
  <si>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</si>
  <si>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</si>
  <si>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</si>
  <si>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</si>
  <si>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</si>
  <si>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</si>
  <si>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</si>
  <si>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</si>
  <si>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</si>
  <si>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</si>
  <si>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</si>
  <si>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</si>
  <si>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</si>
  <si>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</si>
  <si>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</si>
  <si>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</si>
  <si>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</si>
  <si>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</si>
  <si>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</si>
  <si>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</si>
  <si>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</si>
  <si>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</si>
  <si>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</si>
  <si>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</si>
  <si>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</si>
  <si>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</si>
  <si>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</si>
  <si>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</si>
  <si>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</si>
  <si>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</si>
  <si>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</si>
  <si>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</si>
  <si>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</si>
  <si>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</si>
  <si>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</si>
  <si>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</si>
  <si>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</si>
  <si>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</si>
  <si>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</si>
  <si>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</si>
  <si>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</si>
  <si>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</si>
  <si>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</si>
  <si>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</si>
  <si>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</si>
  <si>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</si>
  <si>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</si>
  <si>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</si>
  <si>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</si>
  <si>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</si>
  <si>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</si>
  <si>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QX200</t>
  </si>
  <si>
    <t>Pathogen</t>
  </si>
  <si>
    <t>GTM GT-Digital Flu;SC2;RSV Wastewater Surveillance Panel v1.0 for the Bio-Rad QX600 (100735)</t>
  </si>
  <si>
    <t>NA</t>
  </si>
  <si>
    <t>SARS-CoV-2 (N1)</t>
  </si>
  <si>
    <t>Gene or Genomic Region</t>
  </si>
  <si>
    <t>DNA</t>
  </si>
  <si>
    <t>Bio-Rad ddPCR Supermix for Probes</t>
  </si>
  <si>
    <t>Indirect Quantification (real-time PCR)</t>
  </si>
  <si>
    <t>GTM GT-Digital MeV WT Wastewater Surveillance Assay v1.0 for the QX200/QX600 (100840)</t>
  </si>
  <si>
    <t>Human</t>
  </si>
  <si>
    <t>Zoo Qiacuity 1</t>
  </si>
  <si>
    <t>SARS-CoV-2 (N2)</t>
  </si>
  <si>
    <t>Internal Control</t>
  </si>
  <si>
    <t>SARS-CoV-2</t>
  </si>
  <si>
    <t>Other</t>
  </si>
  <si>
    <t>-----------------------------</t>
  </si>
  <si>
    <t>Rare Mutation Detection</t>
  </si>
  <si>
    <t>GTM dPCR NVO;Mpox Assay Kit v1.0 for the QX200-BETA (100458)</t>
  </si>
  <si>
    <t>Avian</t>
  </si>
  <si>
    <t>Human (RNase P)</t>
  </si>
  <si>
    <t>Protein</t>
  </si>
  <si>
    <t>LV-SARS_N</t>
  </si>
  <si>
    <t>QIAcuity OneStep Advanced Probe Kit</t>
  </si>
  <si>
    <t>GTM dPCR NVO;Mpox Assay Kit v1.0 for the QX200-BETA (100458) plus GT-Digitial Mpox Clade I OPG210 ROX Add-On for the QX600 (100865)</t>
  </si>
  <si>
    <t>Swine</t>
  </si>
  <si>
    <t>Human Immunodeficiency Virus 1</t>
  </si>
  <si>
    <t>Influenza A</t>
  </si>
  <si>
    <t>GTM dPCR Norovirus GI;GII Assay Kit for the Bio-Rad QX200 (100468)</t>
  </si>
  <si>
    <t>Multiple</t>
  </si>
  <si>
    <t>Human Immunodeficiency Virus 2</t>
  </si>
  <si>
    <t>Influenza B</t>
  </si>
  <si>
    <t>ATTO 590</t>
  </si>
  <si>
    <t>PMMoV</t>
  </si>
  <si>
    <t>FAM/HEX</t>
  </si>
  <si>
    <t>Bio-Rad Influenza A (M), B (NEP/NS1), Human (RNAse P) Triplex (dEXD84844642)</t>
  </si>
  <si>
    <t>Cy5/Cy5.5</t>
  </si>
  <si>
    <t>Bio-Rad SARS-CoV-2 (HVdel69-70) (dMDS944624402)</t>
  </si>
  <si>
    <t>Measles Virus, Wild-Type (N)</t>
  </si>
  <si>
    <t>Bio-Rad SARS-CoV-2 (N1, N2) Duplex (dEXD15704188)</t>
  </si>
  <si>
    <t>Mpox Virus Clade I (F3L)</t>
  </si>
  <si>
    <t>Bio-Rad SARS-CoV-2 (N1, N2), BRSV (N) Triplex (dEXD41434415)</t>
  </si>
  <si>
    <t>Mpox Virus Clade II (F3L)</t>
  </si>
  <si>
    <t>Bio-Rad SARS-CoV-2 (N1, N2), Human (RNAse P) Triplex (dEXD28563542)</t>
  </si>
  <si>
    <t>Non-Variola Orthopoxviruses</t>
  </si>
  <si>
    <t>Bio-Rad SARS-CoV-2 (N1) (dEXD54243734)</t>
  </si>
  <si>
    <t>Norovirus GI, Human (ORF1_2)</t>
  </si>
  <si>
    <t>Bio-Rad SARS-CoV-2 (N2) (dEXD28513507)</t>
  </si>
  <si>
    <t>Norovirus GII, Human (ORF1_2)</t>
  </si>
  <si>
    <t>Bio-Rad Variant SARS-CoV-2 Multiplex (dEXD15841942)</t>
  </si>
  <si>
    <t>Pepper Mild Mottle Virus</t>
  </si>
  <si>
    <t>GTM GT-Digital infA;infB Assay Kit v1.1 for the QIAcuity-BETA (100519-1.1)</t>
  </si>
  <si>
    <t>Custom Design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</si>
</sst>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20">
    <font>
      <sz val="12.0"/>
      <color theme="1"/>
      <name val="Arial"/>
      <scheme val="minor"/>
    </font>
    <font>
      <i/>
      <sz val="16.0"/>
      <color theme="1"/>
      <name val="Arial"/>
    </font>
    <font>
      <b/>
      <sz val="16.0"/>
      <color theme="1"/>
      <name val="Arial"/>
    </font>
    <font>
      <sz val="16.0"/>
      <color theme="1"/>
      <name val="Arial"/>
    </font>
    <font>
      <i/>
      <sz val="12.0"/>
      <color theme="1"/>
      <name val="Arial"/>
    </font>
    <font>
      <b/>
      <i/>
      <sz val="16.0"/>
      <color theme="1"/>
      <name val="Arial"/>
    </font>
    <font>
      <b/>
      <sz val="18.0"/>
      <color theme="1"/>
      <name val="Calibri"/>
    </font>
    <font>
      <b/>
      <sz val="24.0"/>
      <color theme="1"/>
      <name val="Calibri"/>
    </font>
    <font/>
    <font>
      <sz val="18.0"/>
      <color theme="1"/>
      <name val="Calibri"/>
    </font>
    <font>
      <i/>
      <sz val="16.0"/>
      <color theme="1"/>
      <name val="Calibri"/>
    </font>
    <font>
      <b/>
      <sz val="16.0"/>
      <color theme="1"/>
      <name val="Calibri"/>
    </font>
    <font>
      <sz val="12.0"/>
      <color theme="1"/>
      <name val="Arial"/>
    </font>
    <font>
      <sz val="14.0"/>
      <color theme="1"/>
      <name val="Arial"/>
    </font>
    <font>
      <b/>
      <sz val="14.0"/>
      <color theme="1"/>
      <name val="Calibri"/>
    </font>
    <font>
      <sz val="14.0"/>
      <color theme="1"/>
      <name val="Calibri"/>
    </font>
    <font>
      <i/>
      <sz val="14.0"/>
      <color theme="1"/>
      <name val="Calibri"/>
    </font>
    <font>
      <b/>
      <sz val="12.0"/>
      <color theme="1"/>
      <name val="Calibri"/>
    </font>
    <font>
      <b/>
      <sz val="12.0"/>
      <color theme="1"/>
      <name val="Arial"/>
    </font>
    <font>
      <sz val="12.0"/>
      <color rgb="FFFF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</fills>
  <borders count="27">
    <border/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/>
      <right/>
      <top/>
      <bottom style="thin">
        <color rgb="FF000000"/>
      </bottom>
    </border>
    <border>
      <bottom style="medium">
        <color rgb="FF000000"/>
      </bottom>
    </border>
    <border>
      <left/>
      <right/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right/>
      <bottom/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vertical="center"/>
    </xf>
    <xf borderId="2" fillId="2" fontId="1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0" fillId="0" fontId="3" numFmtId="0" xfId="0" applyAlignment="1" applyFont="1">
      <alignment horizontal="left" vertical="center"/>
    </xf>
    <xf borderId="3" fillId="2" fontId="1" numFmtId="0" xfId="0" applyAlignment="1" applyBorder="1" applyFont="1">
      <alignment horizontal="left" vertical="center"/>
    </xf>
    <xf borderId="4" fillId="2" fontId="1" numFmtId="0" xfId="0" applyAlignment="1" applyBorder="1" applyFont="1">
      <alignment vertical="center"/>
    </xf>
    <xf borderId="5" fillId="3" fontId="3" numFmtId="0" xfId="0" applyAlignment="1" applyBorder="1" applyFill="1" applyFont="1">
      <alignment horizontal="left" vertical="center"/>
    </xf>
    <xf borderId="5" fillId="3" fontId="3" numFmtId="14" xfId="0" applyAlignment="1" applyBorder="1" applyFont="1" applyNumberFormat="1">
      <alignment horizontal="left" readingOrder="0" vertical="center"/>
    </xf>
    <xf borderId="0" fillId="0" fontId="3" numFmtId="0" xfId="0" applyAlignment="1" applyFont="1">
      <alignment horizontal="left" readingOrder="0" vertical="center"/>
    </xf>
    <xf borderId="0" fillId="0" fontId="1" numFmtId="0" xfId="0" applyAlignment="1" applyFont="1">
      <alignment horizontal="left" vertical="center"/>
    </xf>
    <xf borderId="6" fillId="3" fontId="3" numFmtId="0" xfId="0" applyAlignment="1" applyBorder="1" applyFont="1">
      <alignment horizontal="left" vertical="center"/>
    </xf>
    <xf borderId="6" fillId="3" fontId="3" numFmtId="164" xfId="0" applyAlignment="1" applyBorder="1" applyFont="1" applyNumberFormat="1">
      <alignment horizontal="left" vertical="center"/>
    </xf>
    <xf borderId="0" fillId="0" fontId="4" numFmtId="0" xfId="0" applyAlignment="1" applyFont="1">
      <alignment horizontal="left" vertical="center"/>
    </xf>
    <xf borderId="5" fillId="3" fontId="3" numFmtId="0" xfId="0" applyAlignment="1" applyBorder="1" applyFont="1">
      <alignment horizontal="left" readingOrder="0" vertical="center"/>
    </xf>
    <xf borderId="0" fillId="0" fontId="5" numFmtId="0" xfId="0" applyAlignment="1" applyFont="1">
      <alignment horizontal="center" vertical="center"/>
    </xf>
    <xf borderId="7" fillId="0" fontId="3" numFmtId="0" xfId="0" applyAlignment="1" applyBorder="1" applyFont="1">
      <alignment horizontal="left" vertical="center"/>
    </xf>
    <xf borderId="7" fillId="0" fontId="3" numFmtId="0" xfId="0" applyAlignment="1" applyBorder="1" applyFont="1">
      <alignment vertical="center"/>
    </xf>
    <xf borderId="5" fillId="4" fontId="3" numFmtId="0" xfId="0" applyAlignment="1" applyBorder="1" applyFill="1" applyFont="1">
      <alignment horizontal="left" vertical="center"/>
    </xf>
    <xf borderId="0" fillId="0" fontId="3" numFmtId="0" xfId="0" applyFont="1"/>
    <xf borderId="5" fillId="5" fontId="3" numFmtId="0" xfId="0" applyAlignment="1" applyBorder="1" applyFill="1" applyFont="1">
      <alignment horizontal="left" vertical="center"/>
    </xf>
    <xf borderId="5" fillId="6" fontId="3" numFmtId="0" xfId="0" applyAlignment="1" applyBorder="1" applyFill="1" applyFont="1">
      <alignment horizontal="left" vertical="center"/>
    </xf>
    <xf borderId="5" fillId="6" fontId="3" numFmtId="0" xfId="0" applyAlignment="1" applyBorder="1" applyFont="1">
      <alignment vertical="center"/>
    </xf>
    <xf borderId="0" fillId="0" fontId="3" numFmtId="0" xfId="0" applyAlignment="1" applyFont="1">
      <alignment vertical="center"/>
    </xf>
    <xf borderId="5" fillId="6" fontId="3" numFmtId="0" xfId="0" applyAlignment="1" applyBorder="1" applyFont="1">
      <alignment horizontal="left" readingOrder="0" vertical="center"/>
    </xf>
    <xf borderId="5" fillId="7" fontId="3" numFmtId="0" xfId="0" applyAlignment="1" applyBorder="1" applyFill="1" applyFont="1">
      <alignment horizontal="left" vertical="center"/>
    </xf>
    <xf borderId="5" fillId="7" fontId="3" numFmtId="0" xfId="0" applyAlignment="1" applyBorder="1" applyFont="1">
      <alignment vertical="center"/>
    </xf>
    <xf borderId="5" fillId="7" fontId="3" numFmtId="0" xfId="0" applyAlignment="1" applyBorder="1" applyFont="1">
      <alignment horizontal="left" readingOrder="0" vertical="center"/>
    </xf>
    <xf borderId="8" fillId="7" fontId="3" numFmtId="0" xfId="0" applyAlignment="1" applyBorder="1" applyFont="1">
      <alignment horizontal="left" vertical="center"/>
    </xf>
    <xf borderId="7" fillId="0" fontId="5" numFmtId="0" xfId="0" applyAlignment="1" applyBorder="1" applyFont="1">
      <alignment horizontal="center" vertical="center"/>
    </xf>
    <xf borderId="0" fillId="0" fontId="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9" fillId="2" fontId="6" numFmtId="0" xfId="0" applyAlignment="1" applyBorder="1" applyFont="1">
      <alignment horizontal="center" vertical="center"/>
    </xf>
    <xf borderId="9" fillId="3" fontId="6" numFmtId="0" xfId="0" applyAlignment="1" applyBorder="1" applyFont="1">
      <alignment horizontal="center" vertical="center"/>
    </xf>
    <xf borderId="10" fillId="4" fontId="6" numFmtId="0" xfId="0" applyAlignment="1" applyBorder="1" applyFont="1">
      <alignment horizontal="left" vertical="center"/>
    </xf>
    <xf borderId="11" fillId="0" fontId="8" numFmtId="0" xfId="0" applyBorder="1" applyFont="1"/>
    <xf borderId="12" fillId="0" fontId="8" numFmtId="0" xfId="0" applyBorder="1" applyFont="1"/>
    <xf borderId="0" fillId="0" fontId="6" numFmtId="0" xfId="0" applyAlignment="1" applyFont="1">
      <alignment vertical="center"/>
    </xf>
    <xf borderId="10" fillId="5" fontId="9" numFmtId="0" xfId="0" applyAlignment="1" applyBorder="1" applyFont="1">
      <alignment horizontal="left" vertical="center"/>
    </xf>
    <xf borderId="13" fillId="8" fontId="9" numFmtId="0" xfId="0" applyAlignment="1" applyBorder="1" applyFill="1" applyFont="1">
      <alignment horizontal="left" vertical="center"/>
    </xf>
    <xf borderId="14" fillId="0" fontId="8" numFmtId="0" xfId="0" applyBorder="1" applyFont="1"/>
    <xf borderId="15" fillId="0" fontId="8" numFmtId="0" xfId="0" applyBorder="1" applyFont="1"/>
    <xf borderId="16" fillId="0" fontId="10" numFmtId="0" xfId="0" applyAlignment="1" applyBorder="1" applyFont="1">
      <alignment vertical="center"/>
    </xf>
    <xf borderId="0" fillId="0" fontId="10" numFmtId="0" xfId="0" applyAlignment="1" applyFont="1">
      <alignment vertical="center"/>
    </xf>
    <xf borderId="5" fillId="9" fontId="11" numFmtId="0" xfId="0" applyAlignment="1" applyBorder="1" applyFill="1" applyFont="1">
      <alignment horizontal="right" vertical="center"/>
    </xf>
    <xf borderId="5" fillId="9" fontId="11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5" fillId="5" fontId="13" numFmtId="0" xfId="0" applyAlignment="1" applyBorder="1" applyFont="1">
      <alignment horizontal="right" vertical="center"/>
    </xf>
    <xf borderId="5" fillId="5" fontId="13" numFmtId="0" xfId="0" applyAlignment="1" applyBorder="1" applyFont="1">
      <alignment horizontal="center" vertical="center"/>
    </xf>
    <xf borderId="0" fillId="0" fontId="4" numFmtId="0" xfId="0" applyAlignment="1" applyFont="1">
      <alignment horizontal="left" shrinkToFit="0" vertical="center" wrapText="1"/>
    </xf>
    <xf borderId="10" fillId="5" fontId="14" numFmtId="0" xfId="0" applyAlignment="1" applyBorder="1" applyFont="1">
      <alignment horizontal="center" vertical="center"/>
    </xf>
    <xf borderId="0" fillId="0" fontId="12" numFmtId="0" xfId="0" applyAlignment="1" applyFont="1">
      <alignment horizontal="center" vertical="center"/>
    </xf>
    <xf borderId="6" fillId="5" fontId="14" numFmtId="0" xfId="0" applyAlignment="1" applyBorder="1" applyFont="1">
      <alignment horizontal="right" vertical="center"/>
    </xf>
    <xf borderId="6" fillId="5" fontId="14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right" vertical="center"/>
    </xf>
    <xf borderId="5" fillId="5" fontId="15" numFmtId="0" xfId="0" applyAlignment="1" applyBorder="1" applyFont="1">
      <alignment horizontal="center"/>
    </xf>
    <xf borderId="5" fillId="5" fontId="15" numFmtId="0" xfId="0" applyAlignment="1" applyBorder="1" applyFont="1">
      <alignment horizontal="center" vertical="center"/>
    </xf>
    <xf borderId="17" fillId="5" fontId="15" numFmtId="0" xfId="0" applyAlignment="1" applyBorder="1" applyFont="1">
      <alignment horizontal="center" shrinkToFit="0" vertical="center" wrapText="1"/>
    </xf>
    <xf borderId="18" fillId="0" fontId="8" numFmtId="0" xfId="0" applyBorder="1" applyFont="1"/>
    <xf borderId="0" fillId="0" fontId="12" numFmtId="0" xfId="0" applyAlignment="1" applyFont="1">
      <alignment horizontal="right" vertical="center"/>
    </xf>
    <xf borderId="13" fillId="5" fontId="14" numFmtId="0" xfId="0" applyAlignment="1" applyBorder="1" applyFont="1">
      <alignment horizontal="center" vertical="center"/>
    </xf>
    <xf borderId="5" fillId="5" fontId="15" numFmtId="0" xfId="0" applyAlignment="1" applyBorder="1" applyFont="1">
      <alignment horizontal="right"/>
    </xf>
    <xf borderId="5" fillId="5" fontId="12" numFmtId="0" xfId="0" applyBorder="1" applyFont="1"/>
    <xf borderId="19" fillId="8" fontId="11" numFmtId="0" xfId="0" applyAlignment="1" applyBorder="1" applyFont="1">
      <alignment horizontal="right" vertical="center"/>
    </xf>
    <xf borderId="20" fillId="8" fontId="11" numFmtId="0" xfId="0" applyAlignment="1" applyBorder="1" applyFont="1">
      <alignment horizontal="center" vertical="center"/>
    </xf>
    <xf borderId="5" fillId="10" fontId="14" numFmtId="0" xfId="0" applyAlignment="1" applyBorder="1" applyFill="1" applyFont="1">
      <alignment horizontal="right" vertical="center"/>
    </xf>
    <xf borderId="5" fillId="10" fontId="4" numFmtId="0" xfId="0" applyAlignment="1" applyBorder="1" applyFont="1">
      <alignment horizontal="center" vertical="center"/>
    </xf>
    <xf borderId="0" fillId="0" fontId="16" numFmtId="0" xfId="0" applyAlignment="1" applyFont="1">
      <alignment horizontal="left" vertical="center"/>
    </xf>
    <xf borderId="21" fillId="11" fontId="14" numFmtId="0" xfId="0" applyAlignment="1" applyBorder="1" applyFill="1" applyFont="1">
      <alignment horizontal="right" vertical="center"/>
    </xf>
    <xf borderId="22" fillId="0" fontId="8" numFmtId="0" xfId="0" applyBorder="1" applyFont="1"/>
    <xf borderId="0" fillId="0" fontId="15" numFmtId="0" xfId="0" applyAlignment="1" applyFont="1">
      <alignment vertical="center"/>
    </xf>
    <xf borderId="0" fillId="0" fontId="12" numFmtId="0" xfId="0" applyAlignment="1" applyFont="1">
      <alignment vertical="center"/>
    </xf>
    <xf borderId="23" fillId="8" fontId="14" numFmtId="0" xfId="0" applyAlignment="1" applyBorder="1" applyFont="1">
      <alignment horizontal="right"/>
    </xf>
    <xf borderId="24" fillId="8" fontId="14" numFmtId="0" xfId="0" applyAlignment="1" applyBorder="1" applyFont="1">
      <alignment horizontal="center"/>
    </xf>
    <xf borderId="0" fillId="0" fontId="15" numFmtId="0" xfId="0" applyFont="1"/>
    <xf borderId="0" fillId="0" fontId="16" numFmtId="0" xfId="0" applyFont="1"/>
    <xf borderId="25" fillId="8" fontId="14" numFmtId="0" xfId="0" applyAlignment="1" applyBorder="1" applyFont="1">
      <alignment horizontal="right"/>
    </xf>
    <xf borderId="26" fillId="8" fontId="14" numFmtId="0" xfId="0" applyAlignment="1" applyBorder="1" applyFont="1">
      <alignment horizontal="center"/>
    </xf>
    <xf borderId="0" fillId="0" fontId="14" numFmtId="0" xfId="0" applyFont="1"/>
    <xf borderId="0" fillId="0" fontId="17" numFmtId="0" xfId="0" applyAlignment="1" applyFont="1">
      <alignment horizontal="center"/>
    </xf>
    <xf borderId="5" fillId="4" fontId="18" numFmtId="0" xfId="0" applyBorder="1" applyFont="1"/>
    <xf borderId="5" fillId="4" fontId="18" numFmtId="0" xfId="0" applyAlignment="1" applyBorder="1" applyFont="1">
      <alignment horizontal="left" vertical="center"/>
    </xf>
    <xf borderId="0" fillId="0" fontId="12" numFmtId="0" xfId="0" applyFont="1"/>
    <xf borderId="0" fillId="0" fontId="12" numFmtId="164" xfId="0" applyAlignment="1" applyFont="1" applyNumberFormat="1">
      <alignment horizontal="left" vertical="center"/>
    </xf>
    <xf borderId="0" fillId="0" fontId="12" numFmtId="0" xfId="0" applyAlignment="1" applyFont="1">
      <alignment horizontal="left" vertical="center"/>
    </xf>
    <xf quotePrefix="1" borderId="0" fillId="0" fontId="12" numFmtId="0" xfId="0" applyFont="1"/>
    <xf borderId="0" fillId="0" fontId="1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51.6"/>
    <col customWidth="1" min="2" max="2" width="70.4"/>
    <col customWidth="1" min="3" max="3" width="93.9"/>
    <col customWidth="1" min="4" max="23" width="26.0"/>
  </cols>
  <sheetData>
    <row r="1" ht="31.5" customHeight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5" t="s">
        <v>2</v>
      </c>
      <c r="B2" s="6" t="s">
        <v>3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30.0" customHeight="1">
      <c r="A3" s="7" t="s">
        <v>4</v>
      </c>
      <c r="B3" s="8">
        <v>46163.0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30.0" customHeight="1">
      <c r="A4" s="4" t="s">
        <v>5</v>
      </c>
      <c r="B4" s="9" t="s">
        <v>6</v>
      </c>
      <c r="C4" s="10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0.0" customHeight="1">
      <c r="A5" s="7" t="s">
        <v>7</v>
      </c>
      <c r="B5" s="7" t="s">
        <v>8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30.0" customHeight="1">
      <c r="A6" s="4" t="s">
        <v>9</v>
      </c>
      <c r="B6" s="9" t="s">
        <v>10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30.0" customHeight="1">
      <c r="A7" s="11" t="s">
        <v>11</v>
      </c>
      <c r="B7" s="12">
        <v>2.0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0" customHeight="1">
      <c r="A8" s="4" t="s">
        <v>12</v>
      </c>
      <c r="B8" s="4">
        <v>5.0</v>
      </c>
      <c r="C8" s="13" t="s">
        <v>13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0" customHeight="1">
      <c r="A9" s="7" t="s">
        <v>14</v>
      </c>
      <c r="B9" s="7">
        <v>20.0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0" customHeight="1">
      <c r="A10" s="4" t="s">
        <v>15</v>
      </c>
      <c r="B10" s="4" t="s">
        <v>16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0" customHeight="1">
      <c r="A11" s="7" t="s">
        <v>17</v>
      </c>
      <c r="B11" s="7">
        <v>6.4667524E7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0" customHeight="1">
      <c r="A12" s="7" t="s">
        <v>18</v>
      </c>
      <c r="B12" s="7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0" customHeight="1">
      <c r="A13" s="4" t="s">
        <v>20</v>
      </c>
      <c r="B13" s="9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0" customHeight="1">
      <c r="A14" s="7" t="s">
        <v>22</v>
      </c>
      <c r="B14" s="14">
        <v>22228.0</v>
      </c>
      <c r="C14" s="15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0" customHeight="1">
      <c r="A15" s="16" t="s">
        <v>23</v>
      </c>
      <c r="B15" s="17" t="s">
        <v>24</v>
      </c>
      <c r="C15" s="16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4.75" customHeight="1">
      <c r="A16" s="18" t="s">
        <v>25</v>
      </c>
      <c r="B16" s="18" t="s">
        <v>26</v>
      </c>
      <c r="D16" s="19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4.75" customHeight="1">
      <c r="A17" s="20" t="s">
        <v>27</v>
      </c>
      <c r="B17" s="20" t="s">
        <v>28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4.75" customHeight="1">
      <c r="A18" s="20" t="s">
        <v>29</v>
      </c>
      <c r="B18" s="20" t="s">
        <v>30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4.75" customHeight="1">
      <c r="A19" s="20" t="s">
        <v>31</v>
      </c>
      <c r="B19" s="20">
        <v>0.0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4.75" customHeight="1">
      <c r="A20" s="21" t="s">
        <v>32</v>
      </c>
      <c r="B20" s="22" t="s">
        <v>33</v>
      </c>
      <c r="C20" s="23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</row>
    <row r="21" ht="24.75" customHeight="1">
      <c r="A21" s="21" t="s">
        <v>34</v>
      </c>
      <c r="B21" s="21" t="s">
        <v>24</v>
      </c>
      <c r="C21" s="23"/>
      <c r="D21" s="19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4.75" customHeight="1">
      <c r="A22" s="21" t="s">
        <v>35</v>
      </c>
      <c r="B22" s="22" t="s">
        <v>24</v>
      </c>
      <c r="C22" s="23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</row>
    <row r="23" ht="24.75" customHeight="1">
      <c r="A23" s="21" t="s">
        <v>36</v>
      </c>
      <c r="B23" s="24" t="s">
        <v>37</v>
      </c>
      <c r="C23" s="23"/>
      <c r="D23" s="19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4.75" customHeight="1">
      <c r="A24" s="21" t="s">
        <v>38</v>
      </c>
      <c r="B24" s="21">
        <v>0.0</v>
      </c>
      <c r="C24" s="23"/>
      <c r="D24" s="19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4.75" customHeight="1">
      <c r="A25" s="25" t="s">
        <v>39</v>
      </c>
      <c r="B25" s="26" t="s">
        <v>40</v>
      </c>
      <c r="C25" s="2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4.75" customHeight="1">
      <c r="A26" s="25" t="s">
        <v>41</v>
      </c>
      <c r="B26" s="25" t="s">
        <v>42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4.75" customHeight="1">
      <c r="A27" s="25" t="s">
        <v>43</v>
      </c>
      <c r="B27" s="26" t="s">
        <v>30</v>
      </c>
      <c r="C27" s="2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4.75" customHeight="1">
      <c r="A28" s="25" t="s">
        <v>44</v>
      </c>
      <c r="B28" s="27" t="s">
        <v>45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4.75" customHeight="1">
      <c r="A29" s="28" t="s">
        <v>46</v>
      </c>
      <c r="B29" s="28">
        <v>100.0</v>
      </c>
      <c r="C29" s="29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18" t="s">
        <v>25</v>
      </c>
      <c r="B30" s="18" t="s">
        <v>47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20" t="s">
        <v>27</v>
      </c>
      <c r="B31" s="20" t="s">
        <v>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20" t="s">
        <v>29</v>
      </c>
      <c r="B32" s="20" t="s">
        <v>30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20" t="s">
        <v>31</v>
      </c>
      <c r="B33" s="20">
        <v>0.0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21" t="s">
        <v>32</v>
      </c>
      <c r="B34" s="22" t="s">
        <v>33</v>
      </c>
      <c r="C34" s="19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21" t="s">
        <v>34</v>
      </c>
      <c r="B35" s="21" t="s">
        <v>24</v>
      </c>
      <c r="C35" s="19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21" t="s">
        <v>35</v>
      </c>
      <c r="B36" s="22" t="s">
        <v>24</v>
      </c>
      <c r="C36" s="19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21" t="s">
        <v>36</v>
      </c>
      <c r="B37" s="24" t="s">
        <v>37</v>
      </c>
      <c r="C37" s="19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21" t="s">
        <v>38</v>
      </c>
      <c r="B38" s="21">
        <v>0.0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25" t="s">
        <v>39</v>
      </c>
      <c r="B39" s="26" t="s">
        <v>40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25" t="s">
        <v>41</v>
      </c>
      <c r="B40" s="25" t="s">
        <v>42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25" t="s">
        <v>43</v>
      </c>
      <c r="B41" s="26" t="s">
        <v>30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25" t="s">
        <v>44</v>
      </c>
      <c r="B42" s="27" t="s">
        <v>45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28" t="s">
        <v>46</v>
      </c>
      <c r="B43" s="28">
        <v>600.0</v>
      </c>
      <c r="C43" s="29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18" t="s">
        <v>25</v>
      </c>
      <c r="B44" s="18" t="s">
        <v>49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20" t="s">
        <v>27</v>
      </c>
      <c r="B45" s="20" t="s">
        <v>50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20" t="s">
        <v>29</v>
      </c>
      <c r="B46" s="20" t="s">
        <v>30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20" t="s">
        <v>31</v>
      </c>
      <c r="B47" s="20">
        <v>0.0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21" t="s">
        <v>32</v>
      </c>
      <c r="B48" s="22" t="s">
        <v>33</v>
      </c>
      <c r="C48" s="19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21" t="s">
        <v>34</v>
      </c>
      <c r="B49" s="21" t="s">
        <v>24</v>
      </c>
      <c r="C49" s="19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21" t="s">
        <v>35</v>
      </c>
      <c r="B50" s="22" t="s">
        <v>24</v>
      </c>
      <c r="C50" s="19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21" t="s">
        <v>36</v>
      </c>
      <c r="B51" s="24" t="s">
        <v>37</v>
      </c>
      <c r="C51" s="19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21" t="s">
        <v>38</v>
      </c>
      <c r="B52" s="21">
        <v>0.0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25" t="s">
        <v>39</v>
      </c>
      <c r="B53" s="26" t="s">
        <v>40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25" t="s">
        <v>41</v>
      </c>
      <c r="B54" s="25" t="s">
        <v>42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25" t="s">
        <v>43</v>
      </c>
      <c r="B55" s="26" t="s">
        <v>30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25" t="s">
        <v>44</v>
      </c>
      <c r="B56" s="27" t="s">
        <v>45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28" t="s">
        <v>46</v>
      </c>
      <c r="B57" s="28">
        <v>600.0</v>
      </c>
      <c r="C57" s="29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18" t="s">
        <v>25</v>
      </c>
      <c r="B58" s="18" t="s">
        <v>51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20" t="s">
        <v>27</v>
      </c>
      <c r="B59" s="20" t="s">
        <v>52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20" t="s">
        <v>29</v>
      </c>
      <c r="B60" s="20" t="s">
        <v>30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20" t="s">
        <v>31</v>
      </c>
      <c r="B61" s="20">
        <v>0.0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21" t="s">
        <v>32</v>
      </c>
      <c r="B62" s="22" t="s">
        <v>33</v>
      </c>
      <c r="C62" s="19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21" t="s">
        <v>34</v>
      </c>
      <c r="B63" s="21" t="s">
        <v>24</v>
      </c>
      <c r="C63" s="19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21" t="s">
        <v>35</v>
      </c>
      <c r="B64" s="22" t="s">
        <v>24</v>
      </c>
      <c r="C64" s="19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21" t="s">
        <v>36</v>
      </c>
      <c r="B65" s="24" t="s">
        <v>37</v>
      </c>
      <c r="C65" s="19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21" t="s">
        <v>38</v>
      </c>
      <c r="B66" s="21">
        <v>0.0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25" t="s">
        <v>39</v>
      </c>
      <c r="B67" s="26" t="s">
        <v>40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25" t="s">
        <v>41</v>
      </c>
      <c r="B68" s="25" t="s">
        <v>42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25" t="s">
        <v>43</v>
      </c>
      <c r="B69" s="26" t="s">
        <v>30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25" t="s">
        <v>44</v>
      </c>
      <c r="B70" s="27" t="s">
        <v>45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28" t="s">
        <v>46</v>
      </c>
      <c r="B71" s="28">
        <v>600.0</v>
      </c>
      <c r="C71" s="29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18" t="s">
        <v>25</v>
      </c>
      <c r="B72" s="18" t="s">
        <v>53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20" t="s">
        <v>27</v>
      </c>
      <c r="B73" s="20" t="s">
        <v>54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20" t="s">
        <v>29</v>
      </c>
      <c r="B74" s="20" t="s">
        <v>30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20" t="s">
        <v>31</v>
      </c>
      <c r="B75" s="20">
        <v>0.0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21" t="s">
        <v>32</v>
      </c>
      <c r="B76" s="22" t="s">
        <v>33</v>
      </c>
      <c r="C76" s="19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21" t="s">
        <v>34</v>
      </c>
      <c r="B77" s="21" t="s">
        <v>24</v>
      </c>
      <c r="C77" s="19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21" t="s">
        <v>35</v>
      </c>
      <c r="B78" s="22" t="s">
        <v>24</v>
      </c>
      <c r="C78" s="19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21" t="s">
        <v>36</v>
      </c>
      <c r="B79" s="24" t="s">
        <v>37</v>
      </c>
      <c r="C79" s="19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21" t="s">
        <v>38</v>
      </c>
      <c r="B80" s="21">
        <v>0.0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25" t="s">
        <v>39</v>
      </c>
      <c r="B81" s="26" t="s">
        <v>40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25" t="s">
        <v>41</v>
      </c>
      <c r="B82" s="25" t="s">
        <v>42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25" t="s">
        <v>43</v>
      </c>
      <c r="B83" s="26" t="s">
        <v>30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25" t="s">
        <v>44</v>
      </c>
      <c r="B84" s="27" t="s">
        <v>45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28" t="s">
        <v>46</v>
      </c>
      <c r="B85" s="28">
        <v>600.0</v>
      </c>
      <c r="C85" s="29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19"/>
      <c r="B248" s="19"/>
      <c r="C248" s="19"/>
      <c r="D248" s="19"/>
      <c r="E248" s="19"/>
      <c r="F248" s="19"/>
      <c r="G248" s="19"/>
      <c r="H248" s="19"/>
      <c r="I248" s="19"/>
      <c r="J248" s="19"/>
      <c r="K248" s="19"/>
      <c r="L248" s="19"/>
      <c r="M248" s="19"/>
      <c r="N248" s="19"/>
      <c r="O248" s="19"/>
      <c r="P248" s="19"/>
      <c r="Q248" s="19"/>
      <c r="R248" s="19"/>
      <c r="S248" s="19"/>
      <c r="T248" s="19"/>
      <c r="U248" s="19"/>
      <c r="V248" s="19"/>
      <c r="W248" s="19"/>
      <c r="X248" s="19"/>
      <c r="Y248" s="19"/>
      <c r="Z248" s="19"/>
    </row>
    <row r="249" ht="15.75" customHeight="1">
      <c r="A249" s="19"/>
      <c r="B249" s="19"/>
      <c r="C249" s="19"/>
      <c r="D249" s="19"/>
      <c r="E249" s="19"/>
      <c r="F249" s="19"/>
      <c r="G249" s="19"/>
      <c r="H249" s="19"/>
      <c r="I249" s="19"/>
      <c r="J249" s="19"/>
      <c r="K249" s="19"/>
      <c r="L249" s="19"/>
      <c r="M249" s="19"/>
      <c r="N249" s="19"/>
      <c r="O249" s="19"/>
      <c r="P249" s="19"/>
      <c r="Q249" s="19"/>
      <c r="R249" s="19"/>
      <c r="S249" s="19"/>
      <c r="T249" s="19"/>
      <c r="U249" s="19"/>
      <c r="V249" s="19"/>
      <c r="W249" s="19"/>
      <c r="X249" s="19"/>
      <c r="Y249" s="19"/>
      <c r="Z249" s="19"/>
    </row>
    <row r="250" ht="15.75" customHeight="1">
      <c r="A250" s="19"/>
      <c r="B250" s="19"/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19"/>
      <c r="P250" s="19"/>
      <c r="Q250" s="19"/>
      <c r="R250" s="19"/>
      <c r="S250" s="19"/>
      <c r="T250" s="19"/>
      <c r="U250" s="19"/>
      <c r="V250" s="19"/>
      <c r="W250" s="19"/>
      <c r="X250" s="19"/>
      <c r="Y250" s="19"/>
      <c r="Z250" s="19"/>
    </row>
    <row r="251" ht="15.75" customHeight="1">
      <c r="A251" s="19"/>
      <c r="B251" s="19"/>
      <c r="C251" s="19"/>
      <c r="D251" s="19"/>
      <c r="E251" s="19"/>
      <c r="F251" s="19"/>
      <c r="G251" s="19"/>
      <c r="H251" s="19"/>
      <c r="I251" s="19"/>
      <c r="J251" s="19"/>
      <c r="K251" s="19"/>
      <c r="L251" s="19"/>
      <c r="M251" s="19"/>
      <c r="N251" s="19"/>
      <c r="O251" s="19"/>
      <c r="P251" s="19"/>
      <c r="Q251" s="19"/>
      <c r="R251" s="19"/>
      <c r="S251" s="19"/>
      <c r="T251" s="19"/>
      <c r="U251" s="19"/>
      <c r="V251" s="19"/>
      <c r="W251" s="19"/>
      <c r="X251" s="19"/>
      <c r="Y251" s="19"/>
      <c r="Z251" s="19"/>
    </row>
    <row r="252" ht="15.75" customHeight="1">
      <c r="A252" s="19"/>
      <c r="B252" s="19"/>
      <c r="C252" s="19"/>
      <c r="D252" s="19"/>
      <c r="E252" s="19"/>
      <c r="F252" s="19"/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</row>
    <row r="253" ht="15.75" customHeight="1">
      <c r="A253" s="19"/>
      <c r="B253" s="19"/>
      <c r="C253" s="19"/>
      <c r="D253" s="19"/>
      <c r="E253" s="19"/>
      <c r="F253" s="19"/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</row>
    <row r="254" ht="15.75" customHeight="1">
      <c r="A254" s="19"/>
      <c r="B254" s="19"/>
      <c r="C254" s="19"/>
      <c r="D254" s="19"/>
      <c r="E254" s="19"/>
      <c r="F254" s="19"/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</row>
    <row r="255" ht="15.75" customHeight="1">
      <c r="A255" s="19"/>
      <c r="B255" s="19"/>
      <c r="C255" s="19"/>
      <c r="D255" s="19"/>
      <c r="E255" s="19"/>
      <c r="F255" s="19"/>
      <c r="G255" s="19"/>
      <c r="H255" s="19"/>
      <c r="I255" s="19"/>
      <c r="J255" s="19"/>
      <c r="K255" s="19"/>
      <c r="L255" s="19"/>
      <c r="M255" s="19"/>
      <c r="N255" s="19"/>
      <c r="O255" s="19"/>
      <c r="P255" s="19"/>
      <c r="Q255" s="19"/>
      <c r="R255" s="19"/>
      <c r="S255" s="19"/>
      <c r="T255" s="19"/>
      <c r="U255" s="19"/>
      <c r="V255" s="19"/>
      <c r="W255" s="19"/>
      <c r="X255" s="19"/>
      <c r="Y255" s="19"/>
      <c r="Z255" s="19"/>
    </row>
    <row r="256" ht="15.75" customHeight="1">
      <c r="A256" s="19"/>
      <c r="B256" s="19"/>
      <c r="C256" s="19"/>
      <c r="D256" s="19"/>
      <c r="E256" s="19"/>
      <c r="F256" s="19"/>
      <c r="G256" s="19"/>
      <c r="H256" s="19"/>
      <c r="I256" s="19"/>
      <c r="J256" s="19"/>
      <c r="K256" s="19"/>
      <c r="L256" s="19"/>
      <c r="M256" s="19"/>
      <c r="N256" s="19"/>
      <c r="O256" s="19"/>
      <c r="P256" s="19"/>
      <c r="Q256" s="19"/>
      <c r="R256" s="19"/>
      <c r="S256" s="19"/>
      <c r="T256" s="19"/>
      <c r="U256" s="19"/>
      <c r="V256" s="19"/>
      <c r="W256" s="19"/>
      <c r="X256" s="19"/>
      <c r="Y256" s="19"/>
      <c r="Z256" s="19"/>
    </row>
    <row r="257" ht="15.75" customHeight="1">
      <c r="A257" s="19"/>
      <c r="B257" s="19"/>
      <c r="C257" s="19"/>
      <c r="D257" s="19"/>
      <c r="E257" s="19"/>
      <c r="F257" s="19"/>
      <c r="G257" s="19"/>
      <c r="H257" s="19"/>
      <c r="I257" s="19"/>
      <c r="J257" s="19"/>
      <c r="K257" s="19"/>
      <c r="L257" s="19"/>
      <c r="M257" s="19"/>
      <c r="N257" s="19"/>
      <c r="O257" s="19"/>
      <c r="P257" s="19"/>
      <c r="Q257" s="19"/>
      <c r="R257" s="19"/>
      <c r="S257" s="19"/>
      <c r="T257" s="19"/>
      <c r="U257" s="19"/>
      <c r="V257" s="19"/>
      <c r="W257" s="19"/>
      <c r="X257" s="19"/>
      <c r="Y257" s="19"/>
      <c r="Z257" s="19"/>
    </row>
    <row r="258" ht="15.75" customHeight="1">
      <c r="A258" s="19"/>
      <c r="B258" s="19"/>
      <c r="C258" s="19"/>
      <c r="D258" s="19"/>
      <c r="E258" s="19"/>
      <c r="F258" s="19"/>
      <c r="G258" s="19"/>
      <c r="H258" s="19"/>
      <c r="I258" s="19"/>
      <c r="J258" s="19"/>
      <c r="K258" s="19"/>
      <c r="L258" s="19"/>
      <c r="M258" s="19"/>
      <c r="N258" s="19"/>
      <c r="O258" s="19"/>
      <c r="P258" s="19"/>
      <c r="Q258" s="19"/>
      <c r="R258" s="19"/>
      <c r="S258" s="19"/>
      <c r="T258" s="19"/>
      <c r="U258" s="19"/>
      <c r="V258" s="19"/>
      <c r="W258" s="19"/>
      <c r="X258" s="19"/>
      <c r="Y258" s="19"/>
      <c r="Z258" s="19"/>
    </row>
    <row r="259" ht="15.75" customHeight="1">
      <c r="A259" s="19"/>
      <c r="B259" s="19"/>
      <c r="C259" s="19"/>
      <c r="D259" s="19"/>
      <c r="E259" s="19"/>
      <c r="F259" s="19"/>
      <c r="G259" s="19"/>
      <c r="H259" s="19"/>
      <c r="I259" s="19"/>
      <c r="J259" s="19"/>
      <c r="K259" s="19"/>
      <c r="L259" s="19"/>
      <c r="M259" s="19"/>
      <c r="N259" s="19"/>
      <c r="O259" s="19"/>
      <c r="P259" s="19"/>
      <c r="Q259" s="19"/>
      <c r="R259" s="19"/>
      <c r="S259" s="19"/>
      <c r="T259" s="19"/>
      <c r="U259" s="19"/>
      <c r="V259" s="19"/>
      <c r="W259" s="19"/>
      <c r="X259" s="19"/>
      <c r="Y259" s="19"/>
      <c r="Z259" s="19"/>
    </row>
    <row r="260" ht="15.75" customHeight="1">
      <c r="A260" s="19"/>
      <c r="B260" s="19"/>
      <c r="C260" s="19"/>
      <c r="D260" s="19"/>
      <c r="E260" s="19"/>
      <c r="F260" s="19"/>
      <c r="G260" s="19"/>
      <c r="H260" s="19"/>
      <c r="I260" s="19"/>
      <c r="J260" s="19"/>
      <c r="K260" s="19"/>
      <c r="L260" s="19"/>
      <c r="M260" s="19"/>
      <c r="N260" s="19"/>
      <c r="O260" s="19"/>
      <c r="P260" s="19"/>
      <c r="Q260" s="19"/>
      <c r="R260" s="19"/>
      <c r="S260" s="19"/>
      <c r="T260" s="19"/>
      <c r="U260" s="19"/>
      <c r="V260" s="19"/>
      <c r="W260" s="19"/>
      <c r="X260" s="19"/>
      <c r="Y260" s="19"/>
      <c r="Z260" s="19"/>
    </row>
    <row r="261" ht="15.75" customHeight="1">
      <c r="A261" s="19"/>
      <c r="B261" s="19"/>
      <c r="C261" s="19"/>
      <c r="D261" s="19"/>
      <c r="E261" s="19"/>
      <c r="F261" s="19"/>
      <c r="G261" s="19"/>
      <c r="H261" s="19"/>
      <c r="I261" s="19"/>
      <c r="J261" s="19"/>
      <c r="K261" s="19"/>
      <c r="L261" s="19"/>
      <c r="M261" s="19"/>
      <c r="N261" s="19"/>
      <c r="O261" s="19"/>
      <c r="P261" s="19"/>
      <c r="Q261" s="19"/>
      <c r="R261" s="19"/>
      <c r="S261" s="19"/>
      <c r="T261" s="19"/>
      <c r="U261" s="19"/>
      <c r="V261" s="19"/>
      <c r="W261" s="19"/>
      <c r="X261" s="19"/>
      <c r="Y261" s="19"/>
      <c r="Z261" s="19"/>
    </row>
    <row r="262" ht="15.75" customHeight="1">
      <c r="A262" s="19"/>
      <c r="B262" s="19"/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19"/>
      <c r="P262" s="19"/>
      <c r="Q262" s="19"/>
      <c r="R262" s="19"/>
      <c r="S262" s="19"/>
      <c r="T262" s="19"/>
      <c r="U262" s="19"/>
      <c r="V262" s="19"/>
      <c r="W262" s="19"/>
      <c r="X262" s="19"/>
      <c r="Y262" s="19"/>
      <c r="Z262" s="19"/>
    </row>
    <row r="263" ht="15.75" customHeight="1">
      <c r="A263" s="19"/>
      <c r="B263" s="19"/>
      <c r="C263" s="19"/>
      <c r="D263" s="19"/>
      <c r="E263" s="19"/>
      <c r="F263" s="19"/>
      <c r="G263" s="19"/>
      <c r="H263" s="19"/>
      <c r="I263" s="19"/>
      <c r="J263" s="19"/>
      <c r="K263" s="19"/>
      <c r="L263" s="19"/>
      <c r="M263" s="19"/>
      <c r="N263" s="19"/>
      <c r="O263" s="19"/>
      <c r="P263" s="19"/>
      <c r="Q263" s="19"/>
      <c r="R263" s="19"/>
      <c r="S263" s="19"/>
      <c r="T263" s="19"/>
      <c r="U263" s="19"/>
      <c r="V263" s="19"/>
      <c r="W263" s="19"/>
      <c r="X263" s="19"/>
      <c r="Y263" s="19"/>
      <c r="Z263" s="19"/>
    </row>
    <row r="264" ht="15.75" customHeight="1">
      <c r="A264" s="19"/>
      <c r="B264" s="19"/>
      <c r="C264" s="19"/>
      <c r="D264" s="19"/>
      <c r="E264" s="19"/>
      <c r="F264" s="19"/>
      <c r="G264" s="19"/>
      <c r="H264" s="19"/>
      <c r="I264" s="19"/>
      <c r="J264" s="19"/>
      <c r="K264" s="19"/>
      <c r="L264" s="19"/>
      <c r="M264" s="19"/>
      <c r="N264" s="19"/>
      <c r="O264" s="19"/>
      <c r="P264" s="19"/>
      <c r="Q264" s="19"/>
      <c r="R264" s="19"/>
      <c r="S264" s="19"/>
      <c r="T264" s="19"/>
      <c r="U264" s="19"/>
      <c r="V264" s="19"/>
      <c r="W264" s="19"/>
      <c r="X264" s="19"/>
      <c r="Y264" s="19"/>
      <c r="Z264" s="19"/>
    </row>
    <row r="265" ht="15.75" customHeight="1">
      <c r="A265" s="19"/>
      <c r="B265" s="19"/>
      <c r="C265" s="19"/>
      <c r="D265" s="19"/>
      <c r="E265" s="19"/>
      <c r="F265" s="19"/>
      <c r="G265" s="19"/>
      <c r="H265" s="19"/>
      <c r="I265" s="19"/>
      <c r="J265" s="19"/>
      <c r="K265" s="19"/>
      <c r="L265" s="19"/>
      <c r="M265" s="19"/>
      <c r="N265" s="19"/>
      <c r="O265" s="19"/>
      <c r="P265" s="19"/>
      <c r="Q265" s="19"/>
      <c r="R265" s="19"/>
      <c r="S265" s="19"/>
      <c r="T265" s="19"/>
      <c r="U265" s="19"/>
      <c r="V265" s="19"/>
      <c r="W265" s="19"/>
      <c r="X265" s="19"/>
      <c r="Y265" s="19"/>
      <c r="Z265" s="19"/>
    </row>
    <row r="266" ht="15.75" customHeight="1">
      <c r="A266" s="19"/>
      <c r="B266" s="19"/>
      <c r="C266" s="19"/>
      <c r="D266" s="19"/>
      <c r="E266" s="19"/>
      <c r="F266" s="19"/>
      <c r="G266" s="19"/>
      <c r="H266" s="19"/>
      <c r="I266" s="19"/>
      <c r="J266" s="19"/>
      <c r="K266" s="19"/>
      <c r="L266" s="19"/>
      <c r="M266" s="19"/>
      <c r="N266" s="19"/>
      <c r="O266" s="19"/>
      <c r="P266" s="19"/>
      <c r="Q266" s="19"/>
      <c r="R266" s="19"/>
      <c r="S266" s="19"/>
      <c r="T266" s="19"/>
      <c r="U266" s="19"/>
      <c r="V266" s="19"/>
      <c r="W266" s="19"/>
      <c r="X266" s="19"/>
      <c r="Y266" s="19"/>
      <c r="Z266" s="19"/>
    </row>
    <row r="267" ht="15.75" customHeight="1">
      <c r="A267" s="19"/>
      <c r="B267" s="19"/>
      <c r="C267" s="19"/>
      <c r="D267" s="19"/>
      <c r="E267" s="19"/>
      <c r="F267" s="19"/>
      <c r="G267" s="19"/>
      <c r="H267" s="19"/>
      <c r="I267" s="19"/>
      <c r="J267" s="19"/>
      <c r="K267" s="19"/>
      <c r="L267" s="19"/>
      <c r="M267" s="19"/>
      <c r="N267" s="19"/>
      <c r="O267" s="19"/>
      <c r="P267" s="19"/>
      <c r="Q267" s="19"/>
      <c r="R267" s="19"/>
      <c r="S267" s="19"/>
      <c r="T267" s="19"/>
      <c r="U267" s="19"/>
      <c r="V267" s="19"/>
      <c r="W267" s="19"/>
      <c r="X267" s="19"/>
      <c r="Y267" s="19"/>
      <c r="Z267" s="19"/>
    </row>
    <row r="268" ht="15.75" customHeight="1">
      <c r="A268" s="19"/>
      <c r="B268" s="19"/>
      <c r="C268" s="19"/>
      <c r="D268" s="19"/>
      <c r="E268" s="19"/>
      <c r="F268" s="19"/>
      <c r="G268" s="19"/>
      <c r="H268" s="19"/>
      <c r="I268" s="19"/>
      <c r="J268" s="19"/>
      <c r="K268" s="19"/>
      <c r="L268" s="19"/>
      <c r="M268" s="19"/>
      <c r="N268" s="19"/>
      <c r="O268" s="19"/>
      <c r="P268" s="19"/>
      <c r="Q268" s="19"/>
      <c r="R268" s="19"/>
      <c r="S268" s="19"/>
      <c r="T268" s="19"/>
      <c r="U268" s="19"/>
      <c r="V268" s="19"/>
      <c r="W268" s="19"/>
      <c r="X268" s="19"/>
      <c r="Y268" s="19"/>
      <c r="Z268" s="19"/>
    </row>
    <row r="269" ht="15.75" customHeight="1">
      <c r="A269" s="19"/>
      <c r="B269" s="19"/>
      <c r="C269" s="19"/>
      <c r="D269" s="19"/>
      <c r="E269" s="19"/>
      <c r="F269" s="19"/>
      <c r="G269" s="19"/>
      <c r="H269" s="19"/>
      <c r="I269" s="19"/>
      <c r="J269" s="19"/>
      <c r="K269" s="19"/>
      <c r="L269" s="19"/>
      <c r="M269" s="19"/>
      <c r="N269" s="19"/>
      <c r="O269" s="19"/>
      <c r="P269" s="19"/>
      <c r="Q269" s="19"/>
      <c r="R269" s="19"/>
      <c r="S269" s="19"/>
      <c r="T269" s="19"/>
      <c r="U269" s="19"/>
      <c r="V269" s="19"/>
      <c r="W269" s="19"/>
      <c r="X269" s="19"/>
      <c r="Y269" s="19"/>
      <c r="Z269" s="19"/>
    </row>
    <row r="270" ht="15.75" customHeight="1">
      <c r="A270" s="19"/>
      <c r="B270" s="19"/>
      <c r="C270" s="19"/>
      <c r="D270" s="19"/>
      <c r="E270" s="19"/>
      <c r="F270" s="19"/>
      <c r="G270" s="19"/>
      <c r="H270" s="19"/>
      <c r="I270" s="19"/>
      <c r="J270" s="19"/>
      <c r="K270" s="19"/>
      <c r="L270" s="19"/>
      <c r="M270" s="19"/>
      <c r="N270" s="19"/>
      <c r="O270" s="19"/>
      <c r="P270" s="19"/>
      <c r="Q270" s="19"/>
      <c r="R270" s="19"/>
      <c r="S270" s="19"/>
      <c r="T270" s="19"/>
      <c r="U270" s="19"/>
      <c r="V270" s="19"/>
      <c r="W270" s="19"/>
      <c r="X270" s="19"/>
      <c r="Y270" s="19"/>
      <c r="Z270" s="19"/>
    </row>
    <row r="271" ht="15.75" customHeight="1">
      <c r="A271" s="19"/>
      <c r="B271" s="19"/>
      <c r="C271" s="19"/>
      <c r="D271" s="19"/>
      <c r="E271" s="19"/>
      <c r="F271" s="19"/>
      <c r="G271" s="19"/>
      <c r="H271" s="19"/>
      <c r="I271" s="19"/>
      <c r="J271" s="19"/>
      <c r="K271" s="19"/>
      <c r="L271" s="19"/>
      <c r="M271" s="19"/>
      <c r="N271" s="19"/>
      <c r="O271" s="19"/>
      <c r="P271" s="19"/>
      <c r="Q271" s="19"/>
      <c r="R271" s="19"/>
      <c r="S271" s="19"/>
      <c r="T271" s="19"/>
      <c r="U271" s="19"/>
      <c r="V271" s="19"/>
      <c r="W271" s="19"/>
      <c r="X271" s="19"/>
      <c r="Y271" s="19"/>
      <c r="Z271" s="19"/>
    </row>
    <row r="272" ht="15.75" customHeight="1">
      <c r="A272" s="19"/>
      <c r="B272" s="19"/>
      <c r="C272" s="19"/>
      <c r="D272" s="19"/>
      <c r="E272" s="19"/>
      <c r="F272" s="19"/>
      <c r="G272" s="19"/>
      <c r="H272" s="19"/>
      <c r="I272" s="19"/>
      <c r="J272" s="19"/>
      <c r="K272" s="19"/>
      <c r="L272" s="19"/>
      <c r="M272" s="19"/>
      <c r="N272" s="19"/>
      <c r="O272" s="19"/>
      <c r="P272" s="19"/>
      <c r="Q272" s="19"/>
      <c r="R272" s="19"/>
      <c r="S272" s="19"/>
      <c r="T272" s="19"/>
      <c r="U272" s="19"/>
      <c r="V272" s="19"/>
      <c r="W272" s="19"/>
      <c r="X272" s="19"/>
      <c r="Y272" s="19"/>
      <c r="Z272" s="19"/>
    </row>
    <row r="273" ht="15.75" customHeight="1">
      <c r="A273" s="19"/>
      <c r="B273" s="19"/>
      <c r="C273" s="19"/>
      <c r="D273" s="19"/>
      <c r="E273" s="19"/>
      <c r="F273" s="19"/>
      <c r="G273" s="19"/>
      <c r="H273" s="19"/>
      <c r="I273" s="19"/>
      <c r="J273" s="19"/>
      <c r="K273" s="19"/>
      <c r="L273" s="19"/>
      <c r="M273" s="19"/>
      <c r="N273" s="19"/>
      <c r="O273" s="19"/>
      <c r="P273" s="19"/>
      <c r="Q273" s="19"/>
      <c r="R273" s="19"/>
      <c r="S273" s="19"/>
      <c r="T273" s="19"/>
      <c r="U273" s="19"/>
      <c r="V273" s="19"/>
      <c r="W273" s="19"/>
      <c r="X273" s="19"/>
      <c r="Y273" s="19"/>
      <c r="Z273" s="19"/>
    </row>
    <row r="274" ht="15.75" customHeight="1">
      <c r="A274" s="19"/>
      <c r="B274" s="19"/>
      <c r="C274" s="19"/>
      <c r="D274" s="19"/>
      <c r="E274" s="19"/>
      <c r="F274" s="19"/>
      <c r="G274" s="19"/>
      <c r="H274" s="19"/>
      <c r="I274" s="19"/>
      <c r="J274" s="19"/>
      <c r="K274" s="19"/>
      <c r="L274" s="19"/>
      <c r="M274" s="19"/>
      <c r="N274" s="19"/>
      <c r="O274" s="19"/>
      <c r="P274" s="19"/>
      <c r="Q274" s="19"/>
      <c r="R274" s="19"/>
      <c r="S274" s="19"/>
      <c r="T274" s="19"/>
      <c r="U274" s="19"/>
      <c r="V274" s="19"/>
      <c r="W274" s="19"/>
      <c r="X274" s="19"/>
      <c r="Y274" s="19"/>
      <c r="Z274" s="19"/>
    </row>
    <row r="275" ht="15.75" customHeight="1">
      <c r="A275" s="19"/>
      <c r="B275" s="19"/>
      <c r="C275" s="19"/>
      <c r="D275" s="19"/>
      <c r="E275" s="19"/>
      <c r="F275" s="19"/>
      <c r="G275" s="19"/>
      <c r="H275" s="19"/>
      <c r="I275" s="19"/>
      <c r="J275" s="19"/>
      <c r="K275" s="19"/>
      <c r="L275" s="19"/>
      <c r="M275" s="19"/>
      <c r="N275" s="19"/>
      <c r="O275" s="19"/>
      <c r="P275" s="19"/>
      <c r="Q275" s="19"/>
      <c r="R275" s="19"/>
      <c r="S275" s="19"/>
      <c r="T275" s="19"/>
      <c r="U275" s="19"/>
      <c r="V275" s="19"/>
      <c r="W275" s="19"/>
      <c r="X275" s="19"/>
      <c r="Y275" s="19"/>
      <c r="Z275" s="19"/>
    </row>
    <row r="276" ht="15.75" customHeight="1">
      <c r="A276" s="19"/>
      <c r="B276" s="19"/>
      <c r="C276" s="19"/>
      <c r="D276" s="19"/>
      <c r="E276" s="19"/>
      <c r="F276" s="19"/>
      <c r="G276" s="19"/>
      <c r="H276" s="19"/>
      <c r="I276" s="19"/>
      <c r="J276" s="19"/>
      <c r="K276" s="19"/>
      <c r="L276" s="19"/>
      <c r="M276" s="19"/>
      <c r="N276" s="19"/>
      <c r="O276" s="19"/>
      <c r="P276" s="19"/>
      <c r="Q276" s="19"/>
      <c r="R276" s="19"/>
      <c r="S276" s="19"/>
      <c r="T276" s="19"/>
      <c r="U276" s="19"/>
      <c r="V276" s="19"/>
      <c r="W276" s="19"/>
      <c r="X276" s="19"/>
      <c r="Y276" s="19"/>
      <c r="Z276" s="19"/>
    </row>
    <row r="277" ht="15.75" customHeight="1">
      <c r="A277" s="19"/>
      <c r="B277" s="19"/>
      <c r="C277" s="19"/>
      <c r="D277" s="19"/>
      <c r="E277" s="19"/>
      <c r="F277" s="19"/>
      <c r="G277" s="19"/>
      <c r="H277" s="19"/>
      <c r="I277" s="19"/>
      <c r="J277" s="19"/>
      <c r="K277" s="19"/>
      <c r="L277" s="19"/>
      <c r="M277" s="19"/>
      <c r="N277" s="19"/>
      <c r="O277" s="19"/>
      <c r="P277" s="19"/>
      <c r="Q277" s="19"/>
      <c r="R277" s="19"/>
      <c r="S277" s="19"/>
      <c r="T277" s="19"/>
      <c r="U277" s="19"/>
      <c r="V277" s="19"/>
      <c r="W277" s="19"/>
      <c r="X277" s="19"/>
      <c r="Y277" s="19"/>
      <c r="Z277" s="19"/>
    </row>
    <row r="278" ht="15.75" customHeight="1">
      <c r="A278" s="19"/>
      <c r="B278" s="19"/>
      <c r="C278" s="19"/>
      <c r="D278" s="19"/>
      <c r="E278" s="19"/>
      <c r="F278" s="19"/>
      <c r="G278" s="19"/>
      <c r="H278" s="19"/>
      <c r="I278" s="19"/>
      <c r="J278" s="19"/>
      <c r="K278" s="19"/>
      <c r="L278" s="19"/>
      <c r="M278" s="19"/>
      <c r="N278" s="19"/>
      <c r="O278" s="19"/>
      <c r="P278" s="19"/>
      <c r="Q278" s="19"/>
      <c r="R278" s="19"/>
      <c r="S278" s="19"/>
      <c r="T278" s="19"/>
      <c r="U278" s="19"/>
      <c r="V278" s="19"/>
      <c r="W278" s="19"/>
      <c r="X278" s="19"/>
      <c r="Y278" s="19"/>
      <c r="Z278" s="19"/>
    </row>
    <row r="279" ht="15.75" customHeight="1">
      <c r="A279" s="19"/>
      <c r="B279" s="19"/>
      <c r="C279" s="19"/>
      <c r="D279" s="19"/>
      <c r="E279" s="19"/>
      <c r="F279" s="19"/>
      <c r="G279" s="19"/>
      <c r="H279" s="19"/>
      <c r="I279" s="19"/>
      <c r="J279" s="19"/>
      <c r="K279" s="19"/>
      <c r="L279" s="19"/>
      <c r="M279" s="19"/>
      <c r="N279" s="19"/>
      <c r="O279" s="19"/>
      <c r="P279" s="19"/>
      <c r="Q279" s="19"/>
      <c r="R279" s="19"/>
      <c r="S279" s="19"/>
      <c r="T279" s="19"/>
      <c r="U279" s="19"/>
      <c r="V279" s="19"/>
      <c r="W279" s="19"/>
      <c r="X279" s="19"/>
      <c r="Y279" s="19"/>
      <c r="Z279" s="19"/>
    </row>
    <row r="280" ht="15.75" customHeight="1">
      <c r="A280" s="19"/>
      <c r="B280" s="19"/>
      <c r="C280" s="19"/>
      <c r="D280" s="19"/>
      <c r="E280" s="19"/>
      <c r="F280" s="19"/>
      <c r="G280" s="19"/>
      <c r="H280" s="19"/>
      <c r="I280" s="19"/>
      <c r="J280" s="19"/>
      <c r="K280" s="19"/>
      <c r="L280" s="19"/>
      <c r="M280" s="19"/>
      <c r="N280" s="19"/>
      <c r="O280" s="19"/>
      <c r="P280" s="19"/>
      <c r="Q280" s="19"/>
      <c r="R280" s="19"/>
      <c r="S280" s="19"/>
      <c r="T280" s="19"/>
      <c r="U280" s="19"/>
      <c r="V280" s="19"/>
      <c r="W280" s="19"/>
      <c r="X280" s="19"/>
      <c r="Y280" s="19"/>
      <c r="Z280" s="19"/>
    </row>
    <row r="281" ht="15.75" customHeight="1">
      <c r="A281" s="19"/>
      <c r="B281" s="19"/>
      <c r="C281" s="19"/>
      <c r="D281" s="19"/>
      <c r="E281" s="19"/>
      <c r="F281" s="19"/>
      <c r="G281" s="19"/>
      <c r="H281" s="19"/>
      <c r="I281" s="19"/>
      <c r="J281" s="19"/>
      <c r="K281" s="19"/>
      <c r="L281" s="19"/>
      <c r="M281" s="19"/>
      <c r="N281" s="19"/>
      <c r="O281" s="19"/>
      <c r="P281" s="19"/>
      <c r="Q281" s="19"/>
      <c r="R281" s="19"/>
      <c r="S281" s="19"/>
      <c r="T281" s="19"/>
      <c r="U281" s="19"/>
      <c r="V281" s="19"/>
      <c r="W281" s="19"/>
      <c r="X281" s="19"/>
      <c r="Y281" s="19"/>
      <c r="Z281" s="19"/>
    </row>
    <row r="282" ht="15.75" customHeight="1">
      <c r="A282" s="19"/>
      <c r="B282" s="19"/>
      <c r="C282" s="19"/>
      <c r="D282" s="19"/>
      <c r="E282" s="19"/>
      <c r="F282" s="19"/>
      <c r="G282" s="19"/>
      <c r="H282" s="19"/>
      <c r="I282" s="19"/>
      <c r="J282" s="19"/>
      <c r="K282" s="19"/>
      <c r="L282" s="19"/>
      <c r="M282" s="19"/>
      <c r="N282" s="19"/>
      <c r="O282" s="19"/>
      <c r="P282" s="19"/>
      <c r="Q282" s="19"/>
      <c r="R282" s="19"/>
      <c r="S282" s="19"/>
      <c r="T282" s="19"/>
      <c r="U282" s="19"/>
      <c r="V282" s="19"/>
      <c r="W282" s="19"/>
      <c r="X282" s="19"/>
      <c r="Y282" s="19"/>
      <c r="Z282" s="19"/>
    </row>
    <row r="283" ht="15.75" customHeight="1">
      <c r="A283" s="19"/>
      <c r="B283" s="19"/>
      <c r="C283" s="19"/>
      <c r="D283" s="19"/>
      <c r="E283" s="19"/>
      <c r="F283" s="19"/>
      <c r="G283" s="19"/>
      <c r="H283" s="19"/>
      <c r="I283" s="19"/>
      <c r="J283" s="19"/>
      <c r="K283" s="19"/>
      <c r="L283" s="19"/>
      <c r="M283" s="19"/>
      <c r="N283" s="19"/>
      <c r="O283" s="19"/>
      <c r="P283" s="19"/>
      <c r="Q283" s="19"/>
      <c r="R283" s="19"/>
      <c r="S283" s="19"/>
      <c r="T283" s="19"/>
      <c r="U283" s="19"/>
      <c r="V283" s="19"/>
      <c r="W283" s="19"/>
      <c r="X283" s="19"/>
      <c r="Y283" s="19"/>
      <c r="Z283" s="19"/>
    </row>
    <row r="284" ht="15.75" customHeight="1">
      <c r="A284" s="19"/>
      <c r="B284" s="19"/>
      <c r="C284" s="19"/>
      <c r="D284" s="19"/>
      <c r="E284" s="19"/>
      <c r="F284" s="19"/>
      <c r="G284" s="19"/>
      <c r="H284" s="19"/>
      <c r="I284" s="19"/>
      <c r="J284" s="19"/>
      <c r="K284" s="19"/>
      <c r="L284" s="19"/>
      <c r="M284" s="19"/>
      <c r="N284" s="19"/>
      <c r="O284" s="19"/>
      <c r="P284" s="19"/>
      <c r="Q284" s="19"/>
      <c r="R284" s="19"/>
      <c r="S284" s="19"/>
      <c r="T284" s="19"/>
      <c r="U284" s="19"/>
      <c r="V284" s="19"/>
      <c r="W284" s="19"/>
      <c r="X284" s="19"/>
      <c r="Y284" s="19"/>
      <c r="Z284" s="19"/>
    </row>
    <row r="285" ht="15.75" customHeight="1">
      <c r="A285" s="19"/>
      <c r="B285" s="19"/>
      <c r="C285" s="19"/>
      <c r="D285" s="19"/>
      <c r="E285" s="19"/>
      <c r="F285" s="19"/>
      <c r="G285" s="19"/>
      <c r="H285" s="19"/>
      <c r="I285" s="19"/>
      <c r="J285" s="19"/>
      <c r="K285" s="19"/>
      <c r="L285" s="19"/>
      <c r="M285" s="19"/>
      <c r="N285" s="19"/>
      <c r="O285" s="19"/>
      <c r="P285" s="19"/>
      <c r="Q285" s="19"/>
      <c r="R285" s="19"/>
      <c r="S285" s="19"/>
      <c r="T285" s="19"/>
      <c r="U285" s="19"/>
      <c r="V285" s="19"/>
      <c r="W285" s="19"/>
      <c r="X285" s="19"/>
      <c r="Y285" s="19"/>
      <c r="Z285" s="19"/>
    </row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18 B27 B32 B41 B46 B55 B60 B69 B74 B83">
      <formula1>Lists!$D$3:$D$6</formula1>
    </dataValidation>
    <dataValidation type="list" allowBlank="1" showErrorMessage="1" sqref="B13">
      <formula1>Lists!$J$2:$J$20</formula1>
    </dataValidation>
    <dataValidation type="list" allowBlank="1" showErrorMessage="1" sqref="B16 B30 B44 B58 B72">
      <formula1>Lists!$G$2:$G$9</formula1>
    </dataValidation>
    <dataValidation type="list" allowBlank="1" showErrorMessage="1" sqref="B17 B31 B45 B59 B73">
      <formula1>Lists!$B$2:$B$19</formula1>
    </dataValidation>
    <dataValidation type="list" allowBlank="1" showErrorMessage="1" sqref="B21 B26 B35 B40 B49 B54 B63 B68 B77 B82">
      <formula1>Lists!$E$2:$E$10</formula1>
    </dataValidation>
    <dataValidation type="list" allowBlank="1" showErrorMessage="1" sqref="B5">
      <formula1>Lists!$A$2:$A$5</formula1>
    </dataValidation>
    <dataValidation type="list" allowBlank="1" showErrorMessage="1" sqref="B7">
      <formula1>Lists!$K$2:$K$3</formula1>
    </dataValidation>
    <dataValidation type="list" allowBlank="1" showErrorMessage="1" sqref="B10">
      <formula1>Lists!$H$2:$H$7</formula1>
    </dataValidation>
    <dataValidation type="list" allowBlank="1" showErrorMessage="1" sqref="B20 B25 B34 B39 B48 B53 B62 B67 B76 B81">
      <formula1>Lists!$F$2:$F$4</formula1>
    </dataValidation>
    <dataValidation type="list" allowBlank="1" showErrorMessage="1" sqref="B12">
      <formula1>Lists!$I$2:$I$5</formula1>
    </dataValidation>
    <dataValidation type="list" allowBlank="1" showErrorMessage="1" sqref="B22 B36 B50 B64 B78">
      <formula1>Lists!$D$2:$D$6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0.6"/>
  </cols>
  <sheetData>
    <row r="1" ht="60.75" customHeight="1">
      <c r="A1" s="30"/>
      <c r="B1" s="30">
        <v>1.0</v>
      </c>
      <c r="C1" s="30">
        <v>2.0</v>
      </c>
      <c r="D1" s="30">
        <v>3.0</v>
      </c>
      <c r="E1" s="30">
        <v>4.0</v>
      </c>
      <c r="F1" s="30">
        <v>5.0</v>
      </c>
      <c r="G1" s="30">
        <v>6.0</v>
      </c>
      <c r="H1" s="30">
        <v>7.0</v>
      </c>
      <c r="I1" s="30">
        <v>8.0</v>
      </c>
      <c r="J1" s="30">
        <v>9.0</v>
      </c>
      <c r="K1" s="30">
        <v>10.0</v>
      </c>
      <c r="L1" s="30">
        <v>11.0</v>
      </c>
      <c r="M1" s="30">
        <v>12.0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99.75" customHeight="1">
      <c r="A2" s="30" t="s">
        <v>55</v>
      </c>
      <c r="B2" s="32" t="s">
        <v>56</v>
      </c>
      <c r="C2" s="32" t="s">
        <v>57</v>
      </c>
      <c r="D2" s="32" t="s">
        <v>58</v>
      </c>
      <c r="E2" s="32" t="s">
        <v>59</v>
      </c>
      <c r="F2" s="32" t="s">
        <v>60</v>
      </c>
      <c r="G2" s="33"/>
      <c r="H2" s="32"/>
      <c r="I2" s="33"/>
      <c r="J2" s="32"/>
      <c r="K2" s="33"/>
      <c r="L2" s="32"/>
      <c r="M2" s="33"/>
    </row>
    <row r="3" ht="99.75" customHeight="1">
      <c r="A3" s="30" t="s">
        <v>61</v>
      </c>
      <c r="B3" s="33" t="s">
        <v>62</v>
      </c>
      <c r="C3" s="33" t="s">
        <v>63</v>
      </c>
      <c r="D3" s="33" t="s">
        <v>64</v>
      </c>
      <c r="E3" s="33" t="s">
        <v>65</v>
      </c>
      <c r="F3" s="33"/>
      <c r="G3" s="32"/>
      <c r="H3" s="33"/>
      <c r="I3" s="32"/>
      <c r="J3" s="33"/>
      <c r="K3" s="32"/>
      <c r="L3" s="33"/>
      <c r="M3" s="32"/>
    </row>
    <row r="4" ht="99.75" customHeight="1">
      <c r="A4" s="30" t="s">
        <v>66</v>
      </c>
      <c r="B4" s="32" t="s">
        <v>67</v>
      </c>
      <c r="C4" s="32" t="s">
        <v>68</v>
      </c>
      <c r="D4" s="32" t="s">
        <v>69</v>
      </c>
      <c r="E4" s="32" t="s">
        <v>70</v>
      </c>
      <c r="F4" s="32"/>
      <c r="G4" s="33"/>
      <c r="H4" s="32"/>
      <c r="I4" s="33"/>
      <c r="J4" s="32"/>
      <c r="K4" s="33"/>
      <c r="L4" s="32"/>
      <c r="M4" s="33"/>
    </row>
    <row r="5" ht="99.75" customHeight="1">
      <c r="A5" s="30" t="s">
        <v>71</v>
      </c>
      <c r="B5" s="33" t="s">
        <v>72</v>
      </c>
      <c r="C5" s="33" t="s">
        <v>73</v>
      </c>
      <c r="D5" s="33" t="s">
        <v>74</v>
      </c>
      <c r="E5" s="33" t="s">
        <v>75</v>
      </c>
      <c r="F5" s="33"/>
      <c r="G5" s="32"/>
      <c r="H5" s="33"/>
      <c r="I5" s="32"/>
      <c r="J5" s="33"/>
      <c r="K5" s="32"/>
      <c r="L5" s="33"/>
      <c r="M5" s="32"/>
    </row>
    <row r="6" ht="99.75" customHeight="1">
      <c r="A6" s="30" t="s">
        <v>76</v>
      </c>
      <c r="B6" s="33" t="s">
        <v>77</v>
      </c>
      <c r="C6" s="33" t="s">
        <v>78</v>
      </c>
      <c r="D6" s="33" t="s">
        <v>79</v>
      </c>
      <c r="E6" s="33" t="s">
        <v>80</v>
      </c>
      <c r="F6" s="32"/>
      <c r="G6" s="33"/>
      <c r="H6" s="32"/>
      <c r="I6" s="33"/>
      <c r="J6" s="32"/>
      <c r="K6" s="33"/>
      <c r="L6" s="32"/>
      <c r="M6" s="33"/>
    </row>
    <row r="7" ht="99.75" customHeight="1">
      <c r="A7" s="30" t="s">
        <v>81</v>
      </c>
      <c r="B7" s="32" t="s">
        <v>82</v>
      </c>
      <c r="C7" s="32" t="s">
        <v>83</v>
      </c>
      <c r="D7" s="32" t="s">
        <v>84</v>
      </c>
      <c r="E7" s="32" t="s">
        <v>85</v>
      </c>
      <c r="F7" s="33"/>
      <c r="G7" s="32"/>
      <c r="H7" s="33"/>
      <c r="I7" s="32"/>
      <c r="J7" s="33"/>
      <c r="K7" s="32"/>
      <c r="L7" s="33"/>
      <c r="M7" s="32"/>
    </row>
    <row r="8" ht="99.75" customHeight="1">
      <c r="A8" s="30" t="s">
        <v>86</v>
      </c>
      <c r="B8" s="33" t="s">
        <v>87</v>
      </c>
      <c r="C8" s="33" t="s">
        <v>88</v>
      </c>
      <c r="D8" s="33" t="s">
        <v>89</v>
      </c>
      <c r="E8" s="33" t="s">
        <v>90</v>
      </c>
      <c r="F8" s="32"/>
      <c r="G8" s="33"/>
      <c r="H8" s="32"/>
      <c r="I8" s="33"/>
      <c r="J8" s="32"/>
      <c r="K8" s="33"/>
      <c r="L8" s="32"/>
      <c r="M8" s="33"/>
    </row>
    <row r="9" ht="99.75" customHeight="1">
      <c r="A9" s="30" t="s">
        <v>91</v>
      </c>
      <c r="B9" s="32" t="s">
        <v>92</v>
      </c>
      <c r="C9" s="32" t="s">
        <v>93</v>
      </c>
      <c r="D9" s="32" t="s">
        <v>94</v>
      </c>
      <c r="E9" s="32" t="s">
        <v>95</v>
      </c>
      <c r="F9" s="33"/>
      <c r="G9" s="32"/>
      <c r="H9" s="33"/>
      <c r="I9" s="32"/>
      <c r="J9" s="33"/>
      <c r="K9" s="32"/>
      <c r="L9" s="33"/>
      <c r="M9" s="32"/>
    </row>
    <row r="10">
      <c r="A10" s="31"/>
    </row>
    <row r="11">
      <c r="A11" s="31"/>
    </row>
    <row r="12">
      <c r="A12" s="31"/>
    </row>
    <row r="13">
      <c r="A13" s="31"/>
    </row>
    <row r="14" ht="15.75" customHeight="1">
      <c r="A14" s="31"/>
    </row>
    <row r="15" ht="15.75" customHeight="1">
      <c r="A15" s="31"/>
    </row>
    <row r="16" ht="15.75" customHeight="1">
      <c r="A16" s="31"/>
    </row>
    <row r="17" ht="15.75" customHeight="1">
      <c r="A17" s="31"/>
    </row>
    <row r="18" ht="15.75" customHeight="1">
      <c r="A18" s="31"/>
    </row>
    <row r="19" ht="15.75" customHeight="1">
      <c r="A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>
      <c r="A27" s="31"/>
    </row>
    <row r="28" ht="15.75" customHeight="1">
      <c r="A28" s="31"/>
    </row>
    <row r="29" ht="15.75" customHeight="1">
      <c r="A29" s="31"/>
    </row>
    <row r="30" ht="15.75" customHeight="1">
      <c r="A30" s="31"/>
    </row>
    <row r="31" ht="15.75" customHeight="1">
      <c r="A31" s="31"/>
    </row>
    <row r="32" ht="15.75" customHeight="1">
      <c r="A32" s="31"/>
    </row>
    <row r="33" ht="15.75" customHeight="1">
      <c r="A33" s="31"/>
    </row>
    <row r="34" ht="15.75" customHeight="1">
      <c r="A34" s="31"/>
    </row>
    <row r="35" ht="15.75" customHeight="1">
      <c r="A35" s="31"/>
    </row>
    <row r="36" ht="15.75" customHeight="1">
      <c r="A36" s="31"/>
    </row>
    <row r="37" ht="15.75" customHeight="1">
      <c r="A37" s="31"/>
    </row>
    <row r="38" ht="15.75" customHeight="1">
      <c r="A38" s="31"/>
    </row>
    <row r="39" ht="15.75" customHeight="1">
      <c r="A39" s="31"/>
    </row>
    <row r="40" ht="15.75" customHeight="1">
      <c r="A40" s="31"/>
    </row>
    <row r="41" ht="15.75" customHeight="1">
      <c r="A41" s="31"/>
    </row>
    <row r="42" ht="15.75" customHeight="1">
      <c r="A42" s="31"/>
    </row>
    <row r="43" ht="15.75" customHeight="1">
      <c r="A43" s="31"/>
    </row>
    <row r="44" ht="15.75" customHeight="1">
      <c r="A44" s="31"/>
    </row>
    <row r="45" ht="15.75" customHeight="1">
      <c r="A45" s="31"/>
    </row>
    <row r="46" ht="15.75" customHeight="1">
      <c r="A46" s="31"/>
    </row>
    <row r="47" ht="15.75" customHeight="1">
      <c r="A47" s="31"/>
    </row>
    <row r="48" ht="15.75" customHeight="1">
      <c r="A48" s="31"/>
    </row>
    <row r="49" ht="15.75" customHeight="1">
      <c r="A49" s="31"/>
    </row>
    <row r="50" ht="15.75" customHeight="1">
      <c r="A50" s="31"/>
    </row>
    <row r="51" ht="15.75" customHeight="1">
      <c r="A51" s="31"/>
    </row>
    <row r="52" ht="15.75" customHeight="1">
      <c r="A52" s="31"/>
    </row>
    <row r="53" ht="15.75" customHeight="1">
      <c r="A53" s="31"/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31"/>
      <c r="B1" s="31">
        <v>1.0</v>
      </c>
      <c r="C1" s="31">
        <v>2.0</v>
      </c>
      <c r="D1" s="31">
        <v>3.0</v>
      </c>
      <c r="E1" s="31">
        <v>4.0</v>
      </c>
      <c r="F1" s="31">
        <v>5.0</v>
      </c>
      <c r="G1" s="31">
        <v>6.0</v>
      </c>
      <c r="H1" s="31">
        <v>7.0</v>
      </c>
      <c r="I1" s="31">
        <v>8.0</v>
      </c>
      <c r="J1" s="31">
        <v>9.0</v>
      </c>
      <c r="K1" s="31">
        <v>10.0</v>
      </c>
      <c r="L1" s="31">
        <v>11.0</v>
      </c>
      <c r="M1" s="31">
        <v>12.0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99.75" customHeight="1">
      <c r="A2" s="31" t="s">
        <v>55</v>
      </c>
      <c r="B2" s="32"/>
      <c r="C2" s="33"/>
      <c r="D2" s="32"/>
      <c r="E2" s="33"/>
      <c r="F2" s="32"/>
      <c r="G2" s="33"/>
      <c r="H2" s="32"/>
      <c r="I2" s="33"/>
      <c r="J2" s="32"/>
      <c r="K2" s="33"/>
      <c r="L2" s="32"/>
      <c r="M2" s="33"/>
    </row>
    <row r="3" ht="99.75" customHeight="1">
      <c r="A3" s="31" t="s">
        <v>61</v>
      </c>
      <c r="B3" s="33"/>
      <c r="C3" s="32"/>
      <c r="D3" s="33"/>
      <c r="E3" s="32"/>
      <c r="F3" s="33"/>
      <c r="G3" s="32"/>
      <c r="H3" s="33"/>
      <c r="I3" s="32"/>
      <c r="J3" s="33"/>
      <c r="K3" s="32"/>
      <c r="L3" s="33"/>
      <c r="M3" s="32"/>
    </row>
    <row r="4" ht="99.75" customHeight="1">
      <c r="A4" s="31" t="s">
        <v>66</v>
      </c>
      <c r="B4" s="32"/>
      <c r="C4" s="33"/>
      <c r="D4" s="32"/>
      <c r="E4" s="33"/>
      <c r="F4" s="32"/>
      <c r="G4" s="33"/>
      <c r="H4" s="32"/>
      <c r="I4" s="33"/>
      <c r="J4" s="32"/>
      <c r="K4" s="33"/>
      <c r="L4" s="32"/>
      <c r="M4" s="33"/>
    </row>
    <row r="5" ht="99.75" customHeight="1">
      <c r="A5" s="31" t="s">
        <v>71</v>
      </c>
      <c r="B5" s="33"/>
      <c r="C5" s="32"/>
      <c r="D5" s="33"/>
      <c r="E5" s="32"/>
      <c r="F5" s="33"/>
      <c r="G5" s="32"/>
      <c r="H5" s="33"/>
      <c r="I5" s="32"/>
      <c r="J5" s="33"/>
      <c r="K5" s="32"/>
      <c r="L5" s="33"/>
      <c r="M5" s="32"/>
    </row>
    <row r="6" ht="99.75" customHeight="1">
      <c r="A6" s="31" t="s">
        <v>76</v>
      </c>
      <c r="B6" s="32"/>
      <c r="C6" s="33"/>
      <c r="D6" s="32"/>
      <c r="E6" s="33"/>
      <c r="F6" s="32"/>
      <c r="G6" s="33"/>
      <c r="H6" s="32"/>
      <c r="I6" s="33"/>
      <c r="J6" s="32"/>
      <c r="K6" s="33"/>
      <c r="L6" s="32"/>
      <c r="M6" s="33"/>
    </row>
    <row r="7" ht="99.75" customHeight="1">
      <c r="A7" s="31" t="s">
        <v>81</v>
      </c>
      <c r="B7" s="33"/>
      <c r="C7" s="32"/>
      <c r="D7" s="33"/>
      <c r="E7" s="32"/>
      <c r="F7" s="33"/>
      <c r="G7" s="32"/>
      <c r="H7" s="33"/>
      <c r="I7" s="32"/>
      <c r="J7" s="33"/>
      <c r="K7" s="32"/>
      <c r="L7" s="33"/>
      <c r="M7" s="32"/>
    </row>
    <row r="8" ht="99.75" customHeight="1">
      <c r="A8" s="31" t="s">
        <v>86</v>
      </c>
      <c r="B8" s="32"/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</row>
    <row r="9" ht="99.75" customHeight="1">
      <c r="A9" s="31" t="s">
        <v>91</v>
      </c>
      <c r="B9" s="33"/>
      <c r="C9" s="32"/>
      <c r="D9" s="33"/>
      <c r="E9" s="32"/>
      <c r="F9" s="33"/>
      <c r="G9" s="32"/>
      <c r="H9" s="33"/>
      <c r="I9" s="32"/>
      <c r="J9" s="33"/>
      <c r="K9" s="32"/>
      <c r="L9" s="33"/>
      <c r="M9" s="32"/>
    </row>
    <row r="10">
      <c r="A10" s="31"/>
    </row>
    <row r="11">
      <c r="A11" s="31"/>
    </row>
    <row r="12">
      <c r="A12" s="31"/>
    </row>
    <row r="13">
      <c r="A13" s="31"/>
    </row>
    <row r="14" ht="15.75" customHeight="1">
      <c r="A14" s="31"/>
    </row>
    <row r="15" ht="15.75" customHeight="1">
      <c r="A15" s="31"/>
    </row>
    <row r="16" ht="15.75" customHeight="1">
      <c r="A16" s="31"/>
    </row>
    <row r="17" ht="15.75" customHeight="1">
      <c r="A17" s="31"/>
    </row>
    <row r="18" ht="15.75" customHeight="1">
      <c r="A18" s="31"/>
    </row>
    <row r="19" ht="15.75" customHeight="1">
      <c r="A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>
      <c r="A27" s="31"/>
    </row>
    <row r="28" ht="15.75" customHeight="1">
      <c r="A28" s="31"/>
    </row>
    <row r="29" ht="15.75" customHeight="1">
      <c r="A29" s="31"/>
    </row>
    <row r="30" ht="15.75" customHeight="1">
      <c r="A30" s="31"/>
    </row>
    <row r="31" ht="15.75" customHeight="1">
      <c r="A31" s="31"/>
    </row>
    <row r="32" ht="15.75" customHeight="1">
      <c r="A32" s="31"/>
    </row>
    <row r="33" ht="15.75" customHeight="1">
      <c r="A33" s="31"/>
    </row>
    <row r="34" ht="15.75" customHeight="1">
      <c r="A34" s="31"/>
    </row>
    <row r="35" ht="15.75" customHeight="1">
      <c r="A35" s="31"/>
    </row>
    <row r="36" ht="15.75" customHeight="1">
      <c r="A36" s="31"/>
    </row>
    <row r="37" ht="15.75" customHeight="1">
      <c r="A37" s="31"/>
    </row>
    <row r="38" ht="15.75" customHeight="1">
      <c r="A38" s="31"/>
    </row>
    <row r="39" ht="15.75" customHeight="1">
      <c r="A39" s="31"/>
    </row>
    <row r="40" ht="15.75" customHeight="1">
      <c r="A40" s="31"/>
    </row>
    <row r="41" ht="15.75" customHeight="1">
      <c r="A41" s="31"/>
    </row>
    <row r="42" ht="15.75" customHeight="1">
      <c r="A42" s="31"/>
    </row>
    <row r="43" ht="15.75" customHeight="1">
      <c r="A43" s="31"/>
    </row>
    <row r="44" ht="15.75" customHeight="1">
      <c r="A44" s="31"/>
    </row>
    <row r="45" ht="15.75" customHeight="1">
      <c r="A45" s="31"/>
    </row>
    <row r="46" ht="15.75" customHeight="1">
      <c r="A46" s="31"/>
    </row>
    <row r="47" ht="15.75" customHeight="1">
      <c r="A47" s="31"/>
    </row>
    <row r="48" ht="15.75" customHeight="1">
      <c r="A48" s="31"/>
    </row>
    <row r="49" ht="15.75" customHeight="1">
      <c r="A49" s="31"/>
    </row>
    <row r="50" ht="15.75" customHeight="1">
      <c r="A50" s="31"/>
    </row>
    <row r="51" ht="15.75" customHeight="1">
      <c r="A51" s="31"/>
    </row>
    <row r="52" ht="15.75" customHeight="1">
      <c r="A52" s="31"/>
    </row>
    <row r="53" ht="15.75" customHeight="1">
      <c r="A53" s="31"/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31"/>
      <c r="B1" s="31">
        <v>1.0</v>
      </c>
      <c r="C1" s="31">
        <v>2.0</v>
      </c>
      <c r="D1" s="31">
        <v>3.0</v>
      </c>
      <c r="E1" s="31">
        <v>4.0</v>
      </c>
      <c r="F1" s="31">
        <v>5.0</v>
      </c>
      <c r="G1" s="31">
        <v>6.0</v>
      </c>
      <c r="H1" s="31">
        <v>7.0</v>
      </c>
      <c r="I1" s="31">
        <v>8.0</v>
      </c>
      <c r="J1" s="31">
        <v>9.0</v>
      </c>
      <c r="K1" s="31">
        <v>10.0</v>
      </c>
      <c r="L1" s="31">
        <v>11.0</v>
      </c>
      <c r="M1" s="31">
        <v>12.0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99.75" customHeight="1">
      <c r="A2" s="31" t="s">
        <v>55</v>
      </c>
      <c r="B2" s="32"/>
      <c r="C2" s="33"/>
      <c r="D2" s="32"/>
      <c r="E2" s="33"/>
      <c r="F2" s="32"/>
      <c r="G2" s="33"/>
      <c r="H2" s="32"/>
      <c r="I2" s="33"/>
      <c r="J2" s="32"/>
      <c r="K2" s="33"/>
      <c r="L2" s="32"/>
      <c r="M2" s="33"/>
    </row>
    <row r="3" ht="99.75" customHeight="1">
      <c r="A3" s="31" t="s">
        <v>61</v>
      </c>
      <c r="B3" s="33"/>
      <c r="C3" s="32"/>
      <c r="D3" s="33"/>
      <c r="E3" s="32"/>
      <c r="F3" s="33"/>
      <c r="G3" s="32"/>
      <c r="H3" s="33"/>
      <c r="I3" s="32"/>
      <c r="J3" s="33"/>
      <c r="K3" s="32"/>
      <c r="L3" s="33"/>
      <c r="M3" s="32"/>
    </row>
    <row r="4" ht="99.75" customHeight="1">
      <c r="A4" s="31" t="s">
        <v>66</v>
      </c>
      <c r="B4" s="32"/>
      <c r="C4" s="33"/>
      <c r="D4" s="32"/>
      <c r="E4" s="33"/>
      <c r="F4" s="32"/>
      <c r="G4" s="33"/>
      <c r="H4" s="32"/>
      <c r="I4" s="33"/>
      <c r="J4" s="32"/>
      <c r="K4" s="33"/>
      <c r="L4" s="32"/>
      <c r="M4" s="33"/>
    </row>
    <row r="5" ht="99.75" customHeight="1">
      <c r="A5" s="31" t="s">
        <v>71</v>
      </c>
      <c r="B5" s="33"/>
      <c r="C5" s="32"/>
      <c r="D5" s="33"/>
      <c r="E5" s="32"/>
      <c r="F5" s="33"/>
      <c r="G5" s="32"/>
      <c r="H5" s="33"/>
      <c r="I5" s="32"/>
      <c r="J5" s="33"/>
      <c r="K5" s="32"/>
      <c r="L5" s="33"/>
      <c r="M5" s="32"/>
    </row>
    <row r="6" ht="99.75" customHeight="1">
      <c r="A6" s="31" t="s">
        <v>76</v>
      </c>
      <c r="B6" s="32"/>
      <c r="C6" s="33"/>
      <c r="D6" s="32"/>
      <c r="E6" s="33"/>
      <c r="F6" s="32"/>
      <c r="G6" s="33"/>
      <c r="H6" s="32"/>
      <c r="I6" s="33"/>
      <c r="J6" s="32"/>
      <c r="K6" s="33"/>
      <c r="L6" s="32"/>
      <c r="M6" s="33"/>
    </row>
    <row r="7" ht="99.75" customHeight="1">
      <c r="A7" s="31" t="s">
        <v>81</v>
      </c>
      <c r="B7" s="33"/>
      <c r="C7" s="32"/>
      <c r="D7" s="33"/>
      <c r="E7" s="32"/>
      <c r="F7" s="33"/>
      <c r="G7" s="32"/>
      <c r="H7" s="33"/>
      <c r="I7" s="32"/>
      <c r="J7" s="33"/>
      <c r="K7" s="32"/>
      <c r="L7" s="33"/>
      <c r="M7" s="32"/>
    </row>
    <row r="8" ht="99.75" customHeight="1">
      <c r="A8" s="31" t="s">
        <v>86</v>
      </c>
      <c r="B8" s="32"/>
      <c r="C8" s="33"/>
      <c r="D8" s="32"/>
      <c r="E8" s="33"/>
      <c r="F8" s="32"/>
      <c r="G8" s="33"/>
      <c r="H8" s="32"/>
      <c r="I8" s="33"/>
      <c r="J8" s="32"/>
      <c r="K8" s="33"/>
      <c r="L8" s="32"/>
      <c r="M8" s="33"/>
    </row>
    <row r="9" ht="99.75" customHeight="1">
      <c r="A9" s="31" t="s">
        <v>91</v>
      </c>
      <c r="B9" s="33"/>
      <c r="C9" s="32"/>
      <c r="D9" s="33"/>
      <c r="E9" s="32"/>
      <c r="F9" s="33"/>
      <c r="G9" s="32"/>
      <c r="H9" s="33"/>
      <c r="I9" s="32"/>
      <c r="J9" s="33"/>
      <c r="K9" s="32"/>
      <c r="L9" s="33"/>
      <c r="M9" s="32"/>
    </row>
    <row r="10">
      <c r="A10" s="31"/>
    </row>
    <row r="11">
      <c r="A11" s="31"/>
    </row>
    <row r="12">
      <c r="A12" s="31"/>
    </row>
    <row r="13">
      <c r="A13" s="31"/>
    </row>
    <row r="14" ht="15.75" customHeight="1">
      <c r="A14" s="31"/>
    </row>
    <row r="15" ht="15.75" customHeight="1">
      <c r="A15" s="31"/>
    </row>
    <row r="16" ht="15.75" customHeight="1">
      <c r="A16" s="31"/>
    </row>
    <row r="17" ht="15.75" customHeight="1">
      <c r="A17" s="31"/>
    </row>
    <row r="18" ht="15.75" customHeight="1">
      <c r="A18" s="31"/>
    </row>
    <row r="19" ht="15.75" customHeight="1">
      <c r="A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>
      <c r="A27" s="31"/>
    </row>
    <row r="28" ht="15.75" customHeight="1">
      <c r="A28" s="31"/>
    </row>
    <row r="29" ht="15.75" customHeight="1">
      <c r="A29" s="31"/>
    </row>
    <row r="30" ht="15.75" customHeight="1">
      <c r="A30" s="31"/>
    </row>
    <row r="31" ht="15.75" customHeight="1">
      <c r="A31" s="31"/>
    </row>
    <row r="32" ht="15.75" customHeight="1">
      <c r="A32" s="31"/>
    </row>
    <row r="33" ht="15.75" customHeight="1">
      <c r="A33" s="31"/>
    </row>
    <row r="34" ht="15.75" customHeight="1">
      <c r="A34" s="31"/>
    </row>
    <row r="35" ht="15.75" customHeight="1">
      <c r="A35" s="31"/>
    </row>
    <row r="36" ht="15.75" customHeight="1">
      <c r="A36" s="31"/>
    </row>
    <row r="37" ht="15.75" customHeight="1">
      <c r="A37" s="31"/>
    </row>
    <row r="38" ht="15.75" customHeight="1">
      <c r="A38" s="31"/>
    </row>
    <row r="39" ht="15.75" customHeight="1">
      <c r="A39" s="31"/>
    </row>
    <row r="40" ht="15.75" customHeight="1">
      <c r="A40" s="31"/>
    </row>
    <row r="41" ht="15.75" customHeight="1">
      <c r="A41" s="31"/>
    </row>
    <row r="42" ht="15.75" customHeight="1">
      <c r="A42" s="31"/>
    </row>
    <row r="43" ht="15.75" customHeight="1">
      <c r="A43" s="31"/>
    </row>
    <row r="44" ht="15.75" customHeight="1">
      <c r="A44" s="31"/>
    </row>
    <row r="45" ht="15.75" customHeight="1">
      <c r="A45" s="31"/>
    </row>
    <row r="46" ht="15.75" customHeight="1">
      <c r="A46" s="31"/>
    </row>
    <row r="47" ht="15.75" customHeight="1">
      <c r="A47" s="31"/>
    </row>
    <row r="48" ht="15.75" customHeight="1">
      <c r="A48" s="31"/>
    </row>
    <row r="49" ht="15.75" customHeight="1">
      <c r="A49" s="31"/>
    </row>
    <row r="50" ht="15.75" customHeight="1">
      <c r="A50" s="31"/>
    </row>
    <row r="51" ht="15.75" customHeight="1">
      <c r="A51" s="31"/>
    </row>
    <row r="52" ht="15.75" customHeight="1">
      <c r="A52" s="31"/>
    </row>
    <row r="53" ht="15.75" customHeight="1">
      <c r="A53" s="31"/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1.4"/>
    <col customWidth="1" min="2" max="13" width="20.6"/>
    <col customWidth="1" min="14" max="26" width="11.4"/>
  </cols>
  <sheetData>
    <row r="1" ht="60.75" customHeight="1">
      <c r="A1" s="31"/>
      <c r="B1" s="31">
        <v>1.0</v>
      </c>
      <c r="C1" s="31">
        <v>2.0</v>
      </c>
      <c r="D1" s="31">
        <v>3.0</v>
      </c>
      <c r="E1" s="31">
        <v>4.0</v>
      </c>
      <c r="F1" s="31">
        <v>5.0</v>
      </c>
      <c r="G1" s="31">
        <v>6.0</v>
      </c>
      <c r="H1" s="31">
        <v>7.0</v>
      </c>
      <c r="I1" s="31">
        <v>8.0</v>
      </c>
      <c r="J1" s="31">
        <v>9.0</v>
      </c>
      <c r="K1" s="31">
        <v>10.0</v>
      </c>
      <c r="L1" s="31">
        <v>11.0</v>
      </c>
      <c r="M1" s="31">
        <v>12.0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</row>
    <row r="2" ht="99.75" customHeight="1">
      <c r="A2" s="31" t="s">
        <v>55</v>
      </c>
      <c r="B2" s="32" t="s">
        <v>96</v>
      </c>
      <c r="C2" s="33" t="s">
        <v>97</v>
      </c>
      <c r="D2" s="32" t="s">
        <v>98</v>
      </c>
      <c r="E2" s="33" t="s">
        <v>99</v>
      </c>
      <c r="F2" s="32" t="s">
        <v>60</v>
      </c>
      <c r="G2" s="33"/>
      <c r="H2" s="32"/>
      <c r="I2" s="33"/>
      <c r="J2" s="32"/>
      <c r="K2" s="33"/>
      <c r="L2" s="32"/>
      <c r="M2" s="33"/>
    </row>
    <row r="3" ht="99.75" customHeight="1">
      <c r="A3" s="31" t="s">
        <v>61</v>
      </c>
      <c r="B3" s="33" t="s">
        <v>100</v>
      </c>
      <c r="C3" s="32" t="s">
        <v>101</v>
      </c>
      <c r="D3" s="33" t="s">
        <v>102</v>
      </c>
      <c r="E3" s="32" t="s">
        <v>103</v>
      </c>
      <c r="F3" s="33"/>
      <c r="G3" s="32"/>
      <c r="H3" s="33"/>
      <c r="I3" s="32"/>
      <c r="J3" s="33"/>
      <c r="K3" s="32"/>
      <c r="L3" s="33"/>
      <c r="M3" s="32"/>
    </row>
    <row r="4" ht="99.75" customHeight="1">
      <c r="A4" s="31" t="s">
        <v>66</v>
      </c>
      <c r="B4" s="32" t="s">
        <v>104</v>
      </c>
      <c r="C4" s="33" t="s">
        <v>105</v>
      </c>
      <c r="D4" s="32" t="s">
        <v>106</v>
      </c>
      <c r="E4" s="33" t="s">
        <v>107</v>
      </c>
      <c r="F4" s="32"/>
      <c r="G4" s="33"/>
      <c r="H4" s="32"/>
      <c r="I4" s="33"/>
      <c r="J4" s="32"/>
      <c r="K4" s="33"/>
      <c r="L4" s="32"/>
      <c r="M4" s="33"/>
    </row>
    <row r="5" ht="99.75" customHeight="1">
      <c r="A5" s="31" t="s">
        <v>71</v>
      </c>
      <c r="B5" s="33" t="s">
        <v>108</v>
      </c>
      <c r="C5" s="32" t="s">
        <v>109</v>
      </c>
      <c r="D5" s="33" t="s">
        <v>110</v>
      </c>
      <c r="E5" s="32" t="s">
        <v>111</v>
      </c>
      <c r="F5" s="33"/>
      <c r="G5" s="32"/>
      <c r="H5" s="33"/>
      <c r="I5" s="32"/>
      <c r="J5" s="33"/>
      <c r="K5" s="32"/>
      <c r="L5" s="33"/>
      <c r="M5" s="32"/>
    </row>
    <row r="6" ht="99.75" customHeight="1">
      <c r="A6" s="31" t="s">
        <v>76</v>
      </c>
      <c r="B6" s="32" t="s">
        <v>112</v>
      </c>
      <c r="C6" s="33" t="s">
        <v>113</v>
      </c>
      <c r="D6" s="32" t="s">
        <v>114</v>
      </c>
      <c r="E6" s="33" t="s">
        <v>115</v>
      </c>
      <c r="F6" s="32"/>
      <c r="G6" s="33"/>
      <c r="H6" s="32"/>
      <c r="I6" s="33"/>
      <c r="J6" s="32"/>
      <c r="K6" s="33"/>
      <c r="L6" s="32"/>
      <c r="M6" s="33"/>
    </row>
    <row r="7" ht="99.75" customHeight="1">
      <c r="A7" s="31" t="s">
        <v>81</v>
      </c>
      <c r="B7" s="33" t="s">
        <v>116</v>
      </c>
      <c r="C7" s="32" t="s">
        <v>117</v>
      </c>
      <c r="D7" s="33" t="s">
        <v>118</v>
      </c>
      <c r="E7" s="32" t="s">
        <v>119</v>
      </c>
      <c r="F7" s="33"/>
      <c r="G7" s="32"/>
      <c r="H7" s="33"/>
      <c r="I7" s="32"/>
      <c r="J7" s="33"/>
      <c r="K7" s="32"/>
      <c r="L7" s="33"/>
      <c r="M7" s="32"/>
    </row>
    <row r="8" ht="99.75" customHeight="1">
      <c r="A8" s="31" t="s">
        <v>86</v>
      </c>
      <c r="B8" s="32" t="s">
        <v>120</v>
      </c>
      <c r="C8" s="33" t="s">
        <v>121</v>
      </c>
      <c r="D8" s="32" t="s">
        <v>122</v>
      </c>
      <c r="E8" s="33" t="s">
        <v>123</v>
      </c>
      <c r="F8" s="32"/>
      <c r="G8" s="33"/>
      <c r="H8" s="32"/>
      <c r="I8" s="33"/>
      <c r="J8" s="32"/>
      <c r="K8" s="33"/>
      <c r="L8" s="32"/>
      <c r="M8" s="33"/>
    </row>
    <row r="9" ht="99.75" customHeight="1">
      <c r="A9" s="31" t="s">
        <v>91</v>
      </c>
      <c r="B9" s="33" t="s">
        <v>124</v>
      </c>
      <c r="C9" s="32" t="s">
        <v>125</v>
      </c>
      <c r="D9" s="33" t="s">
        <v>126</v>
      </c>
      <c r="E9" s="32" t="s">
        <v>95</v>
      </c>
      <c r="F9" s="33"/>
      <c r="G9" s="32"/>
      <c r="H9" s="33"/>
      <c r="I9" s="32"/>
      <c r="J9" s="33"/>
      <c r="K9" s="32"/>
      <c r="L9" s="33"/>
      <c r="M9" s="32"/>
    </row>
    <row r="10">
      <c r="A10" s="31"/>
    </row>
    <row r="11">
      <c r="A11" s="31"/>
    </row>
    <row r="12">
      <c r="A12" s="31"/>
    </row>
    <row r="13">
      <c r="A13" s="31"/>
    </row>
    <row r="14" ht="15.75" customHeight="1">
      <c r="A14" s="31"/>
    </row>
    <row r="15" ht="15.75" customHeight="1">
      <c r="A15" s="31"/>
    </row>
    <row r="16" ht="15.75" customHeight="1">
      <c r="A16" s="31"/>
    </row>
    <row r="17" ht="15.75" customHeight="1">
      <c r="A17" s="31"/>
    </row>
    <row r="18" ht="15.75" customHeight="1">
      <c r="A18" s="31"/>
    </row>
    <row r="19" ht="15.75" customHeight="1">
      <c r="A19" s="31"/>
    </row>
    <row r="20" ht="15.75" customHeight="1">
      <c r="A20" s="31"/>
    </row>
    <row r="21" ht="15.75" customHeight="1">
      <c r="A21" s="31"/>
    </row>
    <row r="22" ht="15.75" customHeight="1">
      <c r="A22" s="31"/>
    </row>
    <row r="23" ht="15.75" customHeight="1">
      <c r="A23" s="31"/>
    </row>
    <row r="24" ht="15.75" customHeight="1">
      <c r="A24" s="31"/>
    </row>
    <row r="25" ht="15.75" customHeight="1">
      <c r="A25" s="31"/>
    </row>
    <row r="26" ht="15.75" customHeight="1">
      <c r="A26" s="31"/>
    </row>
    <row r="27" ht="15.75" customHeight="1">
      <c r="A27" s="31"/>
    </row>
    <row r="28" ht="15.75" customHeight="1">
      <c r="A28" s="31"/>
    </row>
    <row r="29" ht="15.75" customHeight="1">
      <c r="A29" s="31"/>
    </row>
    <row r="30" ht="15.75" customHeight="1">
      <c r="A30" s="31"/>
    </row>
    <row r="31" ht="15.75" customHeight="1">
      <c r="A31" s="31"/>
    </row>
    <row r="32" ht="15.75" customHeight="1">
      <c r="A32" s="31"/>
    </row>
    <row r="33" ht="15.75" customHeight="1">
      <c r="A33" s="31"/>
    </row>
    <row r="34" ht="15.75" customHeight="1">
      <c r="A34" s="31"/>
    </row>
    <row r="35" ht="15.75" customHeight="1">
      <c r="A35" s="31"/>
    </row>
    <row r="36" ht="15.75" customHeight="1">
      <c r="A36" s="31"/>
    </row>
    <row r="37" ht="15.75" customHeight="1">
      <c r="A37" s="31"/>
    </row>
    <row r="38" ht="15.75" customHeight="1">
      <c r="A38" s="31"/>
    </row>
    <row r="39" ht="15.75" customHeight="1">
      <c r="A39" s="31"/>
    </row>
    <row r="40" ht="15.75" customHeight="1">
      <c r="A40" s="31"/>
    </row>
    <row r="41" ht="15.75" customHeight="1">
      <c r="A41" s="31"/>
    </row>
    <row r="42" ht="15.75" customHeight="1">
      <c r="A42" s="31"/>
    </row>
    <row r="43" ht="15.75" customHeight="1">
      <c r="A43" s="31"/>
    </row>
    <row r="44" ht="15.75" customHeight="1">
      <c r="A44" s="31"/>
    </row>
    <row r="45" ht="15.75" customHeight="1">
      <c r="A45" s="31"/>
    </row>
    <row r="46" ht="15.75" customHeight="1">
      <c r="A46" s="31"/>
    </row>
    <row r="47" ht="15.75" customHeight="1">
      <c r="A47" s="31"/>
    </row>
    <row r="48" ht="15.75" customHeight="1">
      <c r="A48" s="31"/>
    </row>
    <row r="49" ht="15.75" customHeight="1">
      <c r="A49" s="31"/>
    </row>
    <row r="50" ht="15.75" customHeight="1">
      <c r="A50" s="31"/>
    </row>
    <row r="51" ht="15.75" customHeight="1">
      <c r="A51" s="31"/>
    </row>
    <row r="52" ht="15.75" customHeight="1">
      <c r="A52" s="31"/>
    </row>
    <row r="53" ht="15.75" customHeight="1">
      <c r="A53" s="31"/>
    </row>
    <row r="54" ht="15.75" customHeight="1">
      <c r="A54" s="31"/>
    </row>
    <row r="55" ht="15.75" customHeight="1">
      <c r="A55" s="31"/>
    </row>
    <row r="56" ht="15.75" customHeight="1">
      <c r="A56" s="31"/>
    </row>
    <row r="57" ht="15.75" customHeight="1">
      <c r="A57" s="31"/>
    </row>
    <row r="58" ht="15.75" customHeight="1">
      <c r="A58" s="31"/>
    </row>
    <row r="59" ht="15.75" customHeight="1">
      <c r="A59" s="31"/>
    </row>
    <row r="60" ht="15.75" customHeight="1">
      <c r="A60" s="31"/>
    </row>
    <row r="61" ht="15.75" customHeight="1">
      <c r="A61" s="31"/>
    </row>
    <row r="62" ht="15.75" customHeight="1">
      <c r="A62" s="31"/>
    </row>
    <row r="63" ht="15.75" customHeight="1">
      <c r="A63" s="31"/>
    </row>
    <row r="64" ht="15.75" customHeight="1">
      <c r="A64" s="31"/>
    </row>
    <row r="65" ht="15.75" customHeight="1">
      <c r="A65" s="31"/>
    </row>
    <row r="66" ht="15.75" customHeight="1">
      <c r="A66" s="31"/>
    </row>
    <row r="67" ht="15.75" customHeight="1">
      <c r="A67" s="31"/>
    </row>
    <row r="68" ht="15.75" customHeight="1">
      <c r="A68" s="31"/>
    </row>
    <row r="69" ht="15.75" customHeight="1">
      <c r="A69" s="31"/>
    </row>
    <row r="70" ht="15.75" customHeight="1">
      <c r="A70" s="31"/>
    </row>
    <row r="71" ht="15.75" customHeight="1">
      <c r="A71" s="31"/>
    </row>
    <row r="72" ht="15.75" customHeight="1">
      <c r="A72" s="31"/>
    </row>
    <row r="73" ht="15.75" customHeight="1">
      <c r="A73" s="31"/>
    </row>
    <row r="74" ht="15.75" customHeight="1">
      <c r="A74" s="31"/>
    </row>
    <row r="75" ht="15.75" customHeight="1">
      <c r="A75" s="31"/>
    </row>
    <row r="76" ht="15.75" customHeight="1">
      <c r="A76" s="31"/>
    </row>
    <row r="77" ht="15.75" customHeight="1">
      <c r="A77" s="31"/>
    </row>
    <row r="78" ht="15.75" customHeight="1">
      <c r="A78" s="31"/>
    </row>
    <row r="79" ht="15.75" customHeight="1">
      <c r="A79" s="31"/>
    </row>
    <row r="80" ht="15.75" customHeight="1">
      <c r="A80" s="31"/>
    </row>
    <row r="81" ht="15.75" customHeight="1">
      <c r="A81" s="31"/>
    </row>
    <row r="82" ht="15.75" customHeight="1">
      <c r="A82" s="31"/>
    </row>
    <row r="83" ht="15.75" customHeight="1">
      <c r="A83" s="31"/>
    </row>
    <row r="84" ht="15.75" customHeight="1">
      <c r="A84" s="31"/>
    </row>
    <row r="85" ht="15.75" customHeight="1">
      <c r="A85" s="31"/>
    </row>
    <row r="86" ht="15.75" customHeight="1">
      <c r="A86" s="31"/>
    </row>
    <row r="87" ht="15.75" customHeight="1">
      <c r="A87" s="31"/>
    </row>
    <row r="88" ht="15.75" customHeight="1">
      <c r="A88" s="31"/>
    </row>
    <row r="89" ht="15.75" customHeight="1">
      <c r="A89" s="31"/>
    </row>
    <row r="90" ht="15.75" customHeight="1">
      <c r="A90" s="31"/>
    </row>
    <row r="91" ht="15.75" customHeight="1">
      <c r="A91" s="31"/>
    </row>
    <row r="92" ht="15.75" customHeight="1">
      <c r="A92" s="31"/>
    </row>
    <row r="93" ht="15.75" customHeight="1">
      <c r="A93" s="31"/>
    </row>
    <row r="94" ht="15.75" customHeight="1">
      <c r="A94" s="31"/>
    </row>
    <row r="95" ht="15.75" customHeight="1">
      <c r="A95" s="31"/>
    </row>
    <row r="96" ht="15.75" customHeight="1">
      <c r="A96" s="31"/>
    </row>
    <row r="97" ht="15.75" customHeight="1">
      <c r="A97" s="31"/>
    </row>
    <row r="98" ht="15.75" customHeight="1">
      <c r="A98" s="31"/>
    </row>
    <row r="99" ht="15.75" customHeight="1">
      <c r="A99" s="31"/>
    </row>
    <row r="100" ht="15.75" customHeight="1">
      <c r="A100" s="31"/>
    </row>
    <row r="101" ht="15.75" customHeight="1">
      <c r="A101" s="31"/>
    </row>
    <row r="102" ht="15.75" customHeight="1">
      <c r="A102" s="31"/>
    </row>
    <row r="103" ht="15.75" customHeight="1">
      <c r="A103" s="31"/>
    </row>
    <row r="104" ht="15.75" customHeight="1">
      <c r="A104" s="31"/>
    </row>
    <row r="105" ht="15.75" customHeight="1">
      <c r="A105" s="31"/>
    </row>
    <row r="106" ht="15.75" customHeight="1">
      <c r="A106" s="31"/>
    </row>
    <row r="107" ht="15.75" customHeight="1">
      <c r="A107" s="31"/>
    </row>
    <row r="108" ht="15.75" customHeight="1">
      <c r="A108" s="31"/>
    </row>
    <row r="109" ht="15.75" customHeight="1">
      <c r="A109" s="31"/>
    </row>
    <row r="110" ht="15.75" customHeight="1">
      <c r="A110" s="31"/>
    </row>
    <row r="111" ht="15.75" customHeight="1">
      <c r="A111" s="31"/>
    </row>
    <row r="112" ht="15.75" customHeight="1">
      <c r="A112" s="31"/>
    </row>
    <row r="113" ht="15.75" customHeight="1">
      <c r="A113" s="31"/>
    </row>
    <row r="114" ht="15.75" customHeight="1">
      <c r="A114" s="31"/>
    </row>
    <row r="115" ht="15.75" customHeight="1">
      <c r="A115" s="31"/>
    </row>
    <row r="116" ht="15.75" customHeight="1">
      <c r="A116" s="31"/>
    </row>
    <row r="117" ht="15.75" customHeight="1">
      <c r="A117" s="31"/>
    </row>
    <row r="118" ht="15.75" customHeight="1">
      <c r="A118" s="31"/>
    </row>
    <row r="119" ht="15.75" customHeight="1">
      <c r="A119" s="31"/>
    </row>
    <row r="120" ht="15.75" customHeight="1">
      <c r="A120" s="31"/>
    </row>
    <row r="121" ht="15.75" customHeight="1">
      <c r="A121" s="31"/>
    </row>
    <row r="122" ht="15.75" customHeight="1">
      <c r="A122" s="31"/>
    </row>
    <row r="123" ht="15.75" customHeight="1">
      <c r="A123" s="31"/>
    </row>
    <row r="124" ht="15.75" customHeight="1">
      <c r="A124" s="31"/>
    </row>
    <row r="125" ht="15.75" customHeight="1">
      <c r="A125" s="31"/>
    </row>
    <row r="126" ht="15.75" customHeight="1">
      <c r="A126" s="31"/>
    </row>
    <row r="127" ht="15.75" customHeight="1">
      <c r="A127" s="31"/>
    </row>
    <row r="128" ht="15.75" customHeight="1">
      <c r="A128" s="31"/>
    </row>
    <row r="129" ht="15.75" customHeight="1">
      <c r="A129" s="31"/>
    </row>
    <row r="130" ht="15.75" customHeight="1">
      <c r="A130" s="31"/>
    </row>
    <row r="131" ht="15.75" customHeight="1">
      <c r="A131" s="31"/>
    </row>
    <row r="132" ht="15.75" customHeight="1">
      <c r="A132" s="31"/>
    </row>
    <row r="133" ht="15.75" customHeight="1">
      <c r="A133" s="31"/>
    </row>
    <row r="134" ht="15.75" customHeight="1">
      <c r="A134" s="31"/>
    </row>
    <row r="135" ht="15.75" customHeight="1">
      <c r="A135" s="31"/>
    </row>
    <row r="136" ht="15.75" customHeight="1">
      <c r="A136" s="31"/>
    </row>
    <row r="137" ht="15.75" customHeight="1">
      <c r="A137" s="31"/>
    </row>
    <row r="138" ht="15.75" customHeight="1">
      <c r="A138" s="31"/>
    </row>
    <row r="139" ht="15.75" customHeight="1">
      <c r="A139" s="31"/>
    </row>
    <row r="140" ht="15.75" customHeight="1">
      <c r="A140" s="31"/>
    </row>
    <row r="141" ht="15.75" customHeight="1">
      <c r="A141" s="31"/>
    </row>
    <row r="142" ht="15.75" customHeight="1">
      <c r="A142" s="31"/>
    </row>
    <row r="143" ht="15.75" customHeight="1">
      <c r="A143" s="31"/>
    </row>
    <row r="144" ht="15.75" customHeight="1">
      <c r="A144" s="31"/>
    </row>
    <row r="145" ht="15.75" customHeight="1">
      <c r="A145" s="31"/>
    </row>
    <row r="146" ht="15.75" customHeight="1">
      <c r="A146" s="31"/>
    </row>
    <row r="147" ht="15.75" customHeight="1">
      <c r="A147" s="31"/>
    </row>
    <row r="148" ht="15.75" customHeight="1">
      <c r="A148" s="31"/>
    </row>
    <row r="149" ht="15.75" customHeight="1">
      <c r="A149" s="31"/>
    </row>
    <row r="150" ht="15.75" customHeight="1">
      <c r="A150" s="31"/>
    </row>
    <row r="151" ht="15.75" customHeight="1">
      <c r="A151" s="31"/>
    </row>
    <row r="152" ht="15.75" customHeight="1">
      <c r="A152" s="31"/>
    </row>
    <row r="153" ht="15.75" customHeight="1">
      <c r="A153" s="31"/>
    </row>
    <row r="154" ht="15.75" customHeight="1">
      <c r="A154" s="31"/>
    </row>
    <row r="155" ht="15.75" customHeight="1">
      <c r="A155" s="31"/>
    </row>
    <row r="156" ht="15.75" customHeight="1">
      <c r="A156" s="31"/>
    </row>
    <row r="157" ht="15.75" customHeight="1">
      <c r="A157" s="31"/>
    </row>
    <row r="158" ht="15.75" customHeight="1">
      <c r="A158" s="31"/>
    </row>
    <row r="159" ht="15.75" customHeight="1">
      <c r="A159" s="31"/>
    </row>
    <row r="160" ht="15.75" customHeight="1">
      <c r="A160" s="31"/>
    </row>
    <row r="161" ht="15.75" customHeight="1">
      <c r="A161" s="31"/>
    </row>
    <row r="162" ht="15.75" customHeight="1">
      <c r="A162" s="31"/>
    </row>
    <row r="163" ht="15.75" customHeight="1">
      <c r="A163" s="31"/>
    </row>
    <row r="164" ht="15.75" customHeight="1">
      <c r="A164" s="31"/>
    </row>
    <row r="165" ht="15.75" customHeight="1">
      <c r="A165" s="31"/>
    </row>
    <row r="166" ht="15.75" customHeight="1">
      <c r="A166" s="31"/>
    </row>
    <row r="167" ht="15.75" customHeight="1">
      <c r="A167" s="31"/>
    </row>
    <row r="168" ht="15.75" customHeight="1">
      <c r="A168" s="31"/>
    </row>
    <row r="169" ht="15.75" customHeight="1">
      <c r="A169" s="31"/>
    </row>
    <row r="170" ht="15.75" customHeight="1">
      <c r="A170" s="31"/>
    </row>
    <row r="171" ht="15.75" customHeight="1">
      <c r="A171" s="31"/>
    </row>
    <row r="172" ht="15.75" customHeight="1">
      <c r="A172" s="31"/>
    </row>
    <row r="173" ht="15.75" customHeight="1">
      <c r="A173" s="31"/>
    </row>
    <row r="174" ht="15.75" customHeight="1">
      <c r="A174" s="31"/>
    </row>
    <row r="175" ht="15.75" customHeight="1">
      <c r="A175" s="31"/>
    </row>
    <row r="176" ht="15.75" customHeight="1">
      <c r="A176" s="31"/>
    </row>
    <row r="177" ht="15.75" customHeight="1">
      <c r="A177" s="31"/>
    </row>
    <row r="178" ht="15.75" customHeight="1">
      <c r="A178" s="31"/>
    </row>
    <row r="179" ht="15.75" customHeight="1">
      <c r="A179" s="31"/>
    </row>
    <row r="180" ht="15.75" customHeight="1">
      <c r="A180" s="31"/>
    </row>
    <row r="181" ht="15.75" customHeight="1">
      <c r="A181" s="31"/>
    </row>
    <row r="182" ht="15.75" customHeight="1">
      <c r="A182" s="31"/>
    </row>
    <row r="183" ht="15.75" customHeight="1">
      <c r="A183" s="31"/>
    </row>
    <row r="184" ht="15.75" customHeight="1">
      <c r="A184" s="31"/>
    </row>
    <row r="185" ht="15.75" customHeight="1">
      <c r="A185" s="31"/>
    </row>
    <row r="186" ht="15.75" customHeight="1">
      <c r="A186" s="31"/>
    </row>
    <row r="187" ht="15.75" customHeight="1">
      <c r="A187" s="31"/>
    </row>
    <row r="188" ht="15.75" customHeight="1">
      <c r="A188" s="31"/>
    </row>
    <row r="189" ht="15.75" customHeight="1">
      <c r="A189" s="31"/>
    </row>
    <row r="190" ht="15.75" customHeight="1">
      <c r="A190" s="31"/>
    </row>
    <row r="191" ht="15.75" customHeight="1">
      <c r="A191" s="31"/>
    </row>
    <row r="192" ht="15.75" customHeight="1">
      <c r="A192" s="31"/>
    </row>
    <row r="193" ht="15.75" customHeight="1">
      <c r="A193" s="31"/>
    </row>
    <row r="194" ht="15.75" customHeight="1">
      <c r="A194" s="31"/>
    </row>
    <row r="195" ht="15.75" customHeight="1">
      <c r="A195" s="31"/>
    </row>
    <row r="196" ht="15.75" customHeight="1">
      <c r="A196" s="31"/>
    </row>
    <row r="197" ht="15.75" customHeight="1">
      <c r="A197" s="31"/>
    </row>
    <row r="198" ht="15.75" customHeight="1">
      <c r="A198" s="31"/>
    </row>
    <row r="199" ht="15.75" customHeight="1">
      <c r="A199" s="31"/>
    </row>
    <row r="200" ht="15.75" customHeight="1">
      <c r="A200" s="31"/>
    </row>
    <row r="201" ht="15.75" customHeight="1">
      <c r="A201" s="31"/>
    </row>
    <row r="202" ht="15.75" customHeight="1">
      <c r="A202" s="31"/>
    </row>
    <row r="203" ht="15.75" customHeight="1">
      <c r="A203" s="31"/>
    </row>
    <row r="204" ht="15.75" customHeight="1">
      <c r="A204" s="31"/>
    </row>
    <row r="205" ht="15.75" customHeight="1">
      <c r="A205" s="31"/>
    </row>
    <row r="206" ht="15.75" customHeight="1">
      <c r="A206" s="31"/>
    </row>
    <row r="207" ht="15.75" customHeight="1">
      <c r="A207" s="31"/>
    </row>
    <row r="208" ht="15.75" customHeight="1">
      <c r="A208" s="31"/>
    </row>
    <row r="209" ht="15.75" customHeight="1">
      <c r="A209" s="31"/>
    </row>
    <row r="210" ht="15.75" customHeight="1">
      <c r="A210" s="31"/>
    </row>
    <row r="211" ht="15.75" customHeight="1">
      <c r="A211" s="31"/>
    </row>
    <row r="212" ht="15.75" customHeight="1">
      <c r="A212" s="31"/>
    </row>
    <row r="213" ht="15.75" customHeight="1">
      <c r="A213" s="31"/>
    </row>
    <row r="214" ht="15.75" customHeight="1">
      <c r="A214" s="31"/>
    </row>
    <row r="215" ht="15.75" customHeight="1">
      <c r="A215" s="31"/>
    </row>
    <row r="216" ht="15.75" customHeight="1">
      <c r="A216" s="31"/>
    </row>
    <row r="217" ht="15.75" customHeight="1">
      <c r="A217" s="31"/>
    </row>
    <row r="218" ht="15.75" customHeight="1">
      <c r="A218" s="31"/>
    </row>
    <row r="219" ht="15.75" customHeight="1">
      <c r="A219" s="31"/>
    </row>
    <row r="220" ht="15.75" customHeight="1">
      <c r="A220" s="3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0.1" defaultRowHeight="15.0"/>
  <cols>
    <col customWidth="1" min="1" max="1" width="38.0"/>
    <col customWidth="1" min="2" max="24" width="10.6"/>
  </cols>
  <sheetData>
    <row r="1" ht="45.75" customHeight="1">
      <c r="A1" s="34" t="s">
        <v>127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6"/>
      <c r="R1" s="37"/>
      <c r="S1" s="37"/>
    </row>
    <row r="2" ht="31.5" customHeight="1">
      <c r="A2" s="38" t="s">
        <v>128</v>
      </c>
      <c r="B2" s="35"/>
      <c r="C2" s="35"/>
      <c r="D2" s="35"/>
      <c r="E2" s="35"/>
      <c r="F2" s="35"/>
      <c r="G2" s="35"/>
      <c r="H2" s="35"/>
      <c r="I2" s="36"/>
      <c r="L2" s="37"/>
      <c r="M2" s="37"/>
      <c r="N2" s="37"/>
      <c r="O2" s="37"/>
      <c r="P2" s="37"/>
      <c r="Q2" s="37"/>
      <c r="R2" s="37"/>
      <c r="S2" s="37"/>
    </row>
    <row r="3" ht="27.0" customHeight="1">
      <c r="A3" s="39" t="s">
        <v>129</v>
      </c>
      <c r="B3" s="40"/>
      <c r="C3" s="40"/>
      <c r="D3" s="40"/>
      <c r="E3" s="40"/>
      <c r="F3" s="40"/>
      <c r="G3" s="40"/>
      <c r="H3" s="40"/>
      <c r="I3" s="41"/>
      <c r="L3" s="42"/>
      <c r="M3" s="42"/>
      <c r="N3" s="42"/>
      <c r="O3" s="42"/>
      <c r="P3" s="42"/>
      <c r="Q3" s="42"/>
      <c r="R3" s="43"/>
      <c r="S3" s="43"/>
    </row>
    <row r="4" ht="21.75" customHeight="1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</row>
    <row r="5" ht="31.5" customHeight="1">
      <c r="A5" s="44" t="s">
        <v>130</v>
      </c>
      <c r="B5" s="45">
        <v>1.0</v>
      </c>
      <c r="C5" s="13" t="s">
        <v>131</v>
      </c>
      <c r="E5" s="46"/>
      <c r="F5" s="46"/>
      <c r="G5" s="46"/>
      <c r="H5" s="46"/>
      <c r="I5" s="46"/>
      <c r="J5" s="46"/>
      <c r="K5" s="46"/>
      <c r="L5" s="46"/>
    </row>
    <row r="6" ht="22.5" customHeight="1">
      <c r="A6" s="47" t="s">
        <v>132</v>
      </c>
      <c r="B6" s="48">
        <v>16.5</v>
      </c>
      <c r="C6" s="49" t="s">
        <v>133</v>
      </c>
      <c r="F6" s="46"/>
      <c r="G6" s="46"/>
      <c r="H6" s="46"/>
      <c r="I6" s="46"/>
      <c r="J6" s="46"/>
      <c r="K6" s="46"/>
      <c r="L6" s="46"/>
    </row>
    <row r="7" ht="22.5" customHeight="1">
      <c r="A7" s="47" t="s">
        <v>134</v>
      </c>
      <c r="B7" s="48">
        <v>5.5</v>
      </c>
      <c r="F7" s="46"/>
      <c r="G7" s="46"/>
      <c r="H7" s="46"/>
      <c r="I7" s="46"/>
      <c r="J7" s="46"/>
      <c r="K7" s="46"/>
      <c r="L7" s="46"/>
    </row>
    <row r="8" ht="22.5" customHeight="1">
      <c r="A8" s="47" t="s">
        <v>135</v>
      </c>
      <c r="B8" s="48">
        <f>SUM(B6:B7)</f>
        <v>22</v>
      </c>
      <c r="F8" s="46"/>
      <c r="G8" s="46"/>
      <c r="H8" s="46"/>
      <c r="I8" s="46"/>
      <c r="J8" s="46"/>
      <c r="K8" s="46"/>
      <c r="L8" s="46"/>
    </row>
    <row r="9" ht="22.5" customHeight="1">
      <c r="A9" s="47" t="s">
        <v>136</v>
      </c>
      <c r="B9" s="48">
        <v>20.0</v>
      </c>
      <c r="F9" s="46"/>
      <c r="G9" s="46"/>
      <c r="H9" s="46"/>
      <c r="I9" s="46"/>
      <c r="J9" s="46"/>
      <c r="K9" s="46"/>
      <c r="L9" s="46"/>
    </row>
    <row r="10" ht="30.0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ht="27.75" customHeight="1">
      <c r="A11" s="50" t="s">
        <v>137</v>
      </c>
      <c r="B11" s="35"/>
      <c r="C11" s="35"/>
      <c r="D11" s="36"/>
      <c r="E11" s="51"/>
      <c r="F11" s="46"/>
      <c r="G11" s="46"/>
      <c r="H11" s="46"/>
      <c r="I11" s="46"/>
      <c r="J11" s="46"/>
      <c r="K11" s="46"/>
      <c r="L11" s="46"/>
    </row>
    <row r="12" ht="15.75" customHeight="1">
      <c r="A12" s="52" t="s">
        <v>138</v>
      </c>
      <c r="B12" s="53" t="s">
        <v>139</v>
      </c>
      <c r="C12" s="53" t="s">
        <v>140</v>
      </c>
      <c r="D12" s="53" t="s">
        <v>141</v>
      </c>
      <c r="E12" s="46"/>
    </row>
    <row r="13" ht="15.75" customHeight="1">
      <c r="A13" s="54" t="s">
        <v>142</v>
      </c>
      <c r="B13" s="55">
        <v>50.0</v>
      </c>
      <c r="C13" s="55">
        <v>60.0</v>
      </c>
      <c r="D13" s="55">
        <v>1.0</v>
      </c>
      <c r="E13" s="46"/>
    </row>
    <row r="14" ht="15.75" customHeight="1">
      <c r="A14" s="54" t="s">
        <v>143</v>
      </c>
      <c r="B14" s="56">
        <v>95.0</v>
      </c>
      <c r="C14" s="56">
        <v>10.0</v>
      </c>
      <c r="D14" s="56">
        <v>1.0</v>
      </c>
    </row>
    <row r="15" ht="15.75" customHeight="1">
      <c r="A15" s="54" t="s">
        <v>144</v>
      </c>
      <c r="B15" s="56">
        <v>94.0</v>
      </c>
      <c r="C15" s="56">
        <v>0.5</v>
      </c>
      <c r="D15" s="57">
        <v>40.0</v>
      </c>
    </row>
    <row r="16" ht="15.75" customHeight="1">
      <c r="A16" s="54" t="s">
        <v>145</v>
      </c>
      <c r="B16" s="56">
        <v>55.0</v>
      </c>
      <c r="C16" s="56">
        <v>1.0</v>
      </c>
      <c r="D16" s="58"/>
    </row>
    <row r="17" ht="15.75" customHeight="1">
      <c r="A17" s="54" t="s">
        <v>146</v>
      </c>
      <c r="B17" s="56">
        <v>98.0</v>
      </c>
      <c r="C17" s="56">
        <v>10.0</v>
      </c>
      <c r="D17" s="56">
        <v>1.0</v>
      </c>
    </row>
    <row r="18" ht="15.75" customHeight="1">
      <c r="A18" s="59"/>
      <c r="B18" s="51"/>
      <c r="C18" s="51"/>
      <c r="D18" s="51"/>
    </row>
    <row r="19" ht="27.0" customHeight="1">
      <c r="A19" s="60" t="s">
        <v>147</v>
      </c>
      <c r="B19" s="40"/>
      <c r="C19" s="40"/>
      <c r="D19" s="41"/>
    </row>
    <row r="20" ht="15.75" customHeight="1">
      <c r="A20" s="61" t="s">
        <v>148</v>
      </c>
      <c r="B20" s="56" t="s">
        <v>149</v>
      </c>
      <c r="C20" s="62"/>
      <c r="D20" s="62"/>
    </row>
    <row r="21" ht="15.75" customHeight="1">
      <c r="A21" s="61" t="s">
        <v>150</v>
      </c>
      <c r="B21" s="56" t="s">
        <v>151</v>
      </c>
      <c r="C21" s="62"/>
      <c r="D21" s="62"/>
    </row>
    <row r="22" ht="15.75" customHeight="1">
      <c r="A22" s="61" t="s">
        <v>152</v>
      </c>
      <c r="B22" s="56" t="s">
        <v>153</v>
      </c>
      <c r="C22" s="62"/>
      <c r="D22" s="62"/>
    </row>
    <row r="23" ht="51.0" customHeight="1"/>
    <row r="24" ht="31.5" customHeight="1">
      <c r="A24" s="63" t="s">
        <v>154</v>
      </c>
      <c r="B24" s="64">
        <f>COUNTIF('Sample IDs'!B2:M9,"&lt;&gt;"&amp;"")</f>
        <v>33</v>
      </c>
      <c r="C24" s="49" t="s">
        <v>155</v>
      </c>
    </row>
    <row r="25" ht="30.0" customHeight="1">
      <c r="A25" s="65" t="s">
        <v>156</v>
      </c>
      <c r="B25" s="66">
        <v>1.1</v>
      </c>
      <c r="C25" s="67" t="s">
        <v>157</v>
      </c>
      <c r="D25" s="49"/>
      <c r="E25" s="49"/>
      <c r="F25" s="49"/>
      <c r="G25" s="49"/>
      <c r="H25" s="49"/>
      <c r="I25" s="49"/>
      <c r="J25" s="49"/>
      <c r="K25" s="49"/>
      <c r="L25" s="49"/>
    </row>
    <row r="26" ht="21.0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</row>
    <row r="27" ht="27.0" customHeight="1">
      <c r="A27" s="68" t="s">
        <v>158</v>
      </c>
      <c r="B27" s="69"/>
      <c r="C27" s="70"/>
      <c r="D27" s="70"/>
      <c r="E27" s="51"/>
      <c r="F27" s="51"/>
      <c r="G27" s="71"/>
      <c r="H27" s="71"/>
      <c r="I27" s="71"/>
      <c r="J27" s="71"/>
      <c r="K27" s="71"/>
      <c r="L27" s="51"/>
      <c r="M27" s="71"/>
      <c r="T27" s="71"/>
      <c r="U27" s="71"/>
      <c r="V27" s="71"/>
      <c r="W27" s="71"/>
      <c r="X27" s="71"/>
      <c r="Y27" s="71"/>
      <c r="Z27" s="71"/>
    </row>
    <row r="28" ht="15.75" customHeight="1">
      <c r="A28" s="72" t="s">
        <v>159</v>
      </c>
      <c r="B28" s="73">
        <f>ROUNDUP(B33-B29-B30-B31-($B$5*B32),0)</f>
        <v>240</v>
      </c>
      <c r="C28" s="74"/>
      <c r="D28" s="74"/>
      <c r="E28" s="46"/>
      <c r="F28" s="46"/>
      <c r="L28" s="46"/>
    </row>
    <row r="29" ht="15.75" customHeight="1">
      <c r="A29" s="72" t="s">
        <v>160</v>
      </c>
      <c r="B29" s="73">
        <f>ROUNDUP(5.5*($B$24*B25),0)</f>
        <v>200</v>
      </c>
      <c r="C29" s="75" t="s">
        <v>161</v>
      </c>
      <c r="D29" s="74"/>
      <c r="E29" s="46"/>
      <c r="F29" s="46"/>
      <c r="L29" s="46"/>
    </row>
    <row r="30" ht="15.75" customHeight="1">
      <c r="A30" s="72" t="s">
        <v>162</v>
      </c>
      <c r="B30" s="73">
        <f>ROUNDUP(2.2*($B$24*B25),1)</f>
        <v>79.9</v>
      </c>
      <c r="C30" s="75" t="s">
        <v>161</v>
      </c>
      <c r="D30" s="74"/>
      <c r="E30" s="46"/>
      <c r="F30" s="46"/>
      <c r="L30" s="46"/>
    </row>
    <row r="31" ht="15.75" customHeight="1">
      <c r="A31" s="72" t="s">
        <v>163</v>
      </c>
      <c r="B31" s="73">
        <f>ROUNDUP(1.1*$B$24*B25,1)</f>
        <v>40</v>
      </c>
      <c r="C31" s="75" t="s">
        <v>161</v>
      </c>
      <c r="D31" s="74"/>
      <c r="E31" s="46"/>
      <c r="F31" s="46"/>
      <c r="L31" s="46"/>
    </row>
    <row r="32" ht="15.75" customHeight="1">
      <c r="A32" s="72" t="s">
        <v>164</v>
      </c>
      <c r="B32" s="73">
        <f>ROUNDUP(1.1*$B$24*B25,1)</f>
        <v>40</v>
      </c>
      <c r="C32" s="75" t="s">
        <v>161</v>
      </c>
      <c r="D32" s="74"/>
      <c r="E32" s="46"/>
      <c r="F32" s="46"/>
      <c r="L32" s="46"/>
    </row>
    <row r="33" ht="15.75" customHeight="1">
      <c r="A33" s="76" t="s">
        <v>165</v>
      </c>
      <c r="B33" s="77">
        <f>ROUNDUP(B25*$B$24*16.5,0)</f>
        <v>599</v>
      </c>
      <c r="C33" s="75" t="s">
        <v>166</v>
      </c>
      <c r="D33" s="78"/>
      <c r="E33" s="79"/>
      <c r="F33" s="46"/>
      <c r="G33" s="46"/>
      <c r="H33" s="46"/>
      <c r="I33" s="46"/>
      <c r="J33" s="46"/>
      <c r="K33" s="46"/>
      <c r="L33" s="46"/>
    </row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0.1" defaultRowHeight="15.0"/>
  <cols>
    <col customWidth="1" min="1" max="1" width="13.0"/>
    <col customWidth="1" min="2" max="2" width="42.1"/>
    <col customWidth="1" min="3" max="3" width="25.6"/>
    <col customWidth="1" min="4" max="4" width="21.3"/>
    <col customWidth="1" min="5" max="5" width="28.1"/>
    <col customWidth="1" min="6" max="6" width="19.6"/>
    <col customWidth="1" min="7" max="7" width="13.4"/>
    <col customWidth="1" min="8" max="8" width="44.7"/>
    <col customWidth="1" min="9" max="9" width="30.9"/>
    <col customWidth="1" min="10" max="10" width="116.1"/>
    <col customWidth="1" min="11" max="11" width="20.6"/>
    <col customWidth="1" min="12" max="12" width="21.9"/>
    <col customWidth="1" min="13" max="13" width="10.6"/>
  </cols>
  <sheetData>
    <row r="1" ht="15.75" customHeight="1">
      <c r="A1" s="80" t="s">
        <v>167</v>
      </c>
      <c r="B1" s="80" t="s">
        <v>168</v>
      </c>
      <c r="C1" s="80" t="s">
        <v>169</v>
      </c>
      <c r="D1" s="80" t="s">
        <v>170</v>
      </c>
      <c r="E1" s="80" t="s">
        <v>171</v>
      </c>
      <c r="F1" s="80" t="s">
        <v>172</v>
      </c>
      <c r="G1" s="80" t="s">
        <v>173</v>
      </c>
      <c r="H1" s="80" t="s">
        <v>174</v>
      </c>
      <c r="I1" s="80" t="s">
        <v>175</v>
      </c>
      <c r="J1" s="80" t="s">
        <v>176</v>
      </c>
      <c r="K1" s="81" t="s">
        <v>177</v>
      </c>
      <c r="L1" s="80" t="s">
        <v>178</v>
      </c>
      <c r="M1" s="80"/>
    </row>
    <row r="2" ht="15.75" customHeight="1">
      <c r="A2" s="82" t="s">
        <v>179</v>
      </c>
      <c r="B2" s="82" t="s">
        <v>54</v>
      </c>
      <c r="C2" s="82" t="s">
        <v>180</v>
      </c>
      <c r="D2" s="82" t="s">
        <v>24</v>
      </c>
      <c r="E2" s="82" t="s">
        <v>24</v>
      </c>
      <c r="F2" s="82" t="s">
        <v>33</v>
      </c>
      <c r="G2" s="82" t="s">
        <v>26</v>
      </c>
      <c r="H2" s="82" t="s">
        <v>16</v>
      </c>
      <c r="I2" s="82" t="s">
        <v>19</v>
      </c>
      <c r="J2" s="82" t="s">
        <v>181</v>
      </c>
      <c r="K2" s="83">
        <v>2.0</v>
      </c>
      <c r="L2" s="82" t="s">
        <v>182</v>
      </c>
      <c r="M2" s="82"/>
    </row>
    <row r="3" ht="15.75" customHeight="1">
      <c r="A3" s="82" t="s">
        <v>8</v>
      </c>
      <c r="B3" s="82" t="s">
        <v>183</v>
      </c>
      <c r="C3" s="82" t="s">
        <v>184</v>
      </c>
      <c r="D3" s="82" t="s">
        <v>185</v>
      </c>
      <c r="E3" s="82" t="s">
        <v>42</v>
      </c>
      <c r="F3" s="82" t="s">
        <v>40</v>
      </c>
      <c r="G3" s="82" t="s">
        <v>47</v>
      </c>
      <c r="H3" s="82" t="s">
        <v>186</v>
      </c>
      <c r="I3" s="82" t="s">
        <v>187</v>
      </c>
      <c r="J3" s="82" t="s">
        <v>188</v>
      </c>
      <c r="K3" s="84">
        <v>1.2</v>
      </c>
      <c r="L3" s="82" t="s">
        <v>189</v>
      </c>
      <c r="M3" s="82"/>
    </row>
    <row r="4" ht="15.75" customHeight="1">
      <c r="A4" s="82" t="s">
        <v>190</v>
      </c>
      <c r="B4" s="82" t="s">
        <v>191</v>
      </c>
      <c r="C4" s="82" t="s">
        <v>192</v>
      </c>
      <c r="D4" s="82" t="s">
        <v>30</v>
      </c>
      <c r="E4" s="82" t="s">
        <v>193</v>
      </c>
      <c r="F4" s="82" t="s">
        <v>194</v>
      </c>
      <c r="G4" s="82" t="s">
        <v>49</v>
      </c>
      <c r="H4" s="85" t="s">
        <v>195</v>
      </c>
      <c r="I4" s="82" t="s">
        <v>196</v>
      </c>
      <c r="J4" s="82" t="s">
        <v>197</v>
      </c>
      <c r="K4" s="84"/>
      <c r="L4" s="82" t="s">
        <v>198</v>
      </c>
      <c r="M4" s="82"/>
    </row>
    <row r="5" ht="15.75" customHeight="1">
      <c r="A5" s="82" t="s">
        <v>194</v>
      </c>
      <c r="B5" s="82" t="s">
        <v>199</v>
      </c>
      <c r="C5" s="82" t="s">
        <v>194</v>
      </c>
      <c r="D5" s="82" t="s">
        <v>200</v>
      </c>
      <c r="E5" s="82" t="s">
        <v>201</v>
      </c>
      <c r="G5" s="82" t="s">
        <v>51</v>
      </c>
      <c r="H5" s="62" t="s">
        <v>202</v>
      </c>
      <c r="I5" s="82" t="s">
        <v>194</v>
      </c>
      <c r="J5" s="82" t="s">
        <v>203</v>
      </c>
      <c r="K5" s="84"/>
      <c r="L5" s="82" t="s">
        <v>204</v>
      </c>
      <c r="M5" s="82"/>
    </row>
    <row r="6" ht="15.75" customHeight="1">
      <c r="A6" s="82"/>
      <c r="B6" s="82" t="s">
        <v>205</v>
      </c>
      <c r="D6" s="82" t="s">
        <v>194</v>
      </c>
      <c r="E6" s="82" t="s">
        <v>206</v>
      </c>
      <c r="F6" s="82"/>
      <c r="G6" s="82" t="s">
        <v>53</v>
      </c>
      <c r="H6" s="85" t="s">
        <v>195</v>
      </c>
      <c r="J6" s="82" t="s">
        <v>207</v>
      </c>
      <c r="K6" s="84"/>
      <c r="L6" s="82" t="s">
        <v>208</v>
      </c>
      <c r="M6" s="82"/>
    </row>
    <row r="7" ht="15.75" customHeight="1">
      <c r="A7" s="82"/>
      <c r="B7" s="82" t="s">
        <v>209</v>
      </c>
      <c r="C7" s="82"/>
      <c r="D7" s="82"/>
      <c r="E7" s="82" t="s">
        <v>210</v>
      </c>
      <c r="F7" s="82"/>
      <c r="G7" s="82" t="s">
        <v>211</v>
      </c>
      <c r="H7" s="82" t="s">
        <v>194</v>
      </c>
      <c r="I7" s="82"/>
      <c r="J7" s="85" t="s">
        <v>195</v>
      </c>
      <c r="K7" s="84"/>
      <c r="L7" s="82" t="s">
        <v>194</v>
      </c>
      <c r="M7" s="82"/>
    </row>
    <row r="8" ht="15.75" customHeight="1">
      <c r="A8" s="82"/>
      <c r="B8" s="82" t="s">
        <v>28</v>
      </c>
      <c r="C8" s="82"/>
      <c r="D8" s="82"/>
      <c r="E8" s="82" t="s">
        <v>212</v>
      </c>
      <c r="F8" s="82"/>
      <c r="G8" s="82" t="s">
        <v>213</v>
      </c>
      <c r="H8" s="82"/>
      <c r="I8" s="82"/>
      <c r="J8" s="82" t="s">
        <v>214</v>
      </c>
      <c r="K8" s="84"/>
    </row>
    <row r="9" ht="15.75" customHeight="1">
      <c r="A9" s="82"/>
      <c r="B9" s="82" t="s">
        <v>52</v>
      </c>
      <c r="C9" s="82"/>
      <c r="D9" s="82"/>
      <c r="E9" s="82" t="s">
        <v>48</v>
      </c>
      <c r="F9" s="82"/>
      <c r="G9" s="82" t="s">
        <v>215</v>
      </c>
      <c r="H9" s="82"/>
      <c r="I9" s="82"/>
      <c r="J9" s="82" t="s">
        <v>216</v>
      </c>
      <c r="K9" s="84"/>
    </row>
    <row r="10" ht="15.75" customHeight="1">
      <c r="A10" s="82"/>
      <c r="B10" s="82" t="s">
        <v>217</v>
      </c>
      <c r="C10" s="82"/>
      <c r="D10" s="82"/>
      <c r="E10" s="82" t="s">
        <v>194</v>
      </c>
      <c r="F10" s="82"/>
      <c r="G10" s="82"/>
      <c r="H10" s="82"/>
      <c r="I10" s="82"/>
      <c r="J10" s="82" t="s">
        <v>218</v>
      </c>
      <c r="K10" s="84"/>
    </row>
    <row r="11" ht="15.75" customHeight="1">
      <c r="A11" s="82"/>
      <c r="B11" s="82" t="s">
        <v>219</v>
      </c>
      <c r="C11" s="82"/>
      <c r="D11" s="82"/>
      <c r="E11" s="82"/>
      <c r="F11" s="82"/>
      <c r="G11" s="82"/>
      <c r="H11" s="82"/>
      <c r="I11" s="82"/>
      <c r="J11" s="82" t="s">
        <v>220</v>
      </c>
      <c r="K11" s="84"/>
    </row>
    <row r="12" ht="15.75" customHeight="1">
      <c r="A12" s="82"/>
      <c r="B12" s="82" t="s">
        <v>221</v>
      </c>
      <c r="C12" s="82"/>
      <c r="D12" s="82"/>
      <c r="E12" s="82"/>
      <c r="F12" s="82"/>
      <c r="G12" s="82"/>
      <c r="H12" s="82"/>
      <c r="I12" s="82"/>
      <c r="J12" s="82" t="s">
        <v>222</v>
      </c>
      <c r="K12" s="84"/>
    </row>
    <row r="13" ht="15.75" customHeight="1">
      <c r="A13" s="82"/>
      <c r="B13" s="82" t="s">
        <v>223</v>
      </c>
      <c r="C13" s="82"/>
      <c r="D13" s="82"/>
      <c r="E13" s="82"/>
      <c r="F13" s="82"/>
      <c r="G13" s="82"/>
      <c r="H13" s="82"/>
      <c r="I13" s="82"/>
      <c r="J13" s="82" t="s">
        <v>224</v>
      </c>
      <c r="K13" s="84"/>
    </row>
    <row r="14" ht="15.75" customHeight="1">
      <c r="A14" s="82"/>
      <c r="B14" s="82" t="s">
        <v>225</v>
      </c>
      <c r="C14" s="82"/>
      <c r="D14" s="82"/>
      <c r="E14" s="82"/>
      <c r="F14" s="82"/>
      <c r="G14" s="82"/>
      <c r="H14" s="82"/>
      <c r="I14" s="82"/>
      <c r="J14" s="82" t="s">
        <v>226</v>
      </c>
      <c r="K14" s="84"/>
    </row>
    <row r="15" ht="15.75" customHeight="1">
      <c r="A15" s="82"/>
      <c r="B15" s="82" t="s">
        <v>227</v>
      </c>
      <c r="C15" s="82"/>
      <c r="D15" s="82"/>
      <c r="E15" s="82"/>
      <c r="F15" s="82"/>
      <c r="G15" s="82"/>
      <c r="H15" s="82"/>
      <c r="I15" s="82"/>
      <c r="J15" s="82" t="s">
        <v>228</v>
      </c>
      <c r="K15" s="84"/>
    </row>
    <row r="16" ht="15.75" customHeight="1">
      <c r="A16" s="82"/>
      <c r="B16" s="82" t="s">
        <v>229</v>
      </c>
      <c r="C16" s="82"/>
      <c r="D16" s="82"/>
      <c r="E16" s="82"/>
      <c r="F16" s="82"/>
      <c r="G16" s="82"/>
      <c r="H16" s="82"/>
      <c r="I16" s="82"/>
      <c r="J16" s="85" t="s">
        <v>195</v>
      </c>
      <c r="K16" s="84"/>
    </row>
    <row r="17" ht="15.75" customHeight="1">
      <c r="A17" s="82"/>
      <c r="B17" s="82" t="s">
        <v>48</v>
      </c>
      <c r="C17" s="82"/>
      <c r="D17" s="82"/>
      <c r="E17" s="82"/>
      <c r="F17" s="82"/>
      <c r="G17" s="82"/>
      <c r="H17" s="82"/>
      <c r="I17" s="82"/>
      <c r="J17" s="62" t="s">
        <v>230</v>
      </c>
      <c r="K17" s="84"/>
    </row>
    <row r="18" ht="15.75" customHeight="1">
      <c r="A18" s="82"/>
      <c r="B18" s="82" t="s">
        <v>50</v>
      </c>
      <c r="C18" s="82"/>
      <c r="D18" s="82"/>
      <c r="E18" s="82"/>
      <c r="F18" s="82"/>
      <c r="G18" s="82"/>
      <c r="H18" s="82"/>
      <c r="I18" s="82"/>
      <c r="J18" s="62" t="s">
        <v>21</v>
      </c>
      <c r="K18" s="84"/>
    </row>
    <row r="19" ht="15.75" customHeight="1">
      <c r="A19" s="82"/>
      <c r="B19" s="82" t="s">
        <v>194</v>
      </c>
      <c r="C19" s="82"/>
      <c r="D19" s="82"/>
      <c r="E19" s="82"/>
      <c r="F19" s="82"/>
      <c r="G19" s="82"/>
      <c r="H19" s="82"/>
      <c r="I19" s="82"/>
      <c r="J19" s="85" t="s">
        <v>195</v>
      </c>
      <c r="K19" s="84"/>
    </row>
    <row r="20" ht="15.75" customHeight="1">
      <c r="A20" s="82"/>
      <c r="C20" s="82"/>
      <c r="D20" s="82"/>
      <c r="E20" s="82"/>
      <c r="F20" s="82"/>
      <c r="G20" s="82"/>
      <c r="H20" s="82"/>
      <c r="I20" s="82"/>
      <c r="J20" s="82" t="s">
        <v>231</v>
      </c>
      <c r="K20" s="84"/>
    </row>
    <row r="21" ht="15.75" customHeight="1">
      <c r="A21" s="82"/>
      <c r="C21" s="82"/>
      <c r="D21" s="82"/>
      <c r="E21" s="82"/>
      <c r="F21" s="82"/>
      <c r="G21" s="82"/>
      <c r="H21" s="82"/>
      <c r="I21" s="82"/>
      <c r="K21" s="84"/>
    </row>
    <row r="22" ht="15.75" customHeight="1">
      <c r="A22" s="82"/>
      <c r="C22" s="82"/>
      <c r="D22" s="82"/>
      <c r="E22" s="82"/>
      <c r="F22" s="82"/>
      <c r="G22" s="82"/>
      <c r="H22" s="82"/>
      <c r="I22" s="82"/>
      <c r="K22" s="84"/>
    </row>
    <row r="23" ht="15.75" customHeight="1">
      <c r="A23" s="82"/>
      <c r="C23" s="82"/>
      <c r="D23" s="82"/>
      <c r="E23" s="82"/>
      <c r="F23" s="82"/>
      <c r="G23" s="82"/>
      <c r="H23" s="82"/>
      <c r="I23" s="82"/>
      <c r="K23" s="84"/>
    </row>
    <row r="24" ht="15.75" customHeight="1">
      <c r="A24" s="82"/>
      <c r="B24" s="86"/>
      <c r="C24" s="82"/>
      <c r="D24" s="82"/>
      <c r="E24" s="82"/>
      <c r="F24" s="82"/>
      <c r="G24" s="82"/>
      <c r="H24" s="82"/>
      <c r="I24" s="82"/>
      <c r="J24" s="82"/>
      <c r="K24" s="84"/>
    </row>
    <row r="25" ht="15.75" customHeight="1">
      <c r="A25" s="82"/>
      <c r="B25" s="86"/>
      <c r="C25" s="82"/>
      <c r="D25" s="82"/>
      <c r="E25" s="82"/>
      <c r="F25" s="82"/>
      <c r="G25" s="82"/>
      <c r="H25" s="82"/>
      <c r="I25" s="82"/>
      <c r="J25" s="82"/>
      <c r="K25" s="84"/>
    </row>
    <row r="26" ht="15.75" customHeight="1">
      <c r="B26" s="86"/>
      <c r="H26" s="82"/>
      <c r="J26" s="82"/>
      <c r="K26" s="84"/>
    </row>
    <row r="27" ht="15.75" customHeight="1">
      <c r="B27" s="86"/>
      <c r="J27" s="82"/>
      <c r="K27" s="84"/>
    </row>
    <row r="28" ht="15.75" customHeight="1">
      <c r="B28" s="86"/>
      <c r="K28" s="84"/>
    </row>
    <row r="29" ht="15.75" customHeight="1">
      <c r="K29" s="84"/>
    </row>
    <row r="30" ht="15.75" customHeight="1">
      <c r="K30" s="84"/>
    </row>
    <row r="31" ht="15.75" customHeight="1">
      <c r="K31" s="84"/>
    </row>
    <row r="32" ht="15.75" customHeight="1">
      <c r="K32" s="84"/>
    </row>
    <row r="33" ht="15.75" customHeight="1">
      <c r="K33" s="84"/>
    </row>
    <row r="34" ht="15.75" customHeight="1">
      <c r="K34" s="84"/>
    </row>
    <row r="35" ht="15.75" customHeight="1">
      <c r="K35" s="84"/>
    </row>
    <row r="36" ht="15.75" customHeight="1">
      <c r="K36" s="84"/>
    </row>
    <row r="37" ht="15.75" customHeight="1">
      <c r="K37" s="84"/>
    </row>
    <row r="38" ht="15.75" customHeight="1">
      <c r="K38" s="84"/>
    </row>
    <row r="39" ht="15.75" customHeight="1">
      <c r="K39" s="84"/>
    </row>
    <row r="40" ht="15.75" customHeight="1">
      <c r="K40" s="84"/>
    </row>
    <row r="41" ht="15.75" customHeight="1">
      <c r="K41" s="84"/>
    </row>
    <row r="42" ht="15.75" customHeight="1">
      <c r="K42" s="84"/>
    </row>
    <row r="43" ht="15.75" customHeight="1">
      <c r="K43" s="84"/>
    </row>
    <row r="44" ht="15.75" customHeight="1">
      <c r="K44" s="84"/>
    </row>
    <row r="45" ht="15.75" customHeight="1">
      <c r="K45" s="84"/>
    </row>
    <row r="46" ht="15.75" customHeight="1">
      <c r="K46" s="84"/>
    </row>
    <row r="47" ht="15.75" customHeight="1">
      <c r="K47" s="84"/>
    </row>
    <row r="48" ht="15.75" customHeight="1">
      <c r="K48" s="84"/>
    </row>
    <row r="49" ht="15.75" customHeight="1">
      <c r="K49" s="84"/>
    </row>
    <row r="50" ht="15.75" customHeight="1">
      <c r="K50" s="84"/>
    </row>
    <row r="51" ht="15.75" customHeight="1">
      <c r="K51" s="84"/>
    </row>
    <row r="52" ht="15.75" customHeight="1">
      <c r="K52" s="84"/>
    </row>
    <row r="53" ht="15.75" customHeight="1">
      <c r="K53" s="84"/>
    </row>
    <row r="54" ht="15.75" customHeight="1">
      <c r="K54" s="84"/>
    </row>
    <row r="55" ht="15.75" customHeight="1">
      <c r="K55" s="84"/>
    </row>
    <row r="56" ht="15.75" customHeight="1">
      <c r="K56" s="84"/>
    </row>
    <row r="57" ht="15.75" customHeight="1">
      <c r="K57" s="84"/>
    </row>
    <row r="58" ht="15.75" customHeight="1">
      <c r="K58" s="84"/>
    </row>
    <row r="59" ht="15.75" customHeight="1">
      <c r="K59" s="84"/>
    </row>
    <row r="60" ht="15.75" customHeight="1">
      <c r="K60" s="84"/>
    </row>
    <row r="61" ht="15.75" customHeight="1">
      <c r="K61" s="84"/>
    </row>
    <row r="62" ht="15.75" customHeight="1">
      <c r="K62" s="84"/>
    </row>
    <row r="63" ht="15.75" customHeight="1">
      <c r="K63" s="84"/>
    </row>
    <row r="64" ht="15.75" customHeight="1">
      <c r="K64" s="84"/>
    </row>
    <row r="65" ht="15.75" customHeight="1">
      <c r="K65" s="84"/>
    </row>
    <row r="66" ht="15.75" customHeight="1">
      <c r="K66" s="84"/>
    </row>
    <row r="67" ht="15.75" customHeight="1">
      <c r="K67" s="84"/>
    </row>
    <row r="68" ht="15.75" customHeight="1">
      <c r="K68" s="84"/>
    </row>
    <row r="69" ht="15.75" customHeight="1">
      <c r="K69" s="84"/>
    </row>
    <row r="70" ht="15.75" customHeight="1">
      <c r="K70" s="84"/>
    </row>
    <row r="71" ht="15.75" customHeight="1">
      <c r="K71" s="84"/>
    </row>
    <row r="72" ht="15.75" customHeight="1">
      <c r="K72" s="84"/>
    </row>
    <row r="73" ht="15.75" customHeight="1">
      <c r="K73" s="84"/>
    </row>
    <row r="74" ht="15.75" customHeight="1">
      <c r="K74" s="84"/>
    </row>
    <row r="75" ht="15.75" customHeight="1">
      <c r="K75" s="84"/>
    </row>
    <row r="76" ht="15.75" customHeight="1">
      <c r="K76" s="84"/>
    </row>
    <row r="77" ht="15.75" customHeight="1">
      <c r="K77" s="84"/>
    </row>
    <row r="78" ht="15.75" customHeight="1">
      <c r="K78" s="84"/>
    </row>
    <row r="79" ht="15.75" customHeight="1">
      <c r="K79" s="84"/>
    </row>
    <row r="80" ht="15.75" customHeight="1">
      <c r="K80" s="84"/>
    </row>
    <row r="81" ht="15.75" customHeight="1">
      <c r="K81" s="84"/>
    </row>
    <row r="82" ht="15.75" customHeight="1">
      <c r="K82" s="84"/>
    </row>
    <row r="83" ht="15.75" customHeight="1">
      <c r="K83" s="84"/>
    </row>
    <row r="84" ht="15.75" customHeight="1">
      <c r="K84" s="84"/>
    </row>
    <row r="85" ht="15.75" customHeight="1">
      <c r="K85" s="84"/>
    </row>
    <row r="86" ht="15.75" customHeight="1">
      <c r="K86" s="84"/>
    </row>
    <row r="87" ht="15.75" customHeight="1">
      <c r="K87" s="84"/>
    </row>
    <row r="88" ht="15.75" customHeight="1">
      <c r="K88" s="84"/>
    </row>
    <row r="89" ht="15.75" customHeight="1">
      <c r="K89" s="84"/>
    </row>
    <row r="90" ht="15.75" customHeight="1">
      <c r="K90" s="84"/>
    </row>
    <row r="91" ht="15.75" customHeight="1">
      <c r="K91" s="84"/>
    </row>
    <row r="92" ht="15.75" customHeight="1">
      <c r="K92" s="84"/>
    </row>
    <row r="93" ht="15.75" customHeight="1">
      <c r="K93" s="84"/>
    </row>
    <row r="94" ht="15.75" customHeight="1">
      <c r="K94" s="84"/>
    </row>
    <row r="95" ht="15.75" customHeight="1">
      <c r="K95" s="84"/>
    </row>
    <row r="96" ht="15.75" customHeight="1">
      <c r="K96" s="84"/>
    </row>
    <row r="97" ht="15.75" customHeight="1">
      <c r="K97" s="84"/>
    </row>
    <row r="98" ht="15.75" customHeight="1">
      <c r="K98" s="84"/>
    </row>
    <row r="99" ht="15.75" customHeight="1">
      <c r="K99" s="84"/>
    </row>
    <row r="100" ht="15.75" customHeight="1">
      <c r="K100" s="84"/>
    </row>
    <row r="101" ht="15.75" customHeight="1">
      <c r="K101" s="84"/>
    </row>
    <row r="102" ht="15.75" customHeight="1">
      <c r="K102" s="84"/>
    </row>
    <row r="103" ht="15.75" customHeight="1">
      <c r="K103" s="84"/>
    </row>
    <row r="104" ht="15.75" customHeight="1">
      <c r="K104" s="84"/>
    </row>
    <row r="105" ht="15.75" customHeight="1">
      <c r="K105" s="84"/>
    </row>
    <row r="106" ht="15.75" customHeight="1">
      <c r="K106" s="84"/>
    </row>
    <row r="107" ht="15.75" customHeight="1">
      <c r="K107" s="84"/>
    </row>
    <row r="108" ht="15.75" customHeight="1">
      <c r="K108" s="84"/>
    </row>
    <row r="109" ht="15.75" customHeight="1">
      <c r="K109" s="84"/>
    </row>
    <row r="110" ht="15.75" customHeight="1">
      <c r="K110" s="84"/>
    </row>
    <row r="111" ht="15.75" customHeight="1">
      <c r="K111" s="84"/>
    </row>
    <row r="112" ht="15.75" customHeight="1">
      <c r="K112" s="84"/>
    </row>
    <row r="113" ht="15.75" customHeight="1">
      <c r="K113" s="84"/>
    </row>
    <row r="114" ht="15.75" customHeight="1">
      <c r="K114" s="84"/>
    </row>
    <row r="115" ht="15.75" customHeight="1">
      <c r="K115" s="84"/>
    </row>
    <row r="116" ht="15.75" customHeight="1">
      <c r="K116" s="84"/>
    </row>
    <row r="117" ht="15.75" customHeight="1">
      <c r="K117" s="84"/>
    </row>
    <row r="118" ht="15.75" customHeight="1">
      <c r="K118" s="84"/>
    </row>
    <row r="119" ht="15.75" customHeight="1">
      <c r="K119" s="84"/>
    </row>
    <row r="120" ht="15.75" customHeight="1">
      <c r="K120" s="84"/>
    </row>
    <row r="121" ht="15.75" customHeight="1">
      <c r="K121" s="84"/>
    </row>
    <row r="122" ht="15.75" customHeight="1">
      <c r="K122" s="84"/>
    </row>
    <row r="123" ht="15.75" customHeight="1">
      <c r="K123" s="84"/>
    </row>
    <row r="124" ht="15.75" customHeight="1">
      <c r="K124" s="84"/>
    </row>
    <row r="125" ht="15.75" customHeight="1">
      <c r="K125" s="84"/>
    </row>
    <row r="126" ht="15.75" customHeight="1">
      <c r="K126" s="84"/>
    </row>
    <row r="127" ht="15.75" customHeight="1">
      <c r="K127" s="84"/>
    </row>
    <row r="128" ht="15.75" customHeight="1">
      <c r="K128" s="84"/>
    </row>
    <row r="129" ht="15.75" customHeight="1">
      <c r="K129" s="84"/>
    </row>
    <row r="130" ht="15.75" customHeight="1">
      <c r="K130" s="84"/>
    </row>
    <row r="131" ht="15.75" customHeight="1">
      <c r="K131" s="84"/>
    </row>
    <row r="132" ht="15.75" customHeight="1">
      <c r="K132" s="84"/>
    </row>
    <row r="133" ht="15.75" customHeight="1">
      <c r="K133" s="84"/>
    </row>
    <row r="134" ht="15.75" customHeight="1">
      <c r="K134" s="84"/>
    </row>
    <row r="135" ht="15.75" customHeight="1">
      <c r="K135" s="84"/>
    </row>
    <row r="136" ht="15.75" customHeight="1">
      <c r="K136" s="84"/>
    </row>
    <row r="137" ht="15.75" customHeight="1">
      <c r="K137" s="84"/>
    </row>
    <row r="138" ht="15.75" customHeight="1">
      <c r="K138" s="84"/>
    </row>
    <row r="139" ht="15.75" customHeight="1">
      <c r="K139" s="84"/>
    </row>
    <row r="140" ht="15.75" customHeight="1">
      <c r="K140" s="84"/>
    </row>
    <row r="141" ht="15.75" customHeight="1">
      <c r="K141" s="84"/>
    </row>
    <row r="142" ht="15.75" customHeight="1">
      <c r="K142" s="84"/>
    </row>
    <row r="143" ht="15.75" customHeight="1">
      <c r="K143" s="84"/>
    </row>
    <row r="144" ht="15.75" customHeight="1">
      <c r="K144" s="84"/>
    </row>
    <row r="145" ht="15.75" customHeight="1">
      <c r="K145" s="84"/>
    </row>
    <row r="146" ht="15.75" customHeight="1">
      <c r="K146" s="84"/>
    </row>
    <row r="147" ht="15.75" customHeight="1">
      <c r="K147" s="84"/>
    </row>
    <row r="148" ht="15.75" customHeight="1">
      <c r="K148" s="84"/>
    </row>
    <row r="149" ht="15.75" customHeight="1">
      <c r="K149" s="84"/>
    </row>
    <row r="150" ht="15.75" customHeight="1">
      <c r="K150" s="84"/>
    </row>
    <row r="151" ht="15.75" customHeight="1">
      <c r="K151" s="84"/>
    </row>
    <row r="152" ht="15.75" customHeight="1">
      <c r="K152" s="84"/>
    </row>
    <row r="153" ht="15.75" customHeight="1">
      <c r="K153" s="84"/>
    </row>
    <row r="154" ht="15.75" customHeight="1">
      <c r="K154" s="84"/>
    </row>
    <row r="155" ht="15.75" customHeight="1">
      <c r="K155" s="84"/>
    </row>
    <row r="156" ht="15.75" customHeight="1">
      <c r="K156" s="84"/>
    </row>
    <row r="157" ht="15.75" customHeight="1">
      <c r="K157" s="84"/>
    </row>
    <row r="158" ht="15.75" customHeight="1">
      <c r="K158" s="84"/>
    </row>
    <row r="159" ht="15.75" customHeight="1">
      <c r="K159" s="84"/>
    </row>
    <row r="160" ht="15.75" customHeight="1">
      <c r="K160" s="84"/>
    </row>
    <row r="161" ht="15.75" customHeight="1">
      <c r="K161" s="84"/>
    </row>
    <row r="162" ht="15.75" customHeight="1">
      <c r="K162" s="84"/>
    </row>
    <row r="163" ht="15.75" customHeight="1">
      <c r="K163" s="84"/>
    </row>
    <row r="164" ht="15.75" customHeight="1">
      <c r="K164" s="84"/>
    </row>
    <row r="165" ht="15.75" customHeight="1">
      <c r="K165" s="84"/>
    </row>
    <row r="166" ht="15.75" customHeight="1">
      <c r="K166" s="84"/>
    </row>
    <row r="167" ht="15.75" customHeight="1">
      <c r="K167" s="84"/>
    </row>
    <row r="168" ht="15.75" customHeight="1">
      <c r="K168" s="84"/>
    </row>
    <row r="169" ht="15.75" customHeight="1">
      <c r="K169" s="84"/>
    </row>
    <row r="170" ht="15.75" customHeight="1">
      <c r="K170" s="84"/>
    </row>
    <row r="171" ht="15.75" customHeight="1">
      <c r="K171" s="84"/>
    </row>
    <row r="172" ht="15.75" customHeight="1">
      <c r="K172" s="84"/>
    </row>
    <row r="173" ht="15.75" customHeight="1">
      <c r="K173" s="84"/>
    </row>
    <row r="174" ht="15.75" customHeight="1">
      <c r="K174" s="84"/>
    </row>
    <row r="175" ht="15.75" customHeight="1">
      <c r="K175" s="84"/>
    </row>
    <row r="176" ht="15.75" customHeight="1">
      <c r="K176" s="84"/>
    </row>
    <row r="177" ht="15.75" customHeight="1">
      <c r="K177" s="84"/>
    </row>
    <row r="178" ht="15.75" customHeight="1">
      <c r="K178" s="84"/>
    </row>
    <row r="179" ht="15.75" customHeight="1">
      <c r="K179" s="84"/>
    </row>
    <row r="180" ht="15.75" customHeight="1">
      <c r="K180" s="84"/>
    </row>
    <row r="181" ht="15.75" customHeight="1">
      <c r="K181" s="84"/>
    </row>
    <row r="182" ht="15.75" customHeight="1">
      <c r="K182" s="84"/>
    </row>
    <row r="183" ht="15.75" customHeight="1">
      <c r="K183" s="84"/>
    </row>
    <row r="184" ht="15.75" customHeight="1">
      <c r="K184" s="84"/>
    </row>
    <row r="185" ht="15.75" customHeight="1">
      <c r="K185" s="84"/>
    </row>
    <row r="186" ht="15.75" customHeight="1">
      <c r="K186" s="84"/>
    </row>
    <row r="187" ht="15.75" customHeight="1">
      <c r="K187" s="84"/>
    </row>
    <row r="188" ht="15.75" customHeight="1">
      <c r="K188" s="84"/>
    </row>
    <row r="189" ht="15.75" customHeight="1">
      <c r="K189" s="84"/>
    </row>
    <row r="190" ht="15.75" customHeight="1">
      <c r="K190" s="84"/>
    </row>
    <row r="191" ht="15.75" customHeight="1">
      <c r="K191" s="84"/>
    </row>
    <row r="192" ht="15.75" customHeight="1">
      <c r="K192" s="84"/>
    </row>
    <row r="193" ht="15.75" customHeight="1">
      <c r="K193" s="84"/>
    </row>
    <row r="194" ht="15.75" customHeight="1">
      <c r="K194" s="84"/>
    </row>
    <row r="195" ht="15.75" customHeight="1">
      <c r="K195" s="84"/>
    </row>
    <row r="196" ht="15.75" customHeight="1">
      <c r="K196" s="84"/>
    </row>
    <row r="197" ht="15.75" customHeight="1">
      <c r="K197" s="84"/>
    </row>
    <row r="198" ht="15.75" customHeight="1">
      <c r="K198" s="84"/>
    </row>
    <row r="199" ht="15.75" customHeight="1">
      <c r="K199" s="84"/>
    </row>
    <row r="200" ht="15.75" customHeight="1">
      <c r="K200" s="84"/>
    </row>
    <row r="201" ht="15.75" customHeight="1">
      <c r="K201" s="84"/>
    </row>
    <row r="202" ht="15.75" customHeight="1">
      <c r="K202" s="84"/>
    </row>
    <row r="203" ht="15.75" customHeight="1">
      <c r="K203" s="84"/>
    </row>
    <row r="204" ht="15.75" customHeight="1">
      <c r="K204" s="84"/>
    </row>
    <row r="205" ht="15.75" customHeight="1">
      <c r="K205" s="84"/>
    </row>
    <row r="206" ht="15.75" customHeight="1">
      <c r="K206" s="84"/>
    </row>
    <row r="207" ht="15.75" customHeight="1">
      <c r="K207" s="84"/>
    </row>
    <row r="208" ht="15.75" customHeight="1">
      <c r="K208" s="84"/>
    </row>
    <row r="209" ht="15.75" customHeight="1">
      <c r="K209" s="84"/>
    </row>
    <row r="210" ht="15.75" customHeight="1">
      <c r="K210" s="84"/>
    </row>
    <row r="211" ht="15.75" customHeight="1">
      <c r="K211" s="84"/>
    </row>
    <row r="212" ht="15.75" customHeight="1">
      <c r="K212" s="84"/>
    </row>
    <row r="213" ht="15.75" customHeight="1">
      <c r="K213" s="84"/>
    </row>
    <row r="214" ht="15.75" customHeight="1">
      <c r="K214" s="84"/>
    </row>
    <row r="215" ht="15.75" customHeight="1">
      <c r="K215" s="84"/>
    </row>
    <row r="216" ht="15.75" customHeight="1">
      <c r="K216" s="84"/>
    </row>
    <row r="217" ht="15.75" customHeight="1">
      <c r="K217" s="84"/>
    </row>
    <row r="218" ht="15.75" customHeight="1">
      <c r="K218" s="84"/>
    </row>
    <row r="219" ht="15.75" customHeight="1">
      <c r="K219" s="84"/>
    </row>
    <row r="220" ht="15.75" customHeight="1">
      <c r="K220" s="84"/>
    </row>
    <row r="221" ht="15.75" customHeight="1">
      <c r="K221" s="84"/>
    </row>
    <row r="222" ht="15.75" customHeight="1">
      <c r="K222" s="84"/>
    </row>
    <row r="223" ht="15.75" customHeight="1">
      <c r="K223" s="84"/>
    </row>
    <row r="224" ht="15.75" customHeight="1">
      <c r="K224" s="84"/>
    </row>
    <row r="225" ht="15.75" customHeight="1">
      <c r="K225" s="84"/>
    </row>
    <row r="226" ht="15.75" customHeight="1">
      <c r="K226" s="84"/>
    </row>
    <row r="227" ht="15.75" customHeight="1">
      <c r="K227" s="84"/>
    </row>
    <row r="228" ht="15.75" customHeight="1">
      <c r="K228" s="84"/>
    </row>
    <row r="229" ht="15.75" customHeight="1">
      <c r="K229" s="84"/>
    </row>
    <row r="230" ht="15.75" customHeight="1">
      <c r="K230" s="84"/>
    </row>
    <row r="231" ht="15.75" customHeight="1">
      <c r="K231" s="84"/>
    </row>
    <row r="232" ht="15.75" customHeight="1">
      <c r="K232" s="84"/>
    </row>
    <row r="233" ht="15.75" customHeight="1">
      <c r="K233" s="84"/>
    </row>
    <row r="234" ht="15.75" customHeight="1">
      <c r="K234" s="84"/>
    </row>
    <row r="235" ht="15.75" customHeight="1">
      <c r="K235" s="84"/>
    </row>
    <row r="236" ht="15.75" customHeight="1">
      <c r="K236" s="84"/>
    </row>
    <row r="237" ht="15.75" customHeight="1">
      <c r="K237" s="84"/>
    </row>
    <row r="238" ht="15.75" customHeight="1">
      <c r="K238" s="84"/>
    </row>
    <row r="239" ht="15.75" customHeight="1">
      <c r="K239" s="84"/>
    </row>
    <row r="240" ht="15.75" customHeight="1">
      <c r="K240" s="84"/>
    </row>
    <row r="241" ht="15.75" customHeight="1">
      <c r="K241" s="84"/>
    </row>
    <row r="242" ht="15.75" customHeight="1">
      <c r="K242" s="84"/>
    </row>
    <row r="243" ht="15.75" customHeight="1">
      <c r="K243" s="84"/>
    </row>
    <row r="244" ht="15.75" customHeight="1">
      <c r="K244" s="84"/>
    </row>
    <row r="245" ht="15.75" customHeight="1">
      <c r="K245" s="84"/>
    </row>
    <row r="246" ht="15.75" customHeight="1">
      <c r="K246" s="84"/>
    </row>
    <row r="247" ht="15.75" customHeight="1">
      <c r="K247" s="84"/>
    </row>
    <row r="248" ht="15.75" customHeight="1">
      <c r="K248" s="84"/>
    </row>
    <row r="249" ht="15.75" customHeight="1">
      <c r="K249" s="84"/>
    </row>
    <row r="250" ht="15.75" customHeight="1">
      <c r="K250" s="84"/>
    </row>
    <row r="251" ht="15.75" customHeight="1">
      <c r="K251" s="84"/>
    </row>
    <row r="252" ht="15.75" customHeight="1">
      <c r="K252" s="84"/>
    </row>
    <row r="253" ht="15.75" customHeight="1">
      <c r="K253" s="84"/>
    </row>
    <row r="254" ht="15.75" customHeight="1">
      <c r="K254" s="84"/>
    </row>
    <row r="255" ht="15.75" customHeight="1">
      <c r="K255" s="84"/>
    </row>
    <row r="256" ht="15.75" customHeight="1">
      <c r="K256" s="84"/>
    </row>
    <row r="257" ht="15.75" customHeight="1">
      <c r="K257" s="84"/>
    </row>
    <row r="258" ht="15.75" customHeight="1">
      <c r="K258" s="84"/>
    </row>
    <row r="259" ht="15.75" customHeight="1">
      <c r="K259" s="84"/>
    </row>
    <row r="260" ht="15.75" customHeight="1">
      <c r="K260" s="84"/>
    </row>
    <row r="261" ht="15.75" customHeight="1">
      <c r="K261" s="84"/>
    </row>
    <row r="262" ht="15.75" customHeight="1">
      <c r="K262" s="84"/>
    </row>
    <row r="263" ht="15.75" customHeight="1">
      <c r="K263" s="84"/>
    </row>
    <row r="264" ht="15.75" customHeight="1">
      <c r="K264" s="84"/>
    </row>
    <row r="265" ht="15.75" customHeight="1">
      <c r="K265" s="84"/>
    </row>
    <row r="266" ht="15.75" customHeight="1">
      <c r="K266" s="84"/>
    </row>
    <row r="267" ht="15.75" customHeight="1">
      <c r="K267" s="84"/>
    </row>
    <row r="268" ht="15.75" customHeight="1">
      <c r="K268" s="84"/>
    </row>
    <row r="269" ht="15.75" customHeight="1">
      <c r="K269" s="84"/>
    </row>
    <row r="270" ht="15.75" customHeight="1">
      <c r="K270" s="84"/>
    </row>
    <row r="271" ht="15.75" customHeight="1">
      <c r="K271" s="84"/>
    </row>
    <row r="272" ht="15.75" customHeight="1">
      <c r="K272" s="84"/>
    </row>
    <row r="273" ht="15.75" customHeight="1">
      <c r="K273" s="84"/>
    </row>
    <row r="274" ht="15.75" customHeight="1">
      <c r="K274" s="84"/>
    </row>
    <row r="275" ht="15.75" customHeight="1">
      <c r="K275" s="84"/>
    </row>
    <row r="276" ht="15.75" customHeight="1">
      <c r="K276" s="84"/>
    </row>
    <row r="277" ht="15.75" customHeight="1">
      <c r="K277" s="84"/>
    </row>
    <row r="278" ht="15.75" customHeight="1">
      <c r="K278" s="84"/>
    </row>
    <row r="279" ht="15.75" customHeight="1">
      <c r="K279" s="84"/>
    </row>
    <row r="280" ht="15.75" customHeight="1">
      <c r="K280" s="84"/>
    </row>
    <row r="281" ht="15.75" customHeight="1">
      <c r="K281" s="84"/>
    </row>
    <row r="282" ht="15.75" customHeight="1">
      <c r="K282" s="84"/>
    </row>
    <row r="283" ht="15.75" customHeight="1">
      <c r="K283" s="84"/>
    </row>
    <row r="284" ht="15.75" customHeight="1">
      <c r="K284" s="84"/>
    </row>
    <row r="285" ht="15.75" customHeight="1">
      <c r="K285" s="84"/>
    </row>
    <row r="286" ht="15.75" customHeight="1">
      <c r="K286" s="84"/>
    </row>
    <row r="287" ht="15.75" customHeight="1">
      <c r="K287" s="84"/>
    </row>
    <row r="288" ht="15.75" customHeight="1">
      <c r="K288" s="84"/>
    </row>
    <row r="289" ht="15.75" customHeight="1">
      <c r="K289" s="84"/>
    </row>
    <row r="290" ht="15.75" customHeight="1">
      <c r="K290" s="84"/>
    </row>
    <row r="291" ht="15.75" customHeight="1">
      <c r="K291" s="84"/>
    </row>
    <row r="292" ht="15.75" customHeight="1">
      <c r="K292" s="84"/>
    </row>
    <row r="293" ht="15.75" customHeight="1">
      <c r="K293" s="84"/>
    </row>
    <row r="294" ht="15.75" customHeight="1">
      <c r="K294" s="84"/>
    </row>
    <row r="295" ht="15.75" customHeight="1">
      <c r="K295" s="84"/>
    </row>
    <row r="296" ht="15.75" customHeight="1">
      <c r="K296" s="84"/>
    </row>
    <row r="297" ht="15.75" customHeight="1">
      <c r="K297" s="84"/>
    </row>
    <row r="298" ht="15.75" customHeight="1">
      <c r="K298" s="84"/>
    </row>
    <row r="299" ht="15.75" customHeight="1">
      <c r="K299" s="84"/>
    </row>
    <row r="300" ht="15.75" customHeight="1">
      <c r="K300" s="84"/>
    </row>
    <row r="301" ht="15.75" customHeight="1">
      <c r="K301" s="84"/>
    </row>
    <row r="302" ht="15.75" customHeight="1">
      <c r="K302" s="84"/>
    </row>
    <row r="303" ht="15.75" customHeight="1">
      <c r="K303" s="84"/>
    </row>
    <row r="304" ht="15.75" customHeight="1">
      <c r="K304" s="84"/>
    </row>
    <row r="305" ht="15.75" customHeight="1">
      <c r="K305" s="84"/>
    </row>
    <row r="306" ht="15.75" customHeight="1">
      <c r="K306" s="84"/>
    </row>
    <row r="307" ht="15.75" customHeight="1">
      <c r="K307" s="84"/>
    </row>
    <row r="308" ht="15.75" customHeight="1">
      <c r="K308" s="84"/>
    </row>
    <row r="309" ht="15.75" customHeight="1">
      <c r="K309" s="84"/>
    </row>
    <row r="310" ht="15.75" customHeight="1">
      <c r="K310" s="84"/>
    </row>
    <row r="311" ht="15.75" customHeight="1">
      <c r="K311" s="84"/>
    </row>
    <row r="312" ht="15.75" customHeight="1">
      <c r="K312" s="84"/>
    </row>
    <row r="313" ht="15.75" customHeight="1">
      <c r="K313" s="84"/>
    </row>
    <row r="314" ht="15.75" customHeight="1">
      <c r="K314" s="84"/>
    </row>
    <row r="315" ht="15.75" customHeight="1">
      <c r="K315" s="84"/>
    </row>
    <row r="316" ht="15.75" customHeight="1">
      <c r="K316" s="84"/>
    </row>
    <row r="317" ht="15.75" customHeight="1">
      <c r="K317" s="84"/>
    </row>
    <row r="318" ht="15.75" customHeight="1">
      <c r="K318" s="84"/>
    </row>
    <row r="319" ht="15.75" customHeight="1">
      <c r="K319" s="84"/>
    </row>
    <row r="320" ht="15.75" customHeight="1">
      <c r="K320" s="84"/>
    </row>
    <row r="321" ht="15.75" customHeight="1">
      <c r="K321" s="84"/>
    </row>
    <row r="322" ht="15.75" customHeight="1">
      <c r="K322" s="84"/>
    </row>
    <row r="323" ht="15.75" customHeight="1">
      <c r="K323" s="84"/>
    </row>
    <row r="324" ht="15.75" customHeight="1">
      <c r="K324" s="84"/>
    </row>
    <row r="325" ht="15.75" customHeight="1">
      <c r="K325" s="84"/>
    </row>
    <row r="326" ht="15.75" customHeight="1">
      <c r="K326" s="84"/>
    </row>
    <row r="327" ht="15.75" customHeight="1">
      <c r="K327" s="84"/>
    </row>
    <row r="328" ht="15.75" customHeight="1">
      <c r="K328" s="84"/>
    </row>
    <row r="329" ht="15.75" customHeight="1">
      <c r="K329" s="84"/>
    </row>
    <row r="330" ht="15.75" customHeight="1">
      <c r="K330" s="84"/>
    </row>
    <row r="331" ht="15.75" customHeight="1">
      <c r="K331" s="84"/>
    </row>
    <row r="332" ht="15.75" customHeight="1">
      <c r="K332" s="84"/>
    </row>
    <row r="333" ht="15.75" customHeight="1">
      <c r="K333" s="84"/>
    </row>
    <row r="334" ht="15.75" customHeight="1">
      <c r="K334" s="84"/>
    </row>
    <row r="335" ht="15.75" customHeight="1">
      <c r="K335" s="84"/>
    </row>
    <row r="336" ht="15.75" customHeight="1">
      <c r="K336" s="84"/>
    </row>
    <row r="337" ht="15.75" customHeight="1">
      <c r="K337" s="84"/>
    </row>
    <row r="338" ht="15.75" customHeight="1">
      <c r="K338" s="84"/>
    </row>
    <row r="339" ht="15.75" customHeight="1">
      <c r="K339" s="84"/>
    </row>
    <row r="340" ht="15.75" customHeight="1">
      <c r="K340" s="84"/>
    </row>
    <row r="341" ht="15.75" customHeight="1">
      <c r="K341" s="84"/>
    </row>
    <row r="342" ht="15.75" customHeight="1">
      <c r="K342" s="84"/>
    </row>
    <row r="343" ht="15.75" customHeight="1">
      <c r="K343" s="84"/>
    </row>
    <row r="344" ht="15.75" customHeight="1">
      <c r="K344" s="84"/>
    </row>
    <row r="345" ht="15.75" customHeight="1">
      <c r="K345" s="84"/>
    </row>
    <row r="346" ht="15.75" customHeight="1">
      <c r="K346" s="84"/>
    </row>
    <row r="347" ht="15.75" customHeight="1">
      <c r="K347" s="84"/>
    </row>
    <row r="348" ht="15.75" customHeight="1">
      <c r="K348" s="84"/>
    </row>
    <row r="349" ht="15.75" customHeight="1">
      <c r="K349" s="84"/>
    </row>
    <row r="350" ht="15.75" customHeight="1">
      <c r="K350" s="84"/>
    </row>
    <row r="351" ht="15.75" customHeight="1">
      <c r="K351" s="84"/>
    </row>
    <row r="352" ht="15.75" customHeight="1">
      <c r="K352" s="84"/>
    </row>
    <row r="353" ht="15.75" customHeight="1">
      <c r="K353" s="84"/>
    </row>
    <row r="354" ht="15.75" customHeight="1">
      <c r="K354" s="84"/>
    </row>
    <row r="355" ht="15.75" customHeight="1">
      <c r="K355" s="84"/>
    </row>
    <row r="356" ht="15.75" customHeight="1">
      <c r="K356" s="84"/>
    </row>
    <row r="357" ht="15.75" customHeight="1">
      <c r="K357" s="84"/>
    </row>
    <row r="358" ht="15.75" customHeight="1">
      <c r="K358" s="84"/>
    </row>
    <row r="359" ht="15.75" customHeight="1">
      <c r="K359" s="84"/>
    </row>
    <row r="360" ht="15.75" customHeight="1">
      <c r="K360" s="84"/>
    </row>
    <row r="361" ht="15.75" customHeight="1">
      <c r="K361" s="84"/>
    </row>
    <row r="362" ht="15.75" customHeight="1">
      <c r="K362" s="84"/>
    </row>
    <row r="363" ht="15.75" customHeight="1">
      <c r="K363" s="84"/>
    </row>
    <row r="364" ht="15.75" customHeight="1">
      <c r="K364" s="84"/>
    </row>
    <row r="365" ht="15.75" customHeight="1">
      <c r="K365" s="84"/>
    </row>
    <row r="366" ht="15.75" customHeight="1">
      <c r="K366" s="84"/>
    </row>
    <row r="367" ht="15.75" customHeight="1">
      <c r="K367" s="84"/>
    </row>
    <row r="368" ht="15.75" customHeight="1">
      <c r="K368" s="84"/>
    </row>
    <row r="369" ht="15.75" customHeight="1">
      <c r="K369" s="84"/>
    </row>
    <row r="370" ht="15.75" customHeight="1">
      <c r="K370" s="84"/>
    </row>
    <row r="371" ht="15.75" customHeight="1">
      <c r="K371" s="84"/>
    </row>
    <row r="372" ht="15.75" customHeight="1">
      <c r="K372" s="84"/>
    </row>
    <row r="373" ht="15.75" customHeight="1">
      <c r="K373" s="84"/>
    </row>
    <row r="374" ht="15.75" customHeight="1">
      <c r="K374" s="84"/>
    </row>
    <row r="375" ht="15.75" customHeight="1">
      <c r="K375" s="84"/>
    </row>
    <row r="376" ht="15.75" customHeight="1">
      <c r="K376" s="84"/>
    </row>
    <row r="377" ht="15.75" customHeight="1">
      <c r="K377" s="84"/>
    </row>
    <row r="378" ht="15.75" customHeight="1">
      <c r="K378" s="84"/>
    </row>
    <row r="379" ht="15.75" customHeight="1">
      <c r="K379" s="84"/>
    </row>
    <row r="380" ht="15.75" customHeight="1">
      <c r="K380" s="84"/>
    </row>
    <row r="381" ht="15.75" customHeight="1">
      <c r="K381" s="84"/>
    </row>
    <row r="382" ht="15.75" customHeight="1">
      <c r="K382" s="84"/>
    </row>
    <row r="383" ht="15.75" customHeight="1">
      <c r="K383" s="84"/>
    </row>
    <row r="384" ht="15.75" customHeight="1">
      <c r="K384" s="84"/>
    </row>
    <row r="385" ht="15.75" customHeight="1">
      <c r="K385" s="84"/>
    </row>
    <row r="386" ht="15.75" customHeight="1">
      <c r="K386" s="84"/>
    </row>
    <row r="387" ht="15.75" customHeight="1">
      <c r="K387" s="84"/>
    </row>
    <row r="388" ht="15.75" customHeight="1">
      <c r="K388" s="84"/>
    </row>
    <row r="389" ht="15.75" customHeight="1">
      <c r="K389" s="84"/>
    </row>
    <row r="390" ht="15.75" customHeight="1">
      <c r="K390" s="84"/>
    </row>
    <row r="391" ht="15.75" customHeight="1">
      <c r="K391" s="84"/>
    </row>
    <row r="392" ht="15.75" customHeight="1">
      <c r="K392" s="84"/>
    </row>
    <row r="393" ht="15.75" customHeight="1">
      <c r="K393" s="84"/>
    </row>
    <row r="394" ht="15.75" customHeight="1">
      <c r="K394" s="84"/>
    </row>
    <row r="395" ht="15.75" customHeight="1">
      <c r="K395" s="84"/>
    </row>
    <row r="396" ht="15.75" customHeight="1">
      <c r="K396" s="84"/>
    </row>
    <row r="397" ht="15.75" customHeight="1">
      <c r="K397" s="84"/>
    </row>
    <row r="398" ht="15.75" customHeight="1">
      <c r="K398" s="84"/>
    </row>
    <row r="399" ht="15.75" customHeight="1">
      <c r="K399" s="84"/>
    </row>
    <row r="400" ht="15.75" customHeight="1">
      <c r="K400" s="84"/>
    </row>
    <row r="401" ht="15.75" customHeight="1">
      <c r="K401" s="84"/>
    </row>
    <row r="402" ht="15.75" customHeight="1">
      <c r="K402" s="84"/>
    </row>
    <row r="403" ht="15.75" customHeight="1">
      <c r="K403" s="84"/>
    </row>
    <row r="404" ht="15.75" customHeight="1">
      <c r="K404" s="84"/>
    </row>
    <row r="405" ht="15.75" customHeight="1">
      <c r="K405" s="84"/>
    </row>
    <row r="406" ht="15.75" customHeight="1">
      <c r="K406" s="84"/>
    </row>
    <row r="407" ht="15.75" customHeight="1">
      <c r="K407" s="84"/>
    </row>
    <row r="408" ht="15.75" customHeight="1">
      <c r="K408" s="84"/>
    </row>
    <row r="409" ht="15.75" customHeight="1">
      <c r="K409" s="84"/>
    </row>
    <row r="410" ht="15.75" customHeight="1">
      <c r="K410" s="84"/>
    </row>
    <row r="411" ht="15.75" customHeight="1">
      <c r="K411" s="84"/>
    </row>
    <row r="412" ht="15.75" customHeight="1">
      <c r="K412" s="84"/>
    </row>
    <row r="413" ht="15.75" customHeight="1">
      <c r="K413" s="84"/>
    </row>
    <row r="414" ht="15.75" customHeight="1">
      <c r="K414" s="84"/>
    </row>
    <row r="415" ht="15.75" customHeight="1">
      <c r="K415" s="84"/>
    </row>
    <row r="416" ht="15.75" customHeight="1">
      <c r="K416" s="84"/>
    </row>
    <row r="417" ht="15.75" customHeight="1">
      <c r="K417" s="84"/>
    </row>
    <row r="418" ht="15.75" customHeight="1">
      <c r="K418" s="84"/>
    </row>
    <row r="419" ht="15.75" customHeight="1">
      <c r="K419" s="84"/>
    </row>
    <row r="420" ht="15.75" customHeight="1">
      <c r="K420" s="84"/>
    </row>
    <row r="421" ht="15.75" customHeight="1">
      <c r="K421" s="84"/>
    </row>
    <row r="422" ht="15.75" customHeight="1">
      <c r="K422" s="84"/>
    </row>
    <row r="423" ht="15.75" customHeight="1">
      <c r="K423" s="84"/>
    </row>
    <row r="424" ht="15.75" customHeight="1">
      <c r="K424" s="84"/>
    </row>
    <row r="425" ht="15.75" customHeight="1">
      <c r="K425" s="84"/>
    </row>
    <row r="426" ht="15.75" customHeight="1">
      <c r="K426" s="84"/>
    </row>
    <row r="427" ht="15.75" customHeight="1">
      <c r="K427" s="84"/>
    </row>
    <row r="428" ht="15.75" customHeight="1">
      <c r="K428" s="84"/>
    </row>
    <row r="429" ht="15.75" customHeight="1">
      <c r="K429" s="84"/>
    </row>
    <row r="430" ht="15.75" customHeight="1">
      <c r="K430" s="84"/>
    </row>
    <row r="431" ht="15.75" customHeight="1">
      <c r="K431" s="84"/>
    </row>
    <row r="432" ht="15.75" customHeight="1">
      <c r="K432" s="84"/>
    </row>
    <row r="433" ht="15.75" customHeight="1">
      <c r="K433" s="84"/>
    </row>
    <row r="434" ht="15.75" customHeight="1">
      <c r="K434" s="84"/>
    </row>
    <row r="435" ht="15.75" customHeight="1">
      <c r="K435" s="84"/>
    </row>
    <row r="436" ht="15.75" customHeight="1">
      <c r="K436" s="84"/>
    </row>
    <row r="437" ht="15.75" customHeight="1">
      <c r="K437" s="84"/>
    </row>
    <row r="438" ht="15.75" customHeight="1">
      <c r="K438" s="84"/>
    </row>
    <row r="439" ht="15.75" customHeight="1">
      <c r="K439" s="84"/>
    </row>
    <row r="440" ht="15.75" customHeight="1">
      <c r="K440" s="84"/>
    </row>
    <row r="441" ht="15.75" customHeight="1">
      <c r="K441" s="84"/>
    </row>
    <row r="442" ht="15.75" customHeight="1">
      <c r="K442" s="84"/>
    </row>
    <row r="443" ht="15.75" customHeight="1">
      <c r="K443" s="84"/>
    </row>
    <row r="444" ht="15.75" customHeight="1">
      <c r="K444" s="84"/>
    </row>
    <row r="445" ht="15.75" customHeight="1">
      <c r="K445" s="84"/>
    </row>
    <row r="446" ht="15.75" customHeight="1">
      <c r="K446" s="84"/>
    </row>
    <row r="447" ht="15.75" customHeight="1">
      <c r="K447" s="84"/>
    </row>
    <row r="448" ht="15.75" customHeight="1">
      <c r="K448" s="84"/>
    </row>
    <row r="449" ht="15.75" customHeight="1">
      <c r="K449" s="84"/>
    </row>
    <row r="450" ht="15.75" customHeight="1">
      <c r="K450" s="84"/>
    </row>
    <row r="451" ht="15.75" customHeight="1">
      <c r="K451" s="84"/>
    </row>
    <row r="452" ht="15.75" customHeight="1">
      <c r="K452" s="84"/>
    </row>
    <row r="453" ht="15.75" customHeight="1">
      <c r="K453" s="84"/>
    </row>
    <row r="454" ht="15.75" customHeight="1">
      <c r="K454" s="84"/>
    </row>
    <row r="455" ht="15.75" customHeight="1">
      <c r="K455" s="84"/>
    </row>
    <row r="456" ht="15.75" customHeight="1">
      <c r="K456" s="84"/>
    </row>
    <row r="457" ht="15.75" customHeight="1">
      <c r="K457" s="84"/>
    </row>
    <row r="458" ht="15.75" customHeight="1">
      <c r="K458" s="84"/>
    </row>
    <row r="459" ht="15.75" customHeight="1">
      <c r="K459" s="84"/>
    </row>
    <row r="460" ht="15.75" customHeight="1">
      <c r="K460" s="84"/>
    </row>
    <row r="461" ht="15.75" customHeight="1">
      <c r="K461" s="84"/>
    </row>
    <row r="462" ht="15.75" customHeight="1">
      <c r="K462" s="84"/>
    </row>
    <row r="463" ht="15.75" customHeight="1">
      <c r="K463" s="84"/>
    </row>
    <row r="464" ht="15.75" customHeight="1">
      <c r="K464" s="84"/>
    </row>
    <row r="465" ht="15.75" customHeight="1">
      <c r="K465" s="84"/>
    </row>
    <row r="466" ht="15.75" customHeight="1">
      <c r="K466" s="84"/>
    </row>
    <row r="467" ht="15.75" customHeight="1">
      <c r="K467" s="84"/>
    </row>
    <row r="468" ht="15.75" customHeight="1">
      <c r="K468" s="84"/>
    </row>
    <row r="469" ht="15.75" customHeight="1">
      <c r="K469" s="84"/>
    </row>
    <row r="470" ht="15.75" customHeight="1">
      <c r="K470" s="84"/>
    </row>
    <row r="471" ht="15.75" customHeight="1">
      <c r="K471" s="84"/>
    </row>
    <row r="472" ht="15.75" customHeight="1">
      <c r="K472" s="84"/>
    </row>
    <row r="473" ht="15.75" customHeight="1">
      <c r="K473" s="84"/>
    </row>
    <row r="474" ht="15.75" customHeight="1">
      <c r="K474" s="84"/>
    </row>
    <row r="475" ht="15.75" customHeight="1">
      <c r="K475" s="84"/>
    </row>
    <row r="476" ht="15.75" customHeight="1">
      <c r="K476" s="84"/>
    </row>
    <row r="477" ht="15.75" customHeight="1">
      <c r="K477" s="84"/>
    </row>
    <row r="478" ht="15.75" customHeight="1">
      <c r="K478" s="84"/>
    </row>
    <row r="479" ht="15.75" customHeight="1">
      <c r="K479" s="84"/>
    </row>
    <row r="480" ht="15.75" customHeight="1">
      <c r="K480" s="84"/>
    </row>
    <row r="481" ht="15.75" customHeight="1">
      <c r="K481" s="84"/>
    </row>
    <row r="482" ht="15.75" customHeight="1">
      <c r="K482" s="84"/>
    </row>
    <row r="483" ht="15.75" customHeight="1">
      <c r="K483" s="84"/>
    </row>
    <row r="484" ht="15.75" customHeight="1">
      <c r="K484" s="84"/>
    </row>
    <row r="485" ht="15.75" customHeight="1">
      <c r="K485" s="84"/>
    </row>
    <row r="486" ht="15.75" customHeight="1">
      <c r="K486" s="84"/>
    </row>
    <row r="487" ht="15.75" customHeight="1">
      <c r="K487" s="84"/>
    </row>
    <row r="488" ht="15.75" customHeight="1">
      <c r="K488" s="84"/>
    </row>
    <row r="489" ht="15.75" customHeight="1">
      <c r="K489" s="84"/>
    </row>
    <row r="490" ht="15.75" customHeight="1">
      <c r="K490" s="84"/>
    </row>
    <row r="491" ht="15.75" customHeight="1">
      <c r="K491" s="84"/>
    </row>
    <row r="492" ht="15.75" customHeight="1">
      <c r="K492" s="84"/>
    </row>
    <row r="493" ht="15.75" customHeight="1">
      <c r="K493" s="84"/>
    </row>
    <row r="494" ht="15.75" customHeight="1">
      <c r="K494" s="84"/>
    </row>
    <row r="495" ht="15.75" customHeight="1">
      <c r="K495" s="84"/>
    </row>
    <row r="496" ht="15.75" customHeight="1">
      <c r="K496" s="84"/>
    </row>
    <row r="497" ht="15.75" customHeight="1">
      <c r="K497" s="84"/>
    </row>
    <row r="498" ht="15.75" customHeight="1">
      <c r="K498" s="84"/>
    </row>
    <row r="499" ht="15.75" customHeight="1">
      <c r="K499" s="84"/>
    </row>
    <row r="500" ht="15.75" customHeight="1">
      <c r="K500" s="84"/>
    </row>
    <row r="501" ht="15.75" customHeight="1">
      <c r="K501" s="84"/>
    </row>
    <row r="502" ht="15.75" customHeight="1">
      <c r="K502" s="84"/>
    </row>
    <row r="503" ht="15.75" customHeight="1">
      <c r="K503" s="84"/>
    </row>
    <row r="504" ht="15.75" customHeight="1">
      <c r="K504" s="84"/>
    </row>
    <row r="505" ht="15.75" customHeight="1">
      <c r="K505" s="84"/>
    </row>
    <row r="506" ht="15.75" customHeight="1">
      <c r="K506" s="84"/>
    </row>
    <row r="507" ht="15.75" customHeight="1">
      <c r="K507" s="84"/>
    </row>
    <row r="508" ht="15.75" customHeight="1">
      <c r="K508" s="84"/>
    </row>
    <row r="509" ht="15.75" customHeight="1">
      <c r="K509" s="84"/>
    </row>
    <row r="510" ht="15.75" customHeight="1">
      <c r="K510" s="84"/>
    </row>
    <row r="511" ht="15.75" customHeight="1">
      <c r="K511" s="84"/>
    </row>
    <row r="512" ht="15.75" customHeight="1">
      <c r="K512" s="84"/>
    </row>
    <row r="513" ht="15.75" customHeight="1">
      <c r="K513" s="84"/>
    </row>
    <row r="514" ht="15.75" customHeight="1">
      <c r="K514" s="84"/>
    </row>
    <row r="515" ht="15.75" customHeight="1">
      <c r="K515" s="84"/>
    </row>
    <row r="516" ht="15.75" customHeight="1">
      <c r="K516" s="84"/>
    </row>
    <row r="517" ht="15.75" customHeight="1">
      <c r="K517" s="84"/>
    </row>
    <row r="518" ht="15.75" customHeight="1">
      <c r="K518" s="84"/>
    </row>
    <row r="519" ht="15.75" customHeight="1">
      <c r="K519" s="84"/>
    </row>
    <row r="520" ht="15.75" customHeight="1">
      <c r="K520" s="84"/>
    </row>
    <row r="521" ht="15.75" customHeight="1">
      <c r="K521" s="84"/>
    </row>
    <row r="522" ht="15.75" customHeight="1">
      <c r="K522" s="84"/>
    </row>
    <row r="523" ht="15.75" customHeight="1">
      <c r="K523" s="84"/>
    </row>
    <row r="524" ht="15.75" customHeight="1">
      <c r="K524" s="84"/>
    </row>
    <row r="525" ht="15.75" customHeight="1">
      <c r="K525" s="84"/>
    </row>
    <row r="526" ht="15.75" customHeight="1">
      <c r="K526" s="84"/>
    </row>
    <row r="527" ht="15.75" customHeight="1">
      <c r="K527" s="84"/>
    </row>
    <row r="528" ht="15.75" customHeight="1">
      <c r="K528" s="84"/>
    </row>
    <row r="529" ht="15.75" customHeight="1">
      <c r="K529" s="84"/>
    </row>
    <row r="530" ht="15.75" customHeight="1">
      <c r="K530" s="84"/>
    </row>
    <row r="531" ht="15.75" customHeight="1">
      <c r="K531" s="84"/>
    </row>
    <row r="532" ht="15.75" customHeight="1">
      <c r="K532" s="84"/>
    </row>
    <row r="533" ht="15.75" customHeight="1">
      <c r="K533" s="84"/>
    </row>
    <row r="534" ht="15.75" customHeight="1">
      <c r="K534" s="84"/>
    </row>
    <row r="535" ht="15.75" customHeight="1">
      <c r="K535" s="84"/>
    </row>
    <row r="536" ht="15.75" customHeight="1">
      <c r="K536" s="84"/>
    </row>
    <row r="537" ht="15.75" customHeight="1">
      <c r="K537" s="84"/>
    </row>
    <row r="538" ht="15.75" customHeight="1">
      <c r="K538" s="84"/>
    </row>
    <row r="539" ht="15.75" customHeight="1">
      <c r="K539" s="84"/>
    </row>
    <row r="540" ht="15.75" customHeight="1">
      <c r="K540" s="84"/>
    </row>
    <row r="541" ht="15.75" customHeight="1">
      <c r="K541" s="84"/>
    </row>
    <row r="542" ht="15.75" customHeight="1">
      <c r="K542" s="84"/>
    </row>
    <row r="543" ht="15.75" customHeight="1">
      <c r="K543" s="84"/>
    </row>
    <row r="544" ht="15.75" customHeight="1">
      <c r="K544" s="84"/>
    </row>
    <row r="545" ht="15.75" customHeight="1">
      <c r="K545" s="84"/>
    </row>
    <row r="546" ht="15.75" customHeight="1">
      <c r="K546" s="84"/>
    </row>
    <row r="547" ht="15.75" customHeight="1">
      <c r="K547" s="84"/>
    </row>
    <row r="548" ht="15.75" customHeight="1">
      <c r="K548" s="84"/>
    </row>
    <row r="549" ht="15.75" customHeight="1">
      <c r="K549" s="84"/>
    </row>
    <row r="550" ht="15.75" customHeight="1">
      <c r="K550" s="84"/>
    </row>
    <row r="551" ht="15.75" customHeight="1">
      <c r="K551" s="84"/>
    </row>
    <row r="552" ht="15.75" customHeight="1">
      <c r="K552" s="84"/>
    </row>
    <row r="553" ht="15.75" customHeight="1">
      <c r="K553" s="84"/>
    </row>
    <row r="554" ht="15.75" customHeight="1">
      <c r="K554" s="84"/>
    </row>
    <row r="555" ht="15.75" customHeight="1">
      <c r="K555" s="84"/>
    </row>
    <row r="556" ht="15.75" customHeight="1">
      <c r="K556" s="84"/>
    </row>
    <row r="557" ht="15.75" customHeight="1">
      <c r="K557" s="84"/>
    </row>
    <row r="558" ht="15.75" customHeight="1">
      <c r="K558" s="84"/>
    </row>
    <row r="559" ht="15.75" customHeight="1">
      <c r="K559" s="84"/>
    </row>
    <row r="560" ht="15.75" customHeight="1">
      <c r="K560" s="84"/>
    </row>
    <row r="561" ht="15.75" customHeight="1">
      <c r="K561" s="84"/>
    </row>
    <row r="562" ht="15.75" customHeight="1">
      <c r="K562" s="84"/>
    </row>
    <row r="563" ht="15.75" customHeight="1">
      <c r="K563" s="84"/>
    </row>
    <row r="564" ht="15.75" customHeight="1">
      <c r="K564" s="84"/>
    </row>
    <row r="565" ht="15.75" customHeight="1">
      <c r="K565" s="84"/>
    </row>
    <row r="566" ht="15.75" customHeight="1">
      <c r="K566" s="84"/>
    </row>
    <row r="567" ht="15.75" customHeight="1">
      <c r="K567" s="84"/>
    </row>
    <row r="568" ht="15.75" customHeight="1">
      <c r="K568" s="84"/>
    </row>
    <row r="569" ht="15.75" customHeight="1">
      <c r="K569" s="84"/>
    </row>
    <row r="570" ht="15.75" customHeight="1">
      <c r="K570" s="84"/>
    </row>
    <row r="571" ht="15.75" customHeight="1">
      <c r="K571" s="84"/>
    </row>
    <row r="572" ht="15.75" customHeight="1">
      <c r="K572" s="84"/>
    </row>
    <row r="573" ht="15.75" customHeight="1">
      <c r="K573" s="84"/>
    </row>
    <row r="574" ht="15.75" customHeight="1">
      <c r="K574" s="84"/>
    </row>
    <row r="575" ht="15.75" customHeight="1">
      <c r="K575" s="84"/>
    </row>
    <row r="576" ht="15.75" customHeight="1">
      <c r="K576" s="84"/>
    </row>
    <row r="577" ht="15.75" customHeight="1">
      <c r="K577" s="84"/>
    </row>
    <row r="578" ht="15.75" customHeight="1">
      <c r="K578" s="84"/>
    </row>
    <row r="579" ht="15.75" customHeight="1">
      <c r="K579" s="84"/>
    </row>
    <row r="580" ht="15.75" customHeight="1">
      <c r="K580" s="84"/>
    </row>
    <row r="581" ht="15.75" customHeight="1">
      <c r="K581" s="84"/>
    </row>
    <row r="582" ht="15.75" customHeight="1">
      <c r="K582" s="84"/>
    </row>
    <row r="583" ht="15.75" customHeight="1">
      <c r="K583" s="84"/>
    </row>
    <row r="584" ht="15.75" customHeight="1">
      <c r="K584" s="84"/>
    </row>
    <row r="585" ht="15.75" customHeight="1">
      <c r="K585" s="84"/>
    </row>
    <row r="586" ht="15.75" customHeight="1">
      <c r="K586" s="84"/>
    </row>
    <row r="587" ht="15.75" customHeight="1">
      <c r="K587" s="84"/>
    </row>
    <row r="588" ht="15.75" customHeight="1">
      <c r="K588" s="84"/>
    </row>
    <row r="589" ht="15.75" customHeight="1">
      <c r="K589" s="84"/>
    </row>
    <row r="590" ht="15.75" customHeight="1">
      <c r="K590" s="84"/>
    </row>
    <row r="591" ht="15.75" customHeight="1">
      <c r="K591" s="84"/>
    </row>
    <row r="592" ht="15.75" customHeight="1">
      <c r="K592" s="84"/>
    </row>
    <row r="593" ht="15.75" customHeight="1">
      <c r="K593" s="84"/>
    </row>
    <row r="594" ht="15.75" customHeight="1">
      <c r="K594" s="84"/>
    </row>
    <row r="595" ht="15.75" customHeight="1">
      <c r="K595" s="84"/>
    </row>
    <row r="596" ht="15.75" customHeight="1">
      <c r="K596" s="84"/>
    </row>
    <row r="597" ht="15.75" customHeight="1">
      <c r="K597" s="84"/>
    </row>
    <row r="598" ht="15.75" customHeight="1">
      <c r="K598" s="84"/>
    </row>
    <row r="599" ht="15.75" customHeight="1">
      <c r="K599" s="84"/>
    </row>
    <row r="600" ht="15.75" customHeight="1">
      <c r="K600" s="84"/>
    </row>
    <row r="601" ht="15.75" customHeight="1">
      <c r="K601" s="84"/>
    </row>
    <row r="602" ht="15.75" customHeight="1">
      <c r="K602" s="84"/>
    </row>
    <row r="603" ht="15.75" customHeight="1">
      <c r="K603" s="84"/>
    </row>
    <row r="604" ht="15.75" customHeight="1">
      <c r="K604" s="84"/>
    </row>
    <row r="605" ht="15.75" customHeight="1">
      <c r="K605" s="84"/>
    </row>
    <row r="606" ht="15.75" customHeight="1">
      <c r="K606" s="84"/>
    </row>
    <row r="607" ht="15.75" customHeight="1">
      <c r="K607" s="84"/>
    </row>
    <row r="608" ht="15.75" customHeight="1">
      <c r="K608" s="84"/>
    </row>
    <row r="609" ht="15.75" customHeight="1">
      <c r="K609" s="84"/>
    </row>
    <row r="610" ht="15.75" customHeight="1">
      <c r="K610" s="84"/>
    </row>
    <row r="611" ht="15.75" customHeight="1">
      <c r="K611" s="84"/>
    </row>
    <row r="612" ht="15.75" customHeight="1">
      <c r="K612" s="84"/>
    </row>
    <row r="613" ht="15.75" customHeight="1">
      <c r="K613" s="84"/>
    </row>
    <row r="614" ht="15.75" customHeight="1">
      <c r="K614" s="84"/>
    </row>
    <row r="615" ht="15.75" customHeight="1">
      <c r="K615" s="84"/>
    </row>
    <row r="616" ht="15.75" customHeight="1">
      <c r="K616" s="84"/>
    </row>
    <row r="617" ht="15.75" customHeight="1">
      <c r="K617" s="84"/>
    </row>
    <row r="618" ht="15.75" customHeight="1">
      <c r="K618" s="84"/>
    </row>
    <row r="619" ht="15.75" customHeight="1">
      <c r="K619" s="84"/>
    </row>
    <row r="620" ht="15.75" customHeight="1">
      <c r="K620" s="84"/>
    </row>
    <row r="621" ht="15.75" customHeight="1">
      <c r="K621" s="84"/>
    </row>
    <row r="622" ht="15.75" customHeight="1">
      <c r="K622" s="84"/>
    </row>
    <row r="623" ht="15.75" customHeight="1">
      <c r="K623" s="84"/>
    </row>
    <row r="624" ht="15.75" customHeight="1">
      <c r="K624" s="84"/>
    </row>
    <row r="625" ht="15.75" customHeight="1">
      <c r="K625" s="84"/>
    </row>
    <row r="626" ht="15.75" customHeight="1">
      <c r="K626" s="84"/>
    </row>
    <row r="627" ht="15.75" customHeight="1">
      <c r="K627" s="84"/>
    </row>
    <row r="628" ht="15.75" customHeight="1">
      <c r="K628" s="84"/>
    </row>
    <row r="629" ht="15.75" customHeight="1">
      <c r="K629" s="84"/>
    </row>
    <row r="630" ht="15.75" customHeight="1">
      <c r="K630" s="84"/>
    </row>
    <row r="631" ht="15.75" customHeight="1">
      <c r="K631" s="84"/>
    </row>
    <row r="632" ht="15.75" customHeight="1">
      <c r="K632" s="84"/>
    </row>
    <row r="633" ht="15.75" customHeight="1">
      <c r="K633" s="84"/>
    </row>
    <row r="634" ht="15.75" customHeight="1">
      <c r="K634" s="84"/>
    </row>
    <row r="635" ht="15.75" customHeight="1">
      <c r="K635" s="84"/>
    </row>
    <row r="636" ht="15.75" customHeight="1">
      <c r="K636" s="84"/>
    </row>
    <row r="637" ht="15.75" customHeight="1">
      <c r="K637" s="84"/>
    </row>
    <row r="638" ht="15.75" customHeight="1">
      <c r="K638" s="84"/>
    </row>
    <row r="639" ht="15.75" customHeight="1">
      <c r="K639" s="84"/>
    </row>
    <row r="640" ht="15.75" customHeight="1">
      <c r="K640" s="84"/>
    </row>
    <row r="641" ht="15.75" customHeight="1">
      <c r="K641" s="84"/>
    </row>
    <row r="642" ht="15.75" customHeight="1">
      <c r="K642" s="84"/>
    </row>
    <row r="643" ht="15.75" customHeight="1">
      <c r="K643" s="84"/>
    </row>
    <row r="644" ht="15.75" customHeight="1">
      <c r="K644" s="84"/>
    </row>
    <row r="645" ht="15.75" customHeight="1">
      <c r="K645" s="84"/>
    </row>
    <row r="646" ht="15.75" customHeight="1">
      <c r="K646" s="84"/>
    </row>
    <row r="647" ht="15.75" customHeight="1">
      <c r="K647" s="84"/>
    </row>
    <row r="648" ht="15.75" customHeight="1">
      <c r="K648" s="84"/>
    </row>
    <row r="649" ht="15.75" customHeight="1">
      <c r="K649" s="84"/>
    </row>
    <row r="650" ht="15.75" customHeight="1">
      <c r="K650" s="84"/>
    </row>
    <row r="651" ht="15.75" customHeight="1">
      <c r="K651" s="84"/>
    </row>
    <row r="652" ht="15.75" customHeight="1">
      <c r="K652" s="84"/>
    </row>
    <row r="653" ht="15.75" customHeight="1">
      <c r="K653" s="84"/>
    </row>
    <row r="654" ht="15.75" customHeight="1">
      <c r="K654" s="84"/>
    </row>
    <row r="655" ht="15.75" customHeight="1">
      <c r="K655" s="84"/>
    </row>
    <row r="656" ht="15.75" customHeight="1">
      <c r="K656" s="84"/>
    </row>
    <row r="657" ht="15.75" customHeight="1">
      <c r="K657" s="84"/>
    </row>
    <row r="658" ht="15.75" customHeight="1">
      <c r="K658" s="84"/>
    </row>
    <row r="659" ht="15.75" customHeight="1">
      <c r="K659" s="84"/>
    </row>
    <row r="660" ht="15.75" customHeight="1">
      <c r="K660" s="84"/>
    </row>
    <row r="661" ht="15.75" customHeight="1">
      <c r="K661" s="84"/>
    </row>
    <row r="662" ht="15.75" customHeight="1">
      <c r="K662" s="84"/>
    </row>
    <row r="663" ht="15.75" customHeight="1">
      <c r="K663" s="84"/>
    </row>
    <row r="664" ht="15.75" customHeight="1">
      <c r="K664" s="84"/>
    </row>
    <row r="665" ht="15.75" customHeight="1">
      <c r="K665" s="84"/>
    </row>
    <row r="666" ht="15.75" customHeight="1">
      <c r="K666" s="84"/>
    </row>
    <row r="667" ht="15.75" customHeight="1">
      <c r="K667" s="84"/>
    </row>
    <row r="668" ht="15.75" customHeight="1">
      <c r="K668" s="84"/>
    </row>
    <row r="669" ht="15.75" customHeight="1">
      <c r="K669" s="84"/>
    </row>
    <row r="670" ht="15.75" customHeight="1">
      <c r="K670" s="84"/>
    </row>
    <row r="671" ht="15.75" customHeight="1">
      <c r="K671" s="84"/>
    </row>
    <row r="672" ht="15.75" customHeight="1">
      <c r="K672" s="84"/>
    </row>
    <row r="673" ht="15.75" customHeight="1">
      <c r="K673" s="84"/>
    </row>
    <row r="674" ht="15.75" customHeight="1">
      <c r="K674" s="84"/>
    </row>
    <row r="675" ht="15.75" customHeight="1">
      <c r="K675" s="84"/>
    </row>
    <row r="676" ht="15.75" customHeight="1">
      <c r="K676" s="84"/>
    </row>
    <row r="677" ht="15.75" customHeight="1">
      <c r="K677" s="84"/>
    </row>
    <row r="678" ht="15.75" customHeight="1">
      <c r="K678" s="84"/>
    </row>
    <row r="679" ht="15.75" customHeight="1">
      <c r="K679" s="84"/>
    </row>
    <row r="680" ht="15.75" customHeight="1">
      <c r="K680" s="84"/>
    </row>
    <row r="681" ht="15.75" customHeight="1">
      <c r="K681" s="84"/>
    </row>
    <row r="682" ht="15.75" customHeight="1">
      <c r="K682" s="84"/>
    </row>
    <row r="683" ht="15.75" customHeight="1">
      <c r="K683" s="84"/>
    </row>
    <row r="684" ht="15.75" customHeight="1">
      <c r="K684" s="84"/>
    </row>
    <row r="685" ht="15.75" customHeight="1">
      <c r="K685" s="84"/>
    </row>
    <row r="686" ht="15.75" customHeight="1">
      <c r="K686" s="84"/>
    </row>
    <row r="687" ht="15.75" customHeight="1">
      <c r="K687" s="84"/>
    </row>
    <row r="688" ht="15.75" customHeight="1">
      <c r="K688" s="84"/>
    </row>
    <row r="689" ht="15.75" customHeight="1">
      <c r="K689" s="84"/>
    </row>
    <row r="690" ht="15.75" customHeight="1">
      <c r="K690" s="84"/>
    </row>
    <row r="691" ht="15.75" customHeight="1">
      <c r="K691" s="84"/>
    </row>
    <row r="692" ht="15.75" customHeight="1">
      <c r="K692" s="84"/>
    </row>
    <row r="693" ht="15.75" customHeight="1">
      <c r="K693" s="84"/>
    </row>
    <row r="694" ht="15.75" customHeight="1">
      <c r="K694" s="84"/>
    </row>
    <row r="695" ht="15.75" customHeight="1">
      <c r="K695" s="84"/>
    </row>
    <row r="696" ht="15.75" customHeight="1">
      <c r="K696" s="84"/>
    </row>
    <row r="697" ht="15.75" customHeight="1">
      <c r="K697" s="84"/>
    </row>
    <row r="698" ht="15.75" customHeight="1">
      <c r="K698" s="84"/>
    </row>
    <row r="699" ht="15.75" customHeight="1">
      <c r="K699" s="84"/>
    </row>
    <row r="700" ht="15.75" customHeight="1">
      <c r="K700" s="84"/>
    </row>
    <row r="701" ht="15.75" customHeight="1">
      <c r="K701" s="84"/>
    </row>
    <row r="702" ht="15.75" customHeight="1">
      <c r="K702" s="84"/>
    </row>
    <row r="703" ht="15.75" customHeight="1">
      <c r="K703" s="84"/>
    </row>
    <row r="704" ht="15.75" customHeight="1">
      <c r="K704" s="84"/>
    </row>
    <row r="705" ht="15.75" customHeight="1">
      <c r="K705" s="84"/>
    </row>
    <row r="706" ht="15.75" customHeight="1">
      <c r="K706" s="84"/>
    </row>
    <row r="707" ht="15.75" customHeight="1">
      <c r="K707" s="84"/>
    </row>
    <row r="708" ht="15.75" customHeight="1">
      <c r="K708" s="84"/>
    </row>
    <row r="709" ht="15.75" customHeight="1">
      <c r="K709" s="84"/>
    </row>
    <row r="710" ht="15.75" customHeight="1">
      <c r="K710" s="84"/>
    </row>
    <row r="711" ht="15.75" customHeight="1">
      <c r="K711" s="84"/>
    </row>
    <row r="712" ht="15.75" customHeight="1">
      <c r="K712" s="84"/>
    </row>
    <row r="713" ht="15.75" customHeight="1">
      <c r="K713" s="84"/>
    </row>
    <row r="714" ht="15.75" customHeight="1">
      <c r="K714" s="84"/>
    </row>
    <row r="715" ht="15.75" customHeight="1">
      <c r="K715" s="84"/>
    </row>
    <row r="716" ht="15.75" customHeight="1">
      <c r="K716" s="84"/>
    </row>
    <row r="717" ht="15.75" customHeight="1">
      <c r="K717" s="84"/>
    </row>
    <row r="718" ht="15.75" customHeight="1">
      <c r="K718" s="84"/>
    </row>
    <row r="719" ht="15.75" customHeight="1">
      <c r="K719" s="84"/>
    </row>
    <row r="720" ht="15.75" customHeight="1">
      <c r="K720" s="84"/>
    </row>
    <row r="721" ht="15.75" customHeight="1">
      <c r="K721" s="84"/>
    </row>
    <row r="722" ht="15.75" customHeight="1">
      <c r="K722" s="84"/>
    </row>
    <row r="723" ht="15.75" customHeight="1">
      <c r="K723" s="84"/>
    </row>
    <row r="724" ht="15.75" customHeight="1">
      <c r="K724" s="84"/>
    </row>
    <row r="725" ht="15.75" customHeight="1">
      <c r="K725" s="84"/>
    </row>
    <row r="726" ht="15.75" customHeight="1">
      <c r="K726" s="84"/>
    </row>
    <row r="727" ht="15.75" customHeight="1">
      <c r="K727" s="84"/>
    </row>
    <row r="728" ht="15.75" customHeight="1">
      <c r="K728" s="84"/>
    </row>
    <row r="729" ht="15.75" customHeight="1">
      <c r="K729" s="84"/>
    </row>
    <row r="730" ht="15.75" customHeight="1">
      <c r="K730" s="84"/>
    </row>
    <row r="731" ht="15.75" customHeight="1">
      <c r="K731" s="84"/>
    </row>
    <row r="732" ht="15.75" customHeight="1">
      <c r="K732" s="84"/>
    </row>
    <row r="733" ht="15.75" customHeight="1">
      <c r="K733" s="84"/>
    </row>
    <row r="734" ht="15.75" customHeight="1">
      <c r="K734" s="84"/>
    </row>
    <row r="735" ht="15.75" customHeight="1">
      <c r="K735" s="84"/>
    </row>
    <row r="736" ht="15.75" customHeight="1">
      <c r="K736" s="84"/>
    </row>
    <row r="737" ht="15.75" customHeight="1">
      <c r="K737" s="84"/>
    </row>
    <row r="738" ht="15.75" customHeight="1">
      <c r="K738" s="84"/>
    </row>
    <row r="739" ht="15.75" customHeight="1">
      <c r="K739" s="84"/>
    </row>
    <row r="740" ht="15.75" customHeight="1">
      <c r="K740" s="84"/>
    </row>
    <row r="741" ht="15.75" customHeight="1">
      <c r="K741" s="84"/>
    </row>
    <row r="742" ht="15.75" customHeight="1">
      <c r="K742" s="84"/>
    </row>
    <row r="743" ht="15.75" customHeight="1">
      <c r="K743" s="84"/>
    </row>
    <row r="744" ht="15.75" customHeight="1">
      <c r="K744" s="84"/>
    </row>
    <row r="745" ht="15.75" customHeight="1">
      <c r="K745" s="84"/>
    </row>
    <row r="746" ht="15.75" customHeight="1">
      <c r="K746" s="84"/>
    </row>
    <row r="747" ht="15.75" customHeight="1">
      <c r="K747" s="84"/>
    </row>
    <row r="748" ht="15.75" customHeight="1">
      <c r="K748" s="84"/>
    </row>
    <row r="749" ht="15.75" customHeight="1">
      <c r="K749" s="84"/>
    </row>
    <row r="750" ht="15.75" customHeight="1">
      <c r="K750" s="84"/>
    </row>
    <row r="751" ht="15.75" customHeight="1">
      <c r="K751" s="84"/>
    </row>
    <row r="752" ht="15.75" customHeight="1">
      <c r="K752" s="84"/>
    </row>
    <row r="753" ht="15.75" customHeight="1">
      <c r="K753" s="84"/>
    </row>
    <row r="754" ht="15.75" customHeight="1">
      <c r="K754" s="84"/>
    </row>
    <row r="755" ht="15.75" customHeight="1">
      <c r="K755" s="84"/>
    </row>
    <row r="756" ht="15.75" customHeight="1">
      <c r="K756" s="84"/>
    </row>
    <row r="757" ht="15.75" customHeight="1">
      <c r="K757" s="84"/>
    </row>
    <row r="758" ht="15.75" customHeight="1">
      <c r="K758" s="84"/>
    </row>
    <row r="759" ht="15.75" customHeight="1">
      <c r="K759" s="84"/>
    </row>
    <row r="760" ht="15.75" customHeight="1">
      <c r="K760" s="84"/>
    </row>
    <row r="761" ht="15.75" customHeight="1">
      <c r="K761" s="84"/>
    </row>
    <row r="762" ht="15.75" customHeight="1">
      <c r="K762" s="84"/>
    </row>
    <row r="763" ht="15.75" customHeight="1">
      <c r="K763" s="84"/>
    </row>
    <row r="764" ht="15.75" customHeight="1">
      <c r="K764" s="84"/>
    </row>
    <row r="765" ht="15.75" customHeight="1">
      <c r="K765" s="84"/>
    </row>
    <row r="766" ht="15.75" customHeight="1">
      <c r="K766" s="84"/>
    </row>
    <row r="767" ht="15.75" customHeight="1">
      <c r="K767" s="84"/>
    </row>
    <row r="768" ht="15.75" customHeight="1">
      <c r="K768" s="84"/>
    </row>
    <row r="769" ht="15.75" customHeight="1">
      <c r="K769" s="84"/>
    </row>
    <row r="770" ht="15.75" customHeight="1">
      <c r="K770" s="84"/>
    </row>
    <row r="771" ht="15.75" customHeight="1">
      <c r="K771" s="84"/>
    </row>
    <row r="772" ht="15.75" customHeight="1">
      <c r="K772" s="84"/>
    </row>
    <row r="773" ht="15.75" customHeight="1">
      <c r="K773" s="84"/>
    </row>
    <row r="774" ht="15.75" customHeight="1">
      <c r="K774" s="84"/>
    </row>
    <row r="775" ht="15.75" customHeight="1">
      <c r="K775" s="84"/>
    </row>
    <row r="776" ht="15.75" customHeight="1">
      <c r="K776" s="84"/>
    </row>
    <row r="777" ht="15.75" customHeight="1">
      <c r="K777" s="84"/>
    </row>
    <row r="778" ht="15.75" customHeight="1">
      <c r="K778" s="84"/>
    </row>
    <row r="779" ht="15.75" customHeight="1">
      <c r="K779" s="84"/>
    </row>
    <row r="780" ht="15.75" customHeight="1">
      <c r="K780" s="84"/>
    </row>
    <row r="781" ht="15.75" customHeight="1">
      <c r="K781" s="84"/>
    </row>
    <row r="782" ht="15.75" customHeight="1">
      <c r="K782" s="84"/>
    </row>
    <row r="783" ht="15.75" customHeight="1">
      <c r="K783" s="84"/>
    </row>
    <row r="784" ht="15.75" customHeight="1">
      <c r="K784" s="84"/>
    </row>
    <row r="785" ht="15.75" customHeight="1">
      <c r="K785" s="84"/>
    </row>
    <row r="786" ht="15.75" customHeight="1">
      <c r="K786" s="84"/>
    </row>
    <row r="787" ht="15.75" customHeight="1">
      <c r="K787" s="84"/>
    </row>
    <row r="788" ht="15.75" customHeight="1">
      <c r="K788" s="84"/>
    </row>
    <row r="789" ht="15.75" customHeight="1">
      <c r="K789" s="84"/>
    </row>
    <row r="790" ht="15.75" customHeight="1">
      <c r="K790" s="84"/>
    </row>
    <row r="791" ht="15.75" customHeight="1">
      <c r="K791" s="84"/>
    </row>
    <row r="792" ht="15.75" customHeight="1">
      <c r="K792" s="84"/>
    </row>
    <row r="793" ht="15.75" customHeight="1">
      <c r="K793" s="84"/>
    </row>
    <row r="794" ht="15.75" customHeight="1">
      <c r="K794" s="84"/>
    </row>
    <row r="795" ht="15.75" customHeight="1">
      <c r="K795" s="84"/>
    </row>
    <row r="796" ht="15.75" customHeight="1">
      <c r="K796" s="84"/>
    </row>
    <row r="797" ht="15.75" customHeight="1">
      <c r="K797" s="84"/>
    </row>
    <row r="798" ht="15.75" customHeight="1">
      <c r="K798" s="84"/>
    </row>
    <row r="799" ht="15.75" customHeight="1">
      <c r="K799" s="84"/>
    </row>
    <row r="800" ht="15.75" customHeight="1">
      <c r="K800" s="84"/>
    </row>
    <row r="801" ht="15.75" customHeight="1">
      <c r="K801" s="84"/>
    </row>
    <row r="802" ht="15.75" customHeight="1">
      <c r="K802" s="84"/>
    </row>
    <row r="803" ht="15.75" customHeight="1">
      <c r="K803" s="84"/>
    </row>
    <row r="804" ht="15.75" customHeight="1">
      <c r="K804" s="84"/>
    </row>
    <row r="805" ht="15.75" customHeight="1">
      <c r="K805" s="84"/>
    </row>
    <row r="806" ht="15.75" customHeight="1">
      <c r="K806" s="84"/>
    </row>
    <row r="807" ht="15.75" customHeight="1">
      <c r="K807" s="84"/>
    </row>
    <row r="808" ht="15.75" customHeight="1">
      <c r="K808" s="84"/>
    </row>
    <row r="809" ht="15.75" customHeight="1">
      <c r="K809" s="84"/>
    </row>
    <row r="810" ht="15.75" customHeight="1">
      <c r="K810" s="84"/>
    </row>
    <row r="811" ht="15.75" customHeight="1">
      <c r="K811" s="84"/>
    </row>
    <row r="812" ht="15.75" customHeight="1">
      <c r="K812" s="84"/>
    </row>
    <row r="813" ht="15.75" customHeight="1">
      <c r="K813" s="84"/>
    </row>
    <row r="814" ht="15.75" customHeight="1">
      <c r="K814" s="84"/>
    </row>
    <row r="815" ht="15.75" customHeight="1">
      <c r="K815" s="84"/>
    </row>
    <row r="816" ht="15.75" customHeight="1">
      <c r="K816" s="84"/>
    </row>
    <row r="817" ht="15.75" customHeight="1">
      <c r="K817" s="84"/>
    </row>
    <row r="818" ht="15.75" customHeight="1">
      <c r="K818" s="84"/>
    </row>
    <row r="819" ht="15.75" customHeight="1">
      <c r="K819" s="84"/>
    </row>
    <row r="820" ht="15.75" customHeight="1">
      <c r="K820" s="84"/>
    </row>
    <row r="821" ht="15.75" customHeight="1">
      <c r="K821" s="84"/>
    </row>
    <row r="822" ht="15.75" customHeight="1">
      <c r="K822" s="84"/>
    </row>
    <row r="823" ht="15.75" customHeight="1">
      <c r="K823" s="84"/>
    </row>
    <row r="824" ht="15.75" customHeight="1">
      <c r="K824" s="84"/>
    </row>
    <row r="825" ht="15.75" customHeight="1">
      <c r="K825" s="84"/>
    </row>
    <row r="826" ht="15.75" customHeight="1">
      <c r="K826" s="84"/>
    </row>
    <row r="827" ht="15.75" customHeight="1">
      <c r="K827" s="84"/>
    </row>
    <row r="828" ht="15.75" customHeight="1">
      <c r="K828" s="84"/>
    </row>
    <row r="829" ht="15.75" customHeight="1">
      <c r="K829" s="84"/>
    </row>
    <row r="830" ht="15.75" customHeight="1">
      <c r="K830" s="84"/>
    </row>
    <row r="831" ht="15.75" customHeight="1">
      <c r="K831" s="84"/>
    </row>
    <row r="832" ht="15.75" customHeight="1">
      <c r="K832" s="84"/>
    </row>
    <row r="833" ht="15.75" customHeight="1">
      <c r="K833" s="84"/>
    </row>
    <row r="834" ht="15.75" customHeight="1">
      <c r="K834" s="84"/>
    </row>
    <row r="835" ht="15.75" customHeight="1">
      <c r="K835" s="84"/>
    </row>
    <row r="836" ht="15.75" customHeight="1">
      <c r="K836" s="84"/>
    </row>
    <row r="837" ht="15.75" customHeight="1">
      <c r="K837" s="84"/>
    </row>
    <row r="838" ht="15.75" customHeight="1">
      <c r="K838" s="84"/>
    </row>
    <row r="839" ht="15.75" customHeight="1">
      <c r="K839" s="84"/>
    </row>
    <row r="840" ht="15.75" customHeight="1">
      <c r="K840" s="84"/>
    </row>
    <row r="841" ht="15.75" customHeight="1">
      <c r="K841" s="84"/>
    </row>
    <row r="842" ht="15.75" customHeight="1">
      <c r="K842" s="84"/>
    </row>
    <row r="843" ht="15.75" customHeight="1">
      <c r="K843" s="84"/>
    </row>
    <row r="844" ht="15.75" customHeight="1">
      <c r="K844" s="84"/>
    </row>
    <row r="845" ht="15.75" customHeight="1">
      <c r="K845" s="84"/>
    </row>
    <row r="846" ht="15.75" customHeight="1">
      <c r="K846" s="84"/>
    </row>
    <row r="847" ht="15.75" customHeight="1">
      <c r="K847" s="84"/>
    </row>
    <row r="848" ht="15.75" customHeight="1">
      <c r="K848" s="84"/>
    </row>
    <row r="849" ht="15.75" customHeight="1">
      <c r="K849" s="84"/>
    </row>
    <row r="850" ht="15.75" customHeight="1">
      <c r="K850" s="84"/>
    </row>
    <row r="851" ht="15.75" customHeight="1">
      <c r="K851" s="84"/>
    </row>
    <row r="852" ht="15.75" customHeight="1">
      <c r="K852" s="84"/>
    </row>
    <row r="853" ht="15.75" customHeight="1">
      <c r="K853" s="84"/>
    </row>
    <row r="854" ht="15.75" customHeight="1">
      <c r="K854" s="84"/>
    </row>
    <row r="855" ht="15.75" customHeight="1">
      <c r="K855" s="84"/>
    </row>
    <row r="856" ht="15.75" customHeight="1">
      <c r="K856" s="84"/>
    </row>
    <row r="857" ht="15.75" customHeight="1">
      <c r="K857" s="84"/>
    </row>
    <row r="858" ht="15.75" customHeight="1">
      <c r="K858" s="84"/>
    </row>
    <row r="859" ht="15.75" customHeight="1">
      <c r="K859" s="84"/>
    </row>
    <row r="860" ht="15.75" customHeight="1">
      <c r="K860" s="84"/>
    </row>
    <row r="861" ht="15.75" customHeight="1">
      <c r="K861" s="84"/>
    </row>
    <row r="862" ht="15.75" customHeight="1">
      <c r="K862" s="84"/>
    </row>
    <row r="863" ht="15.75" customHeight="1">
      <c r="K863" s="84"/>
    </row>
    <row r="864" ht="15.75" customHeight="1">
      <c r="K864" s="84"/>
    </row>
    <row r="865" ht="15.75" customHeight="1">
      <c r="K865" s="84"/>
    </row>
    <row r="866" ht="15.75" customHeight="1">
      <c r="K866" s="84"/>
    </row>
    <row r="867" ht="15.75" customHeight="1">
      <c r="K867" s="84"/>
    </row>
    <row r="868" ht="15.75" customHeight="1">
      <c r="K868" s="84"/>
    </row>
    <row r="869" ht="15.75" customHeight="1">
      <c r="K869" s="84"/>
    </row>
    <row r="870" ht="15.75" customHeight="1">
      <c r="K870" s="84"/>
    </row>
    <row r="871" ht="15.75" customHeight="1">
      <c r="K871" s="84"/>
    </row>
    <row r="872" ht="15.75" customHeight="1">
      <c r="K872" s="84"/>
    </row>
    <row r="873" ht="15.75" customHeight="1">
      <c r="K873" s="84"/>
    </row>
    <row r="874" ht="15.75" customHeight="1">
      <c r="K874" s="84"/>
    </row>
    <row r="875" ht="15.75" customHeight="1">
      <c r="K875" s="84"/>
    </row>
    <row r="876" ht="15.75" customHeight="1">
      <c r="K876" s="84"/>
    </row>
    <row r="877" ht="15.75" customHeight="1">
      <c r="K877" s="84"/>
    </row>
    <row r="878" ht="15.75" customHeight="1">
      <c r="K878" s="84"/>
    </row>
    <row r="879" ht="15.75" customHeight="1">
      <c r="K879" s="84"/>
    </row>
    <row r="880" ht="15.75" customHeight="1">
      <c r="K880" s="84"/>
    </row>
    <row r="881" ht="15.75" customHeight="1">
      <c r="K881" s="84"/>
    </row>
    <row r="882" ht="15.75" customHeight="1">
      <c r="K882" s="84"/>
    </row>
    <row r="883" ht="15.75" customHeight="1">
      <c r="K883" s="84"/>
    </row>
    <row r="884" ht="15.75" customHeight="1">
      <c r="K884" s="84"/>
    </row>
    <row r="885" ht="15.75" customHeight="1">
      <c r="K885" s="84"/>
    </row>
    <row r="886" ht="15.75" customHeight="1">
      <c r="K886" s="84"/>
    </row>
    <row r="887" ht="15.75" customHeight="1">
      <c r="K887" s="84"/>
    </row>
    <row r="888" ht="15.75" customHeight="1">
      <c r="K888" s="84"/>
    </row>
    <row r="889" ht="15.75" customHeight="1">
      <c r="K889" s="84"/>
    </row>
    <row r="890" ht="15.75" customHeight="1">
      <c r="K890" s="84"/>
    </row>
    <row r="891" ht="15.75" customHeight="1">
      <c r="K891" s="84"/>
    </row>
    <row r="892" ht="15.75" customHeight="1">
      <c r="K892" s="84"/>
    </row>
    <row r="893" ht="15.75" customHeight="1">
      <c r="K893" s="84"/>
    </row>
    <row r="894" ht="15.75" customHeight="1">
      <c r="K894" s="84"/>
    </row>
    <row r="895" ht="15.75" customHeight="1">
      <c r="K895" s="84"/>
    </row>
    <row r="896" ht="15.75" customHeight="1">
      <c r="K896" s="84"/>
    </row>
    <row r="897" ht="15.75" customHeight="1">
      <c r="K897" s="84"/>
    </row>
    <row r="898" ht="15.75" customHeight="1">
      <c r="K898" s="84"/>
    </row>
    <row r="899" ht="15.75" customHeight="1">
      <c r="K899" s="84"/>
    </row>
    <row r="900" ht="15.75" customHeight="1">
      <c r="K900" s="84"/>
    </row>
    <row r="901" ht="15.75" customHeight="1">
      <c r="K901" s="84"/>
    </row>
    <row r="902" ht="15.75" customHeight="1">
      <c r="K902" s="84"/>
    </row>
    <row r="903" ht="15.75" customHeight="1">
      <c r="K903" s="84"/>
    </row>
    <row r="904" ht="15.75" customHeight="1">
      <c r="K904" s="84"/>
    </row>
    <row r="905" ht="15.75" customHeight="1">
      <c r="K905" s="84"/>
    </row>
    <row r="906" ht="15.75" customHeight="1">
      <c r="K906" s="84"/>
    </row>
    <row r="907" ht="15.75" customHeight="1">
      <c r="K907" s="84"/>
    </row>
    <row r="908" ht="15.75" customHeight="1">
      <c r="K908" s="84"/>
    </row>
    <row r="909" ht="15.75" customHeight="1">
      <c r="K909" s="84"/>
    </row>
    <row r="910" ht="15.75" customHeight="1">
      <c r="K910" s="84"/>
    </row>
    <row r="911" ht="15.75" customHeight="1">
      <c r="K911" s="84"/>
    </row>
    <row r="912" ht="15.75" customHeight="1">
      <c r="K912" s="84"/>
    </row>
    <row r="913" ht="15.75" customHeight="1">
      <c r="K913" s="84"/>
    </row>
    <row r="914" ht="15.75" customHeight="1">
      <c r="K914" s="84"/>
    </row>
    <row r="915" ht="15.75" customHeight="1">
      <c r="K915" s="84"/>
    </row>
    <row r="916" ht="15.75" customHeight="1">
      <c r="K916" s="84"/>
    </row>
    <row r="917" ht="15.75" customHeight="1">
      <c r="K917" s="84"/>
    </row>
    <row r="918" ht="15.75" customHeight="1">
      <c r="K918" s="84"/>
    </row>
    <row r="919" ht="15.75" customHeight="1">
      <c r="K919" s="84"/>
    </row>
    <row r="920" ht="15.75" customHeight="1">
      <c r="K920" s="84"/>
    </row>
    <row r="921" ht="15.75" customHeight="1">
      <c r="K921" s="84"/>
    </row>
    <row r="922" ht="15.75" customHeight="1">
      <c r="K922" s="84"/>
    </row>
    <row r="923" ht="15.75" customHeight="1">
      <c r="K923" s="84"/>
    </row>
    <row r="924" ht="15.75" customHeight="1">
      <c r="K924" s="84"/>
    </row>
    <row r="925" ht="15.75" customHeight="1">
      <c r="K925" s="84"/>
    </row>
    <row r="926" ht="15.75" customHeight="1">
      <c r="K926" s="84"/>
    </row>
    <row r="927" ht="15.75" customHeight="1">
      <c r="K927" s="84"/>
    </row>
    <row r="928" ht="15.75" customHeight="1">
      <c r="K928" s="84"/>
    </row>
    <row r="929" ht="15.75" customHeight="1">
      <c r="K929" s="84"/>
    </row>
    <row r="930" ht="15.75" customHeight="1">
      <c r="K930" s="84"/>
    </row>
    <row r="931" ht="15.75" customHeight="1">
      <c r="K931" s="84"/>
    </row>
    <row r="932" ht="15.75" customHeight="1">
      <c r="K932" s="84"/>
    </row>
    <row r="933" ht="15.75" customHeight="1">
      <c r="K933" s="84"/>
    </row>
    <row r="934" ht="15.75" customHeight="1">
      <c r="K934" s="84"/>
    </row>
    <row r="935" ht="15.75" customHeight="1">
      <c r="K935" s="84"/>
    </row>
    <row r="936" ht="15.75" customHeight="1">
      <c r="K936" s="84"/>
    </row>
    <row r="937" ht="15.75" customHeight="1">
      <c r="K937" s="84"/>
    </row>
    <row r="938" ht="15.75" customHeight="1">
      <c r="K938" s="84"/>
    </row>
    <row r="939" ht="15.75" customHeight="1">
      <c r="K939" s="84"/>
    </row>
    <row r="940" ht="15.75" customHeight="1">
      <c r="K940" s="84"/>
    </row>
    <row r="941" ht="15.75" customHeight="1">
      <c r="K941" s="84"/>
    </row>
    <row r="942" ht="15.75" customHeight="1">
      <c r="K942" s="84"/>
    </row>
    <row r="943" ht="15.75" customHeight="1">
      <c r="K943" s="84"/>
    </row>
    <row r="944" ht="15.75" customHeight="1">
      <c r="K944" s="84"/>
    </row>
    <row r="945" ht="15.75" customHeight="1">
      <c r="K945" s="84"/>
    </row>
    <row r="946" ht="15.75" customHeight="1">
      <c r="K946" s="84"/>
    </row>
    <row r="947" ht="15.75" customHeight="1">
      <c r="K947" s="84"/>
    </row>
    <row r="948" ht="15.75" customHeight="1">
      <c r="K948" s="84"/>
    </row>
    <row r="949" ht="15.75" customHeight="1">
      <c r="K949" s="84"/>
    </row>
    <row r="950" ht="15.75" customHeight="1">
      <c r="K950" s="84"/>
    </row>
    <row r="951" ht="15.75" customHeight="1">
      <c r="K951" s="84"/>
    </row>
    <row r="952" ht="15.75" customHeight="1">
      <c r="K952" s="84"/>
    </row>
    <row r="953" ht="15.75" customHeight="1">
      <c r="K953" s="84"/>
    </row>
    <row r="954" ht="15.75" customHeight="1">
      <c r="K954" s="84"/>
    </row>
    <row r="955" ht="15.75" customHeight="1">
      <c r="K955" s="84"/>
    </row>
    <row r="956" ht="15.75" customHeight="1">
      <c r="K956" s="84"/>
    </row>
    <row r="957" ht="15.75" customHeight="1">
      <c r="K957" s="84"/>
    </row>
    <row r="958" ht="15.75" customHeight="1">
      <c r="K958" s="84"/>
    </row>
    <row r="959" ht="15.75" customHeight="1">
      <c r="K959" s="84"/>
    </row>
    <row r="960" ht="15.75" customHeight="1">
      <c r="K960" s="84"/>
    </row>
    <row r="961" ht="15.75" customHeight="1">
      <c r="K961" s="84"/>
    </row>
    <row r="962" ht="15.75" customHeight="1">
      <c r="K962" s="84"/>
    </row>
    <row r="963" ht="15.75" customHeight="1">
      <c r="K963" s="84"/>
    </row>
    <row r="964" ht="15.75" customHeight="1">
      <c r="K964" s="84"/>
    </row>
    <row r="965" ht="15.75" customHeight="1">
      <c r="K965" s="84"/>
    </row>
    <row r="966" ht="15.75" customHeight="1">
      <c r="K966" s="84"/>
    </row>
    <row r="967" ht="15.75" customHeight="1">
      <c r="K967" s="84"/>
    </row>
    <row r="968" ht="15.75" customHeight="1">
      <c r="K968" s="84"/>
    </row>
    <row r="969" ht="15.75" customHeight="1">
      <c r="K969" s="84"/>
    </row>
    <row r="970" ht="15.75" customHeight="1">
      <c r="K970" s="84"/>
    </row>
    <row r="971" ht="15.75" customHeight="1">
      <c r="K971" s="84"/>
    </row>
    <row r="972" ht="15.75" customHeight="1">
      <c r="K972" s="84"/>
    </row>
    <row r="973" ht="15.75" customHeight="1">
      <c r="K973" s="84"/>
    </row>
    <row r="974" ht="15.75" customHeight="1">
      <c r="K974" s="84"/>
    </row>
    <row r="975" ht="15.75" customHeight="1">
      <c r="K975" s="84"/>
    </row>
    <row r="976" ht="15.75" customHeight="1">
      <c r="K976" s="84"/>
    </row>
    <row r="977" ht="15.75" customHeight="1">
      <c r="K977" s="84"/>
    </row>
    <row r="978" ht="15.75" customHeight="1">
      <c r="K978" s="84"/>
    </row>
    <row r="979" ht="15.75" customHeight="1">
      <c r="K979" s="84"/>
    </row>
    <row r="980" ht="15.75" customHeight="1">
      <c r="K980" s="84"/>
    </row>
    <row r="981" ht="15.75" customHeight="1">
      <c r="K981" s="84"/>
    </row>
    <row r="982" ht="15.75" customHeight="1">
      <c r="K982" s="84"/>
    </row>
    <row r="983" ht="15.75" customHeight="1">
      <c r="K983" s="84"/>
    </row>
    <row r="984" ht="15.75" customHeight="1">
      <c r="K984" s="84"/>
    </row>
    <row r="985" ht="15.75" customHeight="1">
      <c r="K985" s="84"/>
    </row>
    <row r="986" ht="15.75" customHeight="1">
      <c r="K986" s="84"/>
    </row>
    <row r="987" ht="15.75" customHeight="1">
      <c r="K987" s="84"/>
    </row>
    <row r="988" ht="15.75" customHeight="1">
      <c r="K988" s="84"/>
    </row>
    <row r="989" ht="15.75" customHeight="1">
      <c r="K989" s="84"/>
    </row>
    <row r="990" ht="15.75" customHeight="1">
      <c r="K990" s="84"/>
    </row>
    <row r="991" ht="15.75" customHeight="1">
      <c r="K991" s="84"/>
    </row>
    <row r="992" ht="15.75" customHeight="1">
      <c r="K992" s="84"/>
    </row>
    <row r="993" ht="15.75" customHeight="1">
      <c r="K993" s="84"/>
    </row>
    <row r="994" ht="15.75" customHeight="1">
      <c r="K994" s="84"/>
    </row>
    <row r="995" ht="15.75" customHeight="1">
      <c r="K995" s="84"/>
    </row>
    <row r="996" ht="15.75" customHeight="1">
      <c r="K996" s="84"/>
    </row>
    <row r="997" ht="15.75" customHeight="1">
      <c r="K997" s="84"/>
    </row>
    <row r="998" ht="15.75" customHeight="1">
      <c r="K998" s="84"/>
    </row>
    <row r="999" ht="15.75" customHeight="1">
      <c r="K999" s="84"/>
    </row>
    <row r="1000" ht="15.75" customHeight="1">
      <c r="K1000" s="84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2021-08-03T22:14:55Z</dcterms:created>
  <dc:creator>Timothy Driscoll</dc:creator>
</cp:coreProperties>
</file>