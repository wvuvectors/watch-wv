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mlambert\Documents\DATA_PCR\"/>
    </mc:Choice>
  </mc:AlternateContent>
  <xr:revisionPtr revIDLastSave="0" documentId="13_ncr:1_{0201A44D-2BAF-4C0B-8FD6-9E10BE2E44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<sst xmlns="http://schemas.openxmlformats.org/spreadsheetml/2006/main" count="390" uniqueCount="233">
  <si>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</si>
  <si>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</si>
  <si>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</si>
  <si>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</si>
  <si>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</si>
  <si>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</si>
  <si>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</si>
  <si>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</si>
  <si>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</si>
  <si>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</si>
  <si>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</si>
  <si>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</si>
  <si>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</si>
  <si>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</si>
  <si>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Direct Quantification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</si>
  <si>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</si>
  <si>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</si>
  <si>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</si>
  <si>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</si>
  <si>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</si>
  <si>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</si>
  <si>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</si>
  <si>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</si>
  <si>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</si>
  <si>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</si>
  <si>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</si>
  <si>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</si>
  <si>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</si>
  <si>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</si>
  <si>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</si>
  <si>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</si>
  <si>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</si>
  <si>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</si>
  <si>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</si>
  <si>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</si>
  <si>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</si>
  <si>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</si>
  <si>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</si>
  <si>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</si>
  <si>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</si>
  <si>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</si>
  <si>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</si>
  <si>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</si>
  <si>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</si>
  <si>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</si>
  <si>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</si>
  <si>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</si>
  <si>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</si>
  <si>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</si>
  <si>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</si>
  <si>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</si>
  <si>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</si>
  <si>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</si>
  <si>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</si>
  <si>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</si>
  <si>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</si>
  <si>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</si>
  <si>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</si>
  <si>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</si>
  <si>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</si>
  <si>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</si>
  <si>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</si>
  <si>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</si>
  <si>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</si>
  <si>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</si>
  <si>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</si>
  <si>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</si>
  <si>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</si>
  <si>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</si>
  <si>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</si>
  <si>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</si>
  <si>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</si>
  <si>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</si>
  <si>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</si>
  <si>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</si>
  <si>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</si>
  <si>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</si>
  <si>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</si>
  <si>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</si>
  <si>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</si>
  <si>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</si>
  <si>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</si>
  <si>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</si>
  <si>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</si>
  <si>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</si>
  <si>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</si>
  <si>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</si>
  <si>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</si>
  <si>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</si>
  <si>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</si>
  <si>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</si>
  <si>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</si>
  <si>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</si>
  <si>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</si>
  <si>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</si>
  <si>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</si>
  <si>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</si>
  <si>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</si>
  <si>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</si>
  <si>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</si>
  <si>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</si>
  <si>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</si>
  <si>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</si>
  <si>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</si>
  <si>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</si>
  <si>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</si>
  <si>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</si>
  <si>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</si>
  <si>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</si>
  <si>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</si>
  <si>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</si>
  <si>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</si>
  <si>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</si>
  <si>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</si>
  <si>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</si>
  <si>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</si>
  <si>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</si>
  <si>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</si>
  <si>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</si>
  <si>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</si>
  <si>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</si>
  <si>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</si>
  <si>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</si>
  <si>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</si>
  <si>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</si>
  <si>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</si>
  <si>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</si>
  <si>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</si>
  <si>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</si>
  <si>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</si>
  <si>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</si>
  <si>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</si>
  <si>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</si>
  <si>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</si>
  <si>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</si>
  <si>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</si>
  <si>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</si>
  <si>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</si>
  <si>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</si>
  <si>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</si>
  <si>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</si>
  <si>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</si>
  <si>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</si>
  <si>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</si>
  <si>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</si>
  <si>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</si>
  <si>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</si>
  <si>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</si>
  <si>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</si>
  <si>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</si>
  <si>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</si>
  <si>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</si>
  <si>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</si>
  <si>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</si>
  <si>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</si>
  <si>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</si>
  <si>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</si>
  <si>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</si>
  <si>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</si>
  <si>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</si>
  <si>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</si>
  <si>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</si>
  <si>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</si>
  <si>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</si>
  <si>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</si>
  <si>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A01-1488</t>
  </si>
  <si>
    <t>C01-1181</t>
  </si>
  <si>
    <t>J01-1013</t>
  </si>
  <si>
    <t>W01-1001</t>
  </si>
  <si>
    <t>A01-1489</t>
  </si>
  <si>
    <t>C01-1182</t>
  </si>
  <si>
    <t>J01-1014</t>
  </si>
  <si>
    <t>N02-1002</t>
  </si>
  <si>
    <t>C01-1175</t>
  </si>
  <si>
    <t>C01-1183</t>
  </si>
  <si>
    <t>R02-1014</t>
  </si>
  <si>
    <t>L01-1006</t>
  </si>
  <si>
    <t>C01-1176</t>
  </si>
  <si>
    <t>C01-1184</t>
  </si>
  <si>
    <t>H01-1020</t>
  </si>
  <si>
    <t>O01-1000</t>
  </si>
  <si>
    <t>C01-1177</t>
  </si>
  <si>
    <t>G01-0656</t>
  </si>
  <si>
    <t>T01-0323</t>
  </si>
  <si>
    <t>O01-1001</t>
  </si>
  <si>
    <t>C01-1178</t>
  </si>
  <si>
    <t>D01-1012</t>
  </si>
  <si>
    <t>T01-0402</t>
  </si>
  <si>
    <t>A10-0002</t>
  </si>
  <si>
    <t>C01-1179</t>
  </si>
  <si>
    <t>K01-0481</t>
  </si>
  <si>
    <t>U01-0168</t>
  </si>
  <si>
    <t>M03-1010</t>
  </si>
  <si>
    <t>C01-1180</t>
  </si>
  <si>
    <t>U01-0162</t>
  </si>
  <si>
    <t>Q01-1013</t>
  </si>
  <si>
    <t>ntc</t>
  </si>
  <si>
    <t>NAB163 F1</t>
  </si>
  <si>
    <t>G1</t>
  </si>
  <si>
    <t>H1</t>
  </si>
  <si>
    <t>I1</t>
  </si>
  <si>
    <t>F2</t>
  </si>
  <si>
    <t>G2</t>
  </si>
  <si>
    <t>H2</t>
  </si>
  <si>
    <t>I2</t>
  </si>
  <si>
    <t>F3</t>
  </si>
  <si>
    <t>G3</t>
  </si>
  <si>
    <t>H3</t>
  </si>
  <si>
    <t>I3</t>
  </si>
  <si>
    <t>F4</t>
  </si>
  <si>
    <t>G4</t>
  </si>
  <si>
    <t>H4</t>
  </si>
  <si>
    <t>I4</t>
  </si>
  <si>
    <t>F5</t>
  </si>
  <si>
    <t>G5</t>
  </si>
  <si>
    <t>H5</t>
  </si>
  <si>
    <t>I5</t>
  </si>
  <si>
    <t>F6</t>
  </si>
  <si>
    <t>G6</t>
  </si>
  <si>
    <t>H6</t>
  </si>
  <si>
    <t>I6</t>
  </si>
  <si>
    <t>F7</t>
  </si>
  <si>
    <t>G7</t>
  </si>
  <si>
    <t>H7</t>
  </si>
  <si>
    <t>I7</t>
  </si>
  <si>
    <t>F8</t>
  </si>
  <si>
    <t>G8</t>
  </si>
  <si>
    <t>H8</t>
  </si>
  <si>
    <t>resp ntc</t>
  </si>
  <si>
    <t>JL</t>
  </si>
  <si>
    <t>AB136</t>
  </si>
  <si>
    <t>A07,B07,C07,D07</t>
  </si>
  <si>
    <t>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</si>
</sst>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8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20" fillId="2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zoomScale="70" zoomScaleNormal="70" workbookViewId="0">
      <selection activeCell="C77" sqref="C77"/>
    </sheetView>
  </sheetViews>
  <sheetFormatPr defaultColWidth="10.1796875" defaultRowHeight="15" customHeight="1" x14ac:dyDescent="0.25"/>
  <cols>
    <col min="1" max="1" width="51.54296875" customWidth="1"/>
    <col min="2" max="2" width="70.453125" customWidth="1"/>
    <col min="3" max="3" width="93.81640625" customWidth="1"/>
    <col min="4" max="23" width="26" customWidth="1"/>
    <col min="24" max="26" width="11.453125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138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3</v>
      </c>
      <c r="B3" s="8">
        <v>46085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4</v>
      </c>
      <c r="B4" s="4" t="s">
        <v>229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5</v>
      </c>
      <c r="B5" s="7" t="s">
        <v>100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7</v>
      </c>
      <c r="B6" s="4" t="s">
        <v>230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160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161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13</v>
      </c>
      <c r="B12" s="7" t="s">
        <v>14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158</v>
      </c>
      <c r="B13" s="4" t="s">
        <v>120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159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3" t="s">
        <v>15</v>
      </c>
      <c r="B15" s="14" t="s">
        <v>16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5" t="s">
        <v>17</v>
      </c>
      <c r="B16" s="15" t="s">
        <v>18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7" t="s">
        <v>19</v>
      </c>
      <c r="B17" s="17" t="s">
        <v>142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7" t="s">
        <v>21</v>
      </c>
      <c r="B18" s="17" t="s">
        <v>22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7" t="s">
        <v>23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8" t="s">
        <v>24</v>
      </c>
      <c r="B20" s="19" t="s">
        <v>25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35">
      <c r="A21" s="18" t="s">
        <v>26</v>
      </c>
      <c r="B21" s="18" t="s">
        <v>16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8" t="s">
        <v>28</v>
      </c>
      <c r="B22" s="19" t="s">
        <v>16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35">
      <c r="A23" s="18" t="s">
        <v>29</v>
      </c>
      <c r="B23" s="18" t="s">
        <v>231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8" t="s">
        <v>30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1" t="s">
        <v>31</v>
      </c>
      <c r="B25" s="22" t="s">
        <v>32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1" t="s">
        <v>33</v>
      </c>
      <c r="B26" s="21" t="s">
        <v>155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1" t="s">
        <v>35</v>
      </c>
      <c r="B27" s="22" t="s">
        <v>22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1" t="s">
        <v>36</v>
      </c>
      <c r="B28" s="21" t="s">
        <v>232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3">
      <c r="A29" s="23" t="s">
        <v>37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5" t="s">
        <v>17</v>
      </c>
      <c r="B30" s="15" t="s">
        <v>39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7" t="s">
        <v>19</v>
      </c>
      <c r="B31" s="17" t="s">
        <v>149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7" t="s">
        <v>21</v>
      </c>
      <c r="B32" s="17" t="s">
        <v>22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7" t="s">
        <v>23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8" t="s">
        <v>24</v>
      </c>
      <c r="B34" s="19" t="s">
        <v>25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8" t="s">
        <v>26</v>
      </c>
      <c r="B35" s="18" t="s">
        <v>16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8" t="s">
        <v>28</v>
      </c>
      <c r="B36" s="19" t="s">
        <v>16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8" t="s">
        <v>29</v>
      </c>
      <c r="B37" s="18" t="s">
        <v>231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8" t="s">
        <v>30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1" t="s">
        <v>31</v>
      </c>
      <c r="B39" s="22" t="s">
        <v>32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1" t="s">
        <v>33</v>
      </c>
      <c r="B40" s="21" t="s">
        <v>155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1" t="s">
        <v>35</v>
      </c>
      <c r="B41" s="22" t="s">
        <v>22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1" t="s">
        <v>36</v>
      </c>
      <c r="B42" s="21" t="s">
        <v>232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3">
      <c r="A43" s="23" t="s">
        <v>37</v>
      </c>
      <c r="B43" s="74">
        <v>100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5" t="s">
        <v>17</v>
      </c>
      <c r="B44" s="15" t="s">
        <v>107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7" t="s">
        <v>19</v>
      </c>
      <c r="B45" s="17" t="s">
        <v>144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7" t="s">
        <v>21</v>
      </c>
      <c r="B46" s="17" t="s">
        <v>22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7" t="s">
        <v>23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8" t="s">
        <v>24</v>
      </c>
      <c r="B48" s="19" t="s">
        <v>25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8" t="s">
        <v>26</v>
      </c>
      <c r="B49" s="18" t="s">
        <v>16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8" t="s">
        <v>28</v>
      </c>
      <c r="B50" s="19" t="s">
        <v>16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8" t="s">
        <v>29</v>
      </c>
      <c r="B51" s="18" t="s">
        <v>231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8" t="s">
        <v>30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1" t="s">
        <v>31</v>
      </c>
      <c r="B53" s="22" t="s">
        <v>32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1" t="s">
        <v>33</v>
      </c>
      <c r="B54" s="21" t="s">
        <v>155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1" t="s">
        <v>35</v>
      </c>
      <c r="B55" s="22" t="s">
        <v>22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1" t="s">
        <v>36</v>
      </c>
      <c r="B56" s="21" t="s">
        <v>232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3">
      <c r="A57" s="23" t="s">
        <v>37</v>
      </c>
      <c r="B57" s="74">
        <v>100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5" t="s">
        <v>17</v>
      </c>
      <c r="B58" s="15" t="s">
        <v>111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7" t="s">
        <v>19</v>
      </c>
      <c r="B59" s="17" t="s">
        <v>143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7" t="s">
        <v>21</v>
      </c>
      <c r="B60" s="17" t="s">
        <v>22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7" t="s">
        <v>23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8" t="s">
        <v>24</v>
      </c>
      <c r="B62" s="19" t="s">
        <v>25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8" t="s">
        <v>26</v>
      </c>
      <c r="B63" s="18" t="s">
        <v>16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8" t="s">
        <v>28</v>
      </c>
      <c r="B64" s="19" t="s">
        <v>16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8" t="s">
        <v>29</v>
      </c>
      <c r="B65" s="18" t="s">
        <v>231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8" t="s">
        <v>30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1" t="s">
        <v>31</v>
      </c>
      <c r="B67" s="22" t="s">
        <v>32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1" t="s">
        <v>33</v>
      </c>
      <c r="B68" s="21" t="s">
        <v>155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1" t="s">
        <v>35</v>
      </c>
      <c r="B69" s="22" t="s">
        <v>22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1" t="s">
        <v>36</v>
      </c>
      <c r="B70" s="21" t="s">
        <v>232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3">
      <c r="A71" s="23" t="s">
        <v>37</v>
      </c>
      <c r="B71" s="74">
        <v>100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5" t="s">
        <v>17</v>
      </c>
      <c r="B72" s="15" t="s">
        <v>113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7" t="s">
        <v>19</v>
      </c>
      <c r="B73" s="17" t="s">
        <v>141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7" t="s">
        <v>21</v>
      </c>
      <c r="B74" s="17" t="s">
        <v>22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7" t="s">
        <v>23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8" t="s">
        <v>24</v>
      </c>
      <c r="B76" s="19" t="s">
        <v>25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8" t="s">
        <v>26</v>
      </c>
      <c r="B77" s="18" t="s">
        <v>16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8" t="s">
        <v>28</v>
      </c>
      <c r="B78" s="19" t="s">
        <v>16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8" t="s">
        <v>29</v>
      </c>
      <c r="B79" s="18" t="s">
        <v>231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8" t="s">
        <v>30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1" t="s">
        <v>31</v>
      </c>
      <c r="B81" s="22" t="s">
        <v>32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1" t="s">
        <v>33</v>
      </c>
      <c r="B82" s="21" t="s">
        <v>155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1" t="s">
        <v>35</v>
      </c>
      <c r="B83" s="22" t="s">
        <v>22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1" t="s">
        <v>36</v>
      </c>
      <c r="B84" s="21" t="s">
        <v>232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3">
      <c r="A85" s="23" t="s">
        <v>37</v>
      </c>
      <c r="B85" s="74">
        <v>100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B67 B25 B62 B20 B39 B34 B53 B48 B81 B76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B63 B68 B35 B40 B49 B54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B69 B27 B46 B41 B60 B55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B64 B36 B50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50" zoomScaleNormal="50" workbookViewId="0">
      <selection activeCell="I4" sqref="I4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40</v>
      </c>
      <c r="B2" s="76" t="s">
        <v>165</v>
      </c>
      <c r="C2" s="77" t="s">
        <v>166</v>
      </c>
      <c r="D2" s="76" t="s">
        <v>167</v>
      </c>
      <c r="E2" s="77" t="s">
        <v>168</v>
      </c>
      <c r="F2" s="28"/>
      <c r="G2" s="29"/>
      <c r="H2" s="28" t="s">
        <v>228</v>
      </c>
      <c r="I2" s="29"/>
      <c r="J2" s="28"/>
      <c r="K2" s="29"/>
      <c r="L2" s="28"/>
      <c r="M2" s="29"/>
    </row>
    <row r="3" spans="1:26" ht="99.75" customHeight="1" x14ac:dyDescent="0.25">
      <c r="A3" s="26" t="s">
        <v>41</v>
      </c>
      <c r="B3" s="77" t="s">
        <v>169</v>
      </c>
      <c r="C3" s="76" t="s">
        <v>170</v>
      </c>
      <c r="D3" s="77" t="s">
        <v>171</v>
      </c>
      <c r="E3" s="76" t="s">
        <v>172</v>
      </c>
      <c r="F3" s="29"/>
      <c r="G3" s="28"/>
      <c r="H3" s="29" t="s">
        <v>228</v>
      </c>
      <c r="I3" s="28"/>
      <c r="J3" s="29"/>
      <c r="K3" s="28"/>
      <c r="L3" s="29"/>
      <c r="M3" s="28"/>
    </row>
    <row r="4" spans="1:26" ht="99.75" customHeight="1" x14ac:dyDescent="0.25">
      <c r="A4" s="26" t="s">
        <v>42</v>
      </c>
      <c r="B4" s="76" t="s">
        <v>173</v>
      </c>
      <c r="C4" s="77" t="s">
        <v>174</v>
      </c>
      <c r="D4" s="76" t="s">
        <v>175</v>
      </c>
      <c r="E4" s="77" t="s">
        <v>176</v>
      </c>
      <c r="F4" s="28"/>
      <c r="G4" s="29"/>
      <c r="H4" s="28" t="s">
        <v>228</v>
      </c>
      <c r="I4" s="29"/>
      <c r="J4" s="28"/>
      <c r="K4" s="29"/>
      <c r="L4" s="28"/>
      <c r="M4" s="29"/>
    </row>
    <row r="5" spans="1:26" ht="99.75" customHeight="1" x14ac:dyDescent="0.25">
      <c r="A5" s="26" t="s">
        <v>43</v>
      </c>
      <c r="B5" s="77" t="s">
        <v>177</v>
      </c>
      <c r="C5" s="76" t="s">
        <v>178</v>
      </c>
      <c r="D5" s="77" t="s">
        <v>179</v>
      </c>
      <c r="E5" s="76" t="s">
        <v>180</v>
      </c>
      <c r="F5" s="29"/>
      <c r="G5" s="28"/>
      <c r="H5" s="29" t="s">
        <v>228</v>
      </c>
      <c r="I5" s="28"/>
      <c r="J5" s="29"/>
      <c r="K5" s="28"/>
      <c r="L5" s="29"/>
      <c r="M5" s="28"/>
    </row>
    <row r="6" spans="1:26" ht="99.75" customHeight="1" x14ac:dyDescent="0.25">
      <c r="A6" s="26" t="s">
        <v>44</v>
      </c>
      <c r="B6" s="76" t="s">
        <v>181</v>
      </c>
      <c r="C6" s="77" t="s">
        <v>182</v>
      </c>
      <c r="D6" s="76" t="s">
        <v>183</v>
      </c>
      <c r="E6" s="77" t="s">
        <v>184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45</v>
      </c>
      <c r="B7" s="77" t="s">
        <v>185</v>
      </c>
      <c r="C7" s="76" t="s">
        <v>186</v>
      </c>
      <c r="D7" s="77" t="s">
        <v>187</v>
      </c>
      <c r="E7" s="76" t="s">
        <v>188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46</v>
      </c>
      <c r="B8" s="76" t="s">
        <v>189</v>
      </c>
      <c r="C8" s="77" t="s">
        <v>190</v>
      </c>
      <c r="D8" s="76" t="s">
        <v>191</v>
      </c>
      <c r="E8" s="77" t="s">
        <v>192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47</v>
      </c>
      <c r="B9" s="77" t="s">
        <v>193</v>
      </c>
      <c r="C9" s="76" t="s">
        <v>194</v>
      </c>
      <c r="D9" s="77" t="s">
        <v>195</v>
      </c>
      <c r="E9" s="76" t="s">
        <v>196</v>
      </c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40" zoomScaleNormal="40" workbookViewId="0">
      <selection activeCell="O8" sqref="O8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76" t="s">
        <v>197</v>
      </c>
      <c r="C2" s="77" t="s">
        <v>198</v>
      </c>
      <c r="D2" s="76" t="s">
        <v>199</v>
      </c>
      <c r="E2" s="77" t="s">
        <v>200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77" t="s">
        <v>201</v>
      </c>
      <c r="C3" s="76" t="s">
        <v>202</v>
      </c>
      <c r="D3" s="77" t="s">
        <v>203</v>
      </c>
      <c r="E3" s="76" t="s">
        <v>204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76" t="s">
        <v>205</v>
      </c>
      <c r="C4" s="77" t="s">
        <v>206</v>
      </c>
      <c r="D4" s="76" t="s">
        <v>207</v>
      </c>
      <c r="E4" s="77" t="s">
        <v>208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77" t="s">
        <v>209</v>
      </c>
      <c r="C5" s="76" t="s">
        <v>210</v>
      </c>
      <c r="D5" s="77" t="s">
        <v>211</v>
      </c>
      <c r="E5" s="76" t="s">
        <v>212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76" t="s">
        <v>213</v>
      </c>
      <c r="C6" s="77" t="s">
        <v>214</v>
      </c>
      <c r="D6" s="76" t="s">
        <v>215</v>
      </c>
      <c r="E6" s="77" t="s">
        <v>216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77" t="s">
        <v>217</v>
      </c>
      <c r="C7" s="76" t="s">
        <v>218</v>
      </c>
      <c r="D7" s="77" t="s">
        <v>219</v>
      </c>
      <c r="E7" s="76" t="s">
        <v>220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76" t="s">
        <v>221</v>
      </c>
      <c r="C8" s="77" t="s">
        <v>222</v>
      </c>
      <c r="D8" s="76" t="s">
        <v>223</v>
      </c>
      <c r="E8" s="77" t="s">
        <v>224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77" t="s">
        <v>225</v>
      </c>
      <c r="C9" s="76" t="s">
        <v>226</v>
      </c>
      <c r="D9" s="77" t="s">
        <v>227</v>
      </c>
      <c r="E9" s="76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1" activePane="bottomLeft" state="frozen"/>
      <selection pane="bottomLeft" activeCell="B25" sqref="B25"/>
    </sheetView>
  </sheetViews>
  <sheetFormatPr defaultColWidth="10.179687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3" t="s">
        <v>48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  <c r="R1" s="30"/>
      <c r="S1" s="30"/>
    </row>
    <row r="2" spans="1:19" ht="31.5" customHeight="1" x14ac:dyDescent="0.25">
      <c r="A2" s="86" t="s">
        <v>49</v>
      </c>
      <c r="B2" s="84"/>
      <c r="C2" s="84"/>
      <c r="D2" s="84"/>
      <c r="E2" s="84"/>
      <c r="F2" s="84"/>
      <c r="G2" s="84"/>
      <c r="H2" s="84"/>
      <c r="I2" s="85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5">
      <c r="A3" s="87" t="s">
        <v>50</v>
      </c>
      <c r="B3" s="79"/>
      <c r="C3" s="79"/>
      <c r="D3" s="79"/>
      <c r="E3" s="79"/>
      <c r="F3" s="79"/>
      <c r="G3" s="79"/>
      <c r="H3" s="79"/>
      <c r="I3" s="80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5">
      <c r="A5" s="33" t="s">
        <v>51</v>
      </c>
      <c r="B5" s="34">
        <v>1</v>
      </c>
      <c r="C5" s="11" t="s">
        <v>52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5">
      <c r="A6" s="36" t="s">
        <v>53</v>
      </c>
      <c r="B6" s="37">
        <v>16.5</v>
      </c>
      <c r="C6" s="88" t="s">
        <v>54</v>
      </c>
      <c r="D6" s="89"/>
      <c r="E6" s="89"/>
      <c r="F6" s="35"/>
      <c r="G6" s="35"/>
      <c r="H6" s="35"/>
      <c r="I6" s="35"/>
      <c r="J6" s="35"/>
      <c r="K6" s="35"/>
      <c r="L6" s="35"/>
    </row>
    <row r="7" spans="1:19" ht="22.5" customHeight="1" x14ac:dyDescent="0.25">
      <c r="A7" s="36" t="s">
        <v>55</v>
      </c>
      <c r="B7" s="37">
        <v>5.5</v>
      </c>
      <c r="C7" s="89"/>
      <c r="D7" s="89"/>
      <c r="E7" s="89"/>
      <c r="F7" s="35"/>
      <c r="G7" s="35"/>
      <c r="H7" s="35"/>
      <c r="I7" s="35"/>
      <c r="J7" s="35"/>
      <c r="K7" s="35"/>
      <c r="L7" s="35"/>
    </row>
    <row r="8" spans="1:19" ht="22.5" customHeight="1" x14ac:dyDescent="0.25">
      <c r="A8" s="36" t="s">
        <v>56</v>
      </c>
      <c r="B8" s="37">
        <f>SUM(B6:B7)</f>
        <v>22</v>
      </c>
      <c r="C8" s="89"/>
      <c r="D8" s="89"/>
      <c r="E8" s="89"/>
      <c r="F8" s="35"/>
      <c r="G8" s="35"/>
      <c r="H8" s="35"/>
      <c r="I8" s="35"/>
      <c r="J8" s="35"/>
      <c r="K8" s="35"/>
      <c r="L8" s="35"/>
    </row>
    <row r="9" spans="1:19" ht="22.5" customHeight="1" x14ac:dyDescent="0.25">
      <c r="A9" s="36" t="s">
        <v>57</v>
      </c>
      <c r="B9" s="37">
        <v>20</v>
      </c>
      <c r="C9" s="89"/>
      <c r="D9" s="89"/>
      <c r="E9" s="89"/>
      <c r="F9" s="35"/>
      <c r="G9" s="35"/>
      <c r="H9" s="35"/>
      <c r="I9" s="35"/>
      <c r="J9" s="35"/>
      <c r="K9" s="35"/>
      <c r="L9" s="35"/>
    </row>
    <row r="10" spans="1:19" ht="30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5">
      <c r="A11" s="90" t="s">
        <v>58</v>
      </c>
      <c r="B11" s="84"/>
      <c r="C11" s="84"/>
      <c r="D11" s="85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5">
      <c r="A12" s="40" t="s">
        <v>59</v>
      </c>
      <c r="B12" s="41" t="s">
        <v>60</v>
      </c>
      <c r="C12" s="41" t="s">
        <v>61</v>
      </c>
      <c r="D12" s="41" t="s">
        <v>62</v>
      </c>
      <c r="E12" s="35"/>
    </row>
    <row r="13" spans="1:19" ht="15.75" customHeight="1" x14ac:dyDescent="0.35">
      <c r="A13" s="42" t="s">
        <v>63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5">
      <c r="A14" s="42" t="s">
        <v>64</v>
      </c>
      <c r="B14" s="44">
        <v>95</v>
      </c>
      <c r="C14" s="44">
        <v>10</v>
      </c>
      <c r="D14" s="44">
        <v>1</v>
      </c>
    </row>
    <row r="15" spans="1:19" ht="15.75" customHeight="1" x14ac:dyDescent="0.25">
      <c r="A15" s="42" t="s">
        <v>65</v>
      </c>
      <c r="B15" s="44">
        <v>94</v>
      </c>
      <c r="C15" s="44">
        <v>0.5</v>
      </c>
      <c r="D15" s="91">
        <v>40</v>
      </c>
    </row>
    <row r="16" spans="1:19" ht="15.75" customHeight="1" x14ac:dyDescent="0.25">
      <c r="A16" s="42" t="s">
        <v>66</v>
      </c>
      <c r="B16" s="44">
        <v>55</v>
      </c>
      <c r="C16" s="44">
        <v>1</v>
      </c>
      <c r="D16" s="92"/>
    </row>
    <row r="17" spans="1:26" ht="15.75" customHeight="1" x14ac:dyDescent="0.25">
      <c r="A17" s="42" t="s">
        <v>67</v>
      </c>
      <c r="B17" s="44">
        <v>98</v>
      </c>
      <c r="C17" s="44">
        <v>10</v>
      </c>
      <c r="D17" s="44">
        <v>1</v>
      </c>
    </row>
    <row r="18" spans="1:26" ht="15.75" customHeight="1" x14ac:dyDescent="0.25">
      <c r="A18" s="45"/>
      <c r="B18" s="39"/>
      <c r="C18" s="39"/>
      <c r="D18" s="39"/>
    </row>
    <row r="19" spans="1:26" ht="27" customHeight="1" x14ac:dyDescent="0.25">
      <c r="A19" s="78" t="s">
        <v>68</v>
      </c>
      <c r="B19" s="79"/>
      <c r="C19" s="79"/>
      <c r="D19" s="80"/>
    </row>
    <row r="20" spans="1:26" ht="15.75" customHeight="1" x14ac:dyDescent="0.35">
      <c r="A20" s="46" t="s">
        <v>69</v>
      </c>
      <c r="B20" s="44" t="s">
        <v>70</v>
      </c>
      <c r="C20" s="47"/>
      <c r="D20" s="47"/>
    </row>
    <row r="21" spans="1:26" ht="15.75" customHeight="1" x14ac:dyDescent="0.35">
      <c r="A21" s="46" t="s">
        <v>71</v>
      </c>
      <c r="B21" s="44" t="s">
        <v>72</v>
      </c>
      <c r="C21" s="47"/>
      <c r="D21" s="47"/>
    </row>
    <row r="22" spans="1:26" ht="15.75" customHeight="1" x14ac:dyDescent="0.35">
      <c r="A22" s="46" t="s">
        <v>73</v>
      </c>
      <c r="B22" s="44" t="s">
        <v>74</v>
      </c>
      <c r="C22" s="47"/>
      <c r="D22" s="47"/>
    </row>
    <row r="23" spans="1:26" ht="51" customHeight="1" x14ac:dyDescent="0.25"/>
    <row r="24" spans="1:26" ht="31.5" customHeight="1" x14ac:dyDescent="0.25">
      <c r="A24" s="48" t="s">
        <v>75</v>
      </c>
      <c r="B24" s="49">
        <f>COUNTIF('Sample IDs'!B2:M9,"&lt;&gt;"&amp;"")</f>
        <v>36</v>
      </c>
      <c r="C24" s="88" t="s">
        <v>76</v>
      </c>
      <c r="D24" s="89"/>
      <c r="E24" s="89"/>
      <c r="F24" s="89"/>
      <c r="G24" s="89"/>
      <c r="H24" s="89"/>
      <c r="I24" s="89"/>
      <c r="J24" s="89"/>
      <c r="K24" s="89"/>
      <c r="L24" s="89"/>
    </row>
    <row r="25" spans="1:26" ht="30" customHeight="1" x14ac:dyDescent="0.25">
      <c r="A25" s="50" t="s">
        <v>77</v>
      </c>
      <c r="B25" s="51">
        <v>1.1000000000000001</v>
      </c>
      <c r="C25" s="52" t="s">
        <v>78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5">
      <c r="A27" s="81" t="s">
        <v>79</v>
      </c>
      <c r="B27" s="82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35">
      <c r="A28" s="55" t="s">
        <v>80</v>
      </c>
      <c r="B28" s="56">
        <f>ROUNDUP(B33-B29-B30-B31-($B$5*B32),0)</f>
        <v>262</v>
      </c>
      <c r="C28" s="57"/>
      <c r="D28" s="57"/>
      <c r="E28" s="35"/>
      <c r="F28" s="35"/>
      <c r="L28" s="35"/>
    </row>
    <row r="29" spans="1:26" ht="15.75" customHeight="1" x14ac:dyDescent="0.35">
      <c r="A29" s="55" t="s">
        <v>81</v>
      </c>
      <c r="B29" s="56">
        <f>ROUNDUP(5.5*($B$24*B25),0)</f>
        <v>218</v>
      </c>
      <c r="C29" s="58" t="s">
        <v>82</v>
      </c>
      <c r="D29" s="57"/>
      <c r="E29" s="35"/>
      <c r="F29" s="35"/>
      <c r="L29" s="35"/>
    </row>
    <row r="30" spans="1:26" ht="15.75" customHeight="1" x14ac:dyDescent="0.35">
      <c r="A30" s="55" t="s">
        <v>83</v>
      </c>
      <c r="B30" s="56">
        <f>ROUNDUP(2.2*($B$24*B25),1)</f>
        <v>87.199999999999989</v>
      </c>
      <c r="C30" s="58" t="s">
        <v>82</v>
      </c>
      <c r="D30" s="57"/>
      <c r="E30" s="35"/>
      <c r="F30" s="35"/>
      <c r="L30" s="35"/>
    </row>
    <row r="31" spans="1:26" ht="15.75" customHeight="1" x14ac:dyDescent="0.35">
      <c r="A31" s="55" t="s">
        <v>84</v>
      </c>
      <c r="B31" s="56">
        <f>ROUNDUP(1.1*$B$24*B25,1)</f>
        <v>43.6</v>
      </c>
      <c r="C31" s="58" t="s">
        <v>82</v>
      </c>
      <c r="D31" s="57"/>
      <c r="E31" s="35"/>
      <c r="F31" s="35"/>
      <c r="L31" s="35"/>
    </row>
    <row r="32" spans="1:26" ht="15.75" customHeight="1" x14ac:dyDescent="0.35">
      <c r="A32" s="55" t="s">
        <v>85</v>
      </c>
      <c r="B32" s="56">
        <f>ROUNDUP(1.1*$B$24*B25,1)</f>
        <v>43.6</v>
      </c>
      <c r="C32" s="58" t="s">
        <v>82</v>
      </c>
      <c r="D32" s="57"/>
      <c r="E32" s="35"/>
      <c r="F32" s="35"/>
      <c r="L32" s="35"/>
    </row>
    <row r="33" spans="1:12" ht="15.75" customHeight="1" x14ac:dyDescent="0.35">
      <c r="A33" s="59" t="s">
        <v>86</v>
      </c>
      <c r="B33" s="60">
        <f>ROUNDUP(B25*$B$24*16.5,0)</f>
        <v>654</v>
      </c>
      <c r="C33" s="58" t="s">
        <v>87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defaultColWidth="10.1796875" defaultRowHeight="15" customHeight="1" x14ac:dyDescent="0.25"/>
  <cols>
    <col min="1" max="1" width="13" customWidth="1"/>
    <col min="2" max="2" width="42.1796875" customWidth="1"/>
    <col min="3" max="3" width="25.54296875" customWidth="1"/>
    <col min="4" max="4" width="21.26953125" customWidth="1"/>
    <col min="5" max="5" width="28.1796875" bestFit="1" customWidth="1"/>
    <col min="6" max="6" width="19.54296875" customWidth="1"/>
    <col min="7" max="7" width="13.453125" customWidth="1"/>
    <col min="8" max="8" width="44.7265625" customWidth="1"/>
    <col min="9" max="9" width="30.81640625" bestFit="1" customWidth="1"/>
    <col min="10" max="10" width="116.1796875" bestFit="1" customWidth="1"/>
    <col min="11" max="11" width="20.54296875" style="71" customWidth="1"/>
    <col min="12" max="12" width="21.81640625" customWidth="1"/>
    <col min="13" max="25" width="10.54296875" customWidth="1"/>
  </cols>
  <sheetData>
    <row r="1" spans="1:13" ht="15.75" customHeight="1" x14ac:dyDescent="0.3">
      <c r="A1" s="66" t="s">
        <v>88</v>
      </c>
      <c r="B1" s="66" t="s">
        <v>89</v>
      </c>
      <c r="C1" s="66" t="s">
        <v>90</v>
      </c>
      <c r="D1" s="66" t="s">
        <v>91</v>
      </c>
      <c r="E1" s="66" t="s">
        <v>92</v>
      </c>
      <c r="F1" s="66" t="s">
        <v>93</v>
      </c>
      <c r="G1" s="66" t="s">
        <v>94</v>
      </c>
      <c r="H1" s="66" t="s">
        <v>95</v>
      </c>
      <c r="I1" s="66" t="s">
        <v>96</v>
      </c>
      <c r="J1" s="66" t="s">
        <v>97</v>
      </c>
      <c r="K1" s="68" t="s">
        <v>98</v>
      </c>
      <c r="L1" s="66" t="s">
        <v>99</v>
      </c>
      <c r="M1" s="63"/>
    </row>
    <row r="2" spans="1:13" ht="15.75" customHeight="1" x14ac:dyDescent="0.25">
      <c r="A2" s="25" t="s">
        <v>6</v>
      </c>
      <c r="B2" s="25" t="s">
        <v>141</v>
      </c>
      <c r="C2" s="25" t="s">
        <v>101</v>
      </c>
      <c r="D2" s="25" t="s">
        <v>16</v>
      </c>
      <c r="E2" s="25" t="s">
        <v>16</v>
      </c>
      <c r="F2" s="25" t="s">
        <v>25</v>
      </c>
      <c r="G2" s="25" t="s">
        <v>18</v>
      </c>
      <c r="H2" s="25" t="s">
        <v>12</v>
      </c>
      <c r="I2" s="25" t="s">
        <v>151</v>
      </c>
      <c r="J2" s="25" t="s">
        <v>120</v>
      </c>
      <c r="K2" s="72">
        <v>2</v>
      </c>
      <c r="L2" s="25" t="s">
        <v>27</v>
      </c>
      <c r="M2" s="25"/>
    </row>
    <row r="3" spans="1:13" ht="15.75" customHeight="1" x14ac:dyDescent="0.25">
      <c r="A3" s="25" t="s">
        <v>100</v>
      </c>
      <c r="B3" s="25" t="s">
        <v>139</v>
      </c>
      <c r="C3" s="25" t="s">
        <v>106</v>
      </c>
      <c r="D3" s="25" t="s">
        <v>102</v>
      </c>
      <c r="E3" s="25" t="s">
        <v>155</v>
      </c>
      <c r="F3" s="25" t="s">
        <v>32</v>
      </c>
      <c r="G3" s="25" t="s">
        <v>39</v>
      </c>
      <c r="H3" s="25" t="s">
        <v>103</v>
      </c>
      <c r="I3" s="25" t="s">
        <v>152</v>
      </c>
      <c r="J3" s="25" t="s">
        <v>121</v>
      </c>
      <c r="K3" s="69">
        <v>1.2</v>
      </c>
      <c r="L3" s="25" t="s">
        <v>119</v>
      </c>
      <c r="M3" s="25"/>
    </row>
    <row r="4" spans="1:13" ht="15.75" customHeight="1" x14ac:dyDescent="0.25">
      <c r="A4" s="25" t="s">
        <v>122</v>
      </c>
      <c r="B4" s="25" t="s">
        <v>140</v>
      </c>
      <c r="C4" s="25" t="s">
        <v>109</v>
      </c>
      <c r="D4" s="25" t="s">
        <v>22</v>
      </c>
      <c r="E4" s="25" t="s">
        <v>20</v>
      </c>
      <c r="F4" s="25" t="s">
        <v>105</v>
      </c>
      <c r="G4" s="25" t="s">
        <v>107</v>
      </c>
      <c r="H4" s="64" t="s">
        <v>123</v>
      </c>
      <c r="I4" s="25" t="s">
        <v>104</v>
      </c>
      <c r="J4" s="25" t="s">
        <v>124</v>
      </c>
      <c r="K4" s="70"/>
      <c r="L4" s="25" t="s">
        <v>108</v>
      </c>
      <c r="M4" s="25"/>
    </row>
    <row r="5" spans="1:13" ht="15.75" customHeight="1" x14ac:dyDescent="0.25">
      <c r="A5" s="25" t="s">
        <v>105</v>
      </c>
      <c r="B5" s="25" t="s">
        <v>150</v>
      </c>
      <c r="C5" s="25" t="s">
        <v>105</v>
      </c>
      <c r="D5" s="25" t="s">
        <v>110</v>
      </c>
      <c r="E5" s="25" t="s">
        <v>34</v>
      </c>
      <c r="G5" s="25" t="s">
        <v>111</v>
      </c>
      <c r="H5" s="67" t="s">
        <v>125</v>
      </c>
      <c r="I5" s="25" t="s">
        <v>105</v>
      </c>
      <c r="J5" s="25" t="s">
        <v>126</v>
      </c>
      <c r="K5" s="70"/>
      <c r="L5" s="25" t="s">
        <v>112</v>
      </c>
      <c r="M5" s="25"/>
    </row>
    <row r="6" spans="1:13" ht="15.75" customHeight="1" x14ac:dyDescent="0.25">
      <c r="A6" s="25"/>
      <c r="B6" s="75" t="s">
        <v>145</v>
      </c>
      <c r="D6" s="25" t="s">
        <v>105</v>
      </c>
      <c r="E6" s="25" t="s">
        <v>156</v>
      </c>
      <c r="F6" s="25"/>
      <c r="G6" s="25" t="s">
        <v>113</v>
      </c>
      <c r="H6" s="64" t="s">
        <v>123</v>
      </c>
      <c r="J6" s="25" t="s">
        <v>127</v>
      </c>
      <c r="K6" s="70"/>
      <c r="L6" s="25" t="s">
        <v>114</v>
      </c>
      <c r="M6" s="25"/>
    </row>
    <row r="7" spans="1:13" ht="15.75" customHeight="1" x14ac:dyDescent="0.25">
      <c r="A7" s="25"/>
      <c r="B7" s="75" t="s">
        <v>146</v>
      </c>
      <c r="C7" s="25"/>
      <c r="D7" s="25"/>
      <c r="E7" s="25" t="s">
        <v>157</v>
      </c>
      <c r="F7" s="25"/>
      <c r="G7" s="25" t="s">
        <v>116</v>
      </c>
      <c r="H7" s="25" t="s">
        <v>105</v>
      </c>
      <c r="I7" s="25"/>
      <c r="J7" s="64" t="s">
        <v>123</v>
      </c>
      <c r="K7" s="70"/>
      <c r="L7" s="25" t="s">
        <v>105</v>
      </c>
      <c r="M7" s="25"/>
    </row>
    <row r="8" spans="1:13" ht="15.75" customHeight="1" x14ac:dyDescent="0.25">
      <c r="A8" s="25"/>
      <c r="B8" s="25" t="s">
        <v>142</v>
      </c>
      <c r="C8" s="25"/>
      <c r="D8" s="25"/>
      <c r="E8" s="25" t="s">
        <v>115</v>
      </c>
      <c r="F8" s="25"/>
      <c r="G8" s="25" t="s">
        <v>38</v>
      </c>
      <c r="H8" s="25"/>
      <c r="I8" s="25"/>
      <c r="J8" s="25" t="s">
        <v>128</v>
      </c>
      <c r="K8" s="70"/>
    </row>
    <row r="9" spans="1:13" ht="15.75" customHeight="1" x14ac:dyDescent="0.25">
      <c r="A9" s="25"/>
      <c r="B9" s="25" t="s">
        <v>143</v>
      </c>
      <c r="C9" s="25"/>
      <c r="D9" s="25"/>
      <c r="E9" s="25" t="s">
        <v>149</v>
      </c>
      <c r="F9" s="25"/>
      <c r="G9" s="25" t="s">
        <v>117</v>
      </c>
      <c r="H9" s="25"/>
      <c r="I9" s="25"/>
      <c r="J9" s="25" t="s">
        <v>129</v>
      </c>
      <c r="K9" s="70"/>
    </row>
    <row r="10" spans="1:13" ht="15.75" customHeight="1" x14ac:dyDescent="0.25">
      <c r="A10" s="25"/>
      <c r="B10" s="25" t="s">
        <v>164</v>
      </c>
      <c r="C10" s="25"/>
      <c r="D10" s="25"/>
      <c r="E10" s="25" t="s">
        <v>105</v>
      </c>
      <c r="F10" s="25"/>
      <c r="G10" s="25"/>
      <c r="H10" s="25"/>
      <c r="I10" s="25"/>
      <c r="J10" s="25" t="s">
        <v>130</v>
      </c>
      <c r="K10" s="70"/>
    </row>
    <row r="11" spans="1:13" ht="15.75" customHeight="1" x14ac:dyDescent="0.25">
      <c r="A11" s="25"/>
      <c r="B11" s="25" t="s">
        <v>162</v>
      </c>
      <c r="C11" s="25"/>
      <c r="D11" s="25"/>
      <c r="E11" s="25"/>
      <c r="F11" s="25"/>
      <c r="G11" s="25"/>
      <c r="H11" s="25"/>
      <c r="I11" s="25"/>
      <c r="J11" s="25" t="s">
        <v>131</v>
      </c>
      <c r="K11" s="70"/>
    </row>
    <row r="12" spans="1:13" ht="15.75" customHeight="1" x14ac:dyDescent="0.25">
      <c r="A12" s="25"/>
      <c r="B12" s="25" t="s">
        <v>163</v>
      </c>
      <c r="C12" s="25"/>
      <c r="D12" s="25"/>
      <c r="E12" s="25"/>
      <c r="F12" s="25"/>
      <c r="G12" s="25"/>
      <c r="H12" s="25"/>
      <c r="I12" s="25"/>
      <c r="J12" s="25" t="s">
        <v>132</v>
      </c>
      <c r="K12" s="70"/>
    </row>
    <row r="13" spans="1:13" ht="15.75" customHeight="1" x14ac:dyDescent="0.25">
      <c r="A13" s="25"/>
      <c r="B13" s="25" t="s">
        <v>147</v>
      </c>
      <c r="C13" s="25"/>
      <c r="D13" s="25"/>
      <c r="E13" s="25"/>
      <c r="F13" s="25"/>
      <c r="G13" s="25"/>
      <c r="H13" s="25"/>
      <c r="I13" s="25"/>
      <c r="J13" s="25" t="s">
        <v>133</v>
      </c>
      <c r="K13" s="70"/>
    </row>
    <row r="14" spans="1:13" ht="15.75" customHeight="1" x14ac:dyDescent="0.25">
      <c r="A14" s="25"/>
      <c r="B14" s="25" t="s">
        <v>153</v>
      </c>
      <c r="C14" s="25"/>
      <c r="D14" s="25"/>
      <c r="E14" s="25"/>
      <c r="F14" s="25"/>
      <c r="G14" s="25"/>
      <c r="H14" s="25"/>
      <c r="I14" s="25"/>
      <c r="J14" s="25" t="s">
        <v>134</v>
      </c>
      <c r="K14" s="70"/>
    </row>
    <row r="15" spans="1:13" ht="15.75" customHeight="1" x14ac:dyDescent="0.25">
      <c r="A15" s="25"/>
      <c r="B15" s="25" t="s">
        <v>154</v>
      </c>
      <c r="C15" s="25"/>
      <c r="D15" s="25"/>
      <c r="E15" s="25"/>
      <c r="F15" s="25"/>
      <c r="G15" s="25"/>
      <c r="H15" s="25"/>
      <c r="I15" s="25"/>
      <c r="J15" s="25" t="s">
        <v>135</v>
      </c>
      <c r="K15" s="70"/>
    </row>
    <row r="16" spans="1:13" ht="15.75" customHeight="1" x14ac:dyDescent="0.25">
      <c r="A16" s="25"/>
      <c r="B16" s="75" t="s">
        <v>148</v>
      </c>
      <c r="C16" s="25"/>
      <c r="D16" s="25"/>
      <c r="E16" s="25"/>
      <c r="F16" s="25"/>
      <c r="G16" s="25"/>
      <c r="H16" s="25"/>
      <c r="I16" s="25"/>
      <c r="J16" s="64" t="s">
        <v>123</v>
      </c>
      <c r="K16" s="70"/>
    </row>
    <row r="17" spans="1:11" ht="15.75" customHeight="1" x14ac:dyDescent="0.25">
      <c r="A17" s="25"/>
      <c r="B17" s="25" t="s">
        <v>149</v>
      </c>
      <c r="C17" s="25"/>
      <c r="D17" s="25"/>
      <c r="E17" s="25"/>
      <c r="F17" s="25"/>
      <c r="G17" s="25"/>
      <c r="H17" s="25"/>
      <c r="I17" s="25"/>
      <c r="J17" s="67" t="s">
        <v>136</v>
      </c>
      <c r="K17" s="70"/>
    </row>
    <row r="18" spans="1:11" ht="15.75" customHeight="1" x14ac:dyDescent="0.25">
      <c r="A18" s="25"/>
      <c r="B18" s="25" t="s">
        <v>144</v>
      </c>
      <c r="C18" s="25"/>
      <c r="D18" s="25"/>
      <c r="E18" s="25"/>
      <c r="F18" s="25"/>
      <c r="G18" s="25"/>
      <c r="H18" s="25"/>
      <c r="I18" s="25"/>
      <c r="J18" s="67" t="s">
        <v>137</v>
      </c>
      <c r="K18" s="70"/>
    </row>
    <row r="19" spans="1:11" ht="15.75" customHeight="1" x14ac:dyDescent="0.25">
      <c r="A19" s="25"/>
      <c r="B19" s="25" t="s">
        <v>105</v>
      </c>
      <c r="C19" s="25"/>
      <c r="D19" s="25"/>
      <c r="E19" s="25"/>
      <c r="F19" s="25"/>
      <c r="G19" s="25"/>
      <c r="H19" s="25"/>
      <c r="I19" s="25"/>
      <c r="J19" s="64" t="s">
        <v>123</v>
      </c>
      <c r="K19" s="70"/>
    </row>
    <row r="20" spans="1:11" ht="15.75" customHeight="1" x14ac:dyDescent="0.25">
      <c r="A20" s="25"/>
      <c r="C20" s="25"/>
      <c r="D20" s="25"/>
      <c r="E20" s="25"/>
      <c r="F20" s="25"/>
      <c r="G20" s="25"/>
      <c r="H20" s="25"/>
      <c r="I20" s="25"/>
      <c r="J20" s="25" t="s">
        <v>118</v>
      </c>
      <c r="K20" s="70"/>
    </row>
    <row r="21" spans="1:11" ht="15.75" customHeight="1" x14ac:dyDescent="0.25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5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5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5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5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5">
      <c r="B26" s="65"/>
      <c r="H26" s="25"/>
      <c r="J26" s="25"/>
    </row>
    <row r="27" spans="1:11" ht="15.75" customHeight="1" x14ac:dyDescent="0.25">
      <c r="B27" s="65"/>
      <c r="J27" s="25"/>
    </row>
    <row r="28" spans="1:11" ht="15.75" customHeight="1" x14ac:dyDescent="0.25">
      <c r="B28" s="65"/>
    </row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Josh Lambert</cp:lastModifiedBy>
  <dcterms:created xsi:type="dcterms:W3CDTF">2021-08-03T22:14:55Z</dcterms:created>
  <dcterms:modified xsi:type="dcterms:W3CDTF">2026-03-04T19:49:28Z</dcterms:modified>
</cp:coreProperties>
</file>