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7B0CED54-0919-4FB4-9432-E22D8638A2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<sst xmlns="http://schemas.openxmlformats.org/spreadsheetml/2006/main" count="453" uniqueCount="264">
  <si>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</si>
  <si>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</si>
  <si>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</si>
  <si>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</si>
  <si>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</si>
  <si>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</si>
  <si>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</si>
  <si>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</si>
  <si>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</si>
  <si>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</si>
  <si>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</si>
  <si>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</si>
  <si>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</si>
  <si>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</si>
  <si>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</si>
  <si>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</si>
  <si>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</si>
  <si>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</si>
  <si>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</si>
  <si>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</si>
  <si>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</si>
  <si>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</si>
  <si>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</si>
  <si>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</si>
  <si>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</si>
  <si>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</si>
  <si>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</si>
  <si>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</si>
  <si>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</si>
  <si>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</si>
  <si>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</si>
  <si>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</si>
  <si>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</si>
  <si>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</si>
  <si>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</si>
  <si>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</si>
  <si>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</si>
  <si>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</si>
  <si>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</si>
  <si>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</si>
  <si>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</si>
  <si>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</si>
  <si>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</si>
  <si>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</si>
  <si>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</si>
  <si>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</si>
  <si>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</si>
  <si>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</si>
  <si>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</si>
  <si>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</si>
  <si>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</si>
  <si>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</si>
  <si>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</si>
  <si>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</si>
  <si>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</si>
  <si>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</si>
  <si>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</si>
  <si>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</si>
  <si>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</si>
  <si>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</si>
  <si>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</si>
  <si>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</si>
  <si>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</si>
  <si>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</si>
  <si>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</si>
  <si>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</si>
  <si>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</si>
  <si>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</si>
  <si>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</si>
  <si>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</si>
  <si>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</si>
  <si>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</si>
  <si>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</si>
  <si>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</si>
  <si>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</si>
  <si>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</si>
  <si>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</si>
  <si>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</si>
  <si>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</si>
  <si>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</si>
  <si>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</si>
  <si>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</si>
  <si>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</si>
  <si>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</si>
  <si>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</si>
  <si>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</si>
  <si>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</si>
  <si>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</si>
  <si>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</si>
  <si>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</si>
  <si>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</si>
  <si>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</si>
  <si>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</si>
  <si>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</si>
  <si>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</si>
  <si>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</si>
  <si>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</si>
  <si>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</si>
  <si>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</si>
  <si>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</si>
  <si>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</si>
  <si>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</si>
  <si>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</si>
  <si>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</si>
  <si>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</si>
  <si>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</si>
  <si>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</si>
  <si>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</si>
  <si>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</si>
  <si>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</si>
  <si>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</si>
  <si>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</si>
  <si>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</si>
  <si>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</si>
  <si>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</si>
  <si>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</si>
  <si>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</si>
  <si>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</si>
  <si>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</si>
  <si>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</si>
  <si>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</si>
  <si>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</si>
  <si>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</si>
  <si>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</si>
  <si>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</si>
  <si>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</si>
  <si>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</si>
  <si>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</si>
  <si>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</si>
  <si>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</si>
  <si>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</si>
  <si>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</si>
  <si>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</si>
  <si>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</si>
  <si>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</si>
  <si>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</si>
  <si>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</si>
  <si>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</si>
  <si>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</si>
  <si>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</si>
  <si>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</si>
  <si>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</si>
  <si>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</si>
  <si>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</si>
  <si>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</si>
  <si>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</si>
  <si>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</si>
  <si>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</si>
  <si>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</si>
  <si>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</si>
  <si>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</si>
  <si>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</si>
  <si>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</si>
  <si>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</si>
  <si>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</si>
  <si>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</si>
  <si>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</si>
  <si>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</si>
  <si>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</si>
  <si>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</si>
  <si>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</si>
  <si>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</si>
  <si>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</si>
  <si>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</si>
  <si>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</si>
  <si>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</si>
  <si>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</si>
  <si>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</si>
  <si>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</si>
  <si>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</si>
  <si>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</si>
  <si>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</si>
  <si>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</si>
  <si>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</si>
  <si>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</si>
  <si>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</si>
  <si>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</si>
  <si>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</si>
  <si>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</si>
  <si>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</si>
  <si>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</si>
  <si>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</si>
  <si>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</si>
  <si>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</si>
  <si>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</si>
  <si>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</si>
  <si>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</si>
  <si>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</si>
  <si>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</si>
  <si>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</si>
  <si>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</si>
  <si>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</si>
  <si>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</si>
  <si>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</si>
  <si>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</si>
  <si>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</si>
  <si>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</si>
  <si>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</si>
  <si>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</si>
  <si>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</si>
  <si>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</si>
  <si>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</si>
  <si>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A01-1416</t>
  </si>
  <si>
    <t>C01-1127</t>
  </si>
  <si>
    <t>Q01-1002</t>
  </si>
  <si>
    <t>O01-0589</t>
  </si>
  <si>
    <t>A01-1417</t>
  </si>
  <si>
    <t>C01-1128</t>
  </si>
  <si>
    <t>A04-0567</t>
  </si>
  <si>
    <t>M03-1000</t>
  </si>
  <si>
    <t>A01-1418</t>
  </si>
  <si>
    <t>C01-1129</t>
  </si>
  <si>
    <t>K01-0543</t>
  </si>
  <si>
    <t>M04-1000</t>
  </si>
  <si>
    <t>A01-1419</t>
  </si>
  <si>
    <t>C01-1130</t>
  </si>
  <si>
    <t>K01-0540</t>
  </si>
  <si>
    <t>L01-0658</t>
  </si>
  <si>
    <t>A01-1420</t>
  </si>
  <si>
    <t>J01-1001</t>
  </si>
  <si>
    <t>F01-0151</t>
  </si>
  <si>
    <t>N02-0595</t>
  </si>
  <si>
    <t>A01-1421</t>
  </si>
  <si>
    <t>J01-1002</t>
  </si>
  <si>
    <t>U01-0165</t>
  </si>
  <si>
    <t>A01-1422</t>
  </si>
  <si>
    <t>R02-1002</t>
  </si>
  <si>
    <t>H01-1009</t>
  </si>
  <si>
    <t>C01-1126</t>
  </si>
  <si>
    <t>D01-1001</t>
  </si>
  <si>
    <t>P01-1003</t>
  </si>
  <si>
    <t>NAB 159 L1</t>
  </si>
  <si>
    <t>NAB160 A1</t>
  </si>
  <si>
    <t>B1</t>
  </si>
  <si>
    <t>C1</t>
  </si>
  <si>
    <t>L2</t>
  </si>
  <si>
    <t>A2</t>
  </si>
  <si>
    <t>B2</t>
  </si>
  <si>
    <t>C2</t>
  </si>
  <si>
    <t>L3</t>
  </si>
  <si>
    <t>A3</t>
  </si>
  <si>
    <t>B3</t>
  </si>
  <si>
    <t>C3</t>
  </si>
  <si>
    <t>L4</t>
  </si>
  <si>
    <t>A4</t>
  </si>
  <si>
    <t>B4</t>
  </si>
  <si>
    <t>C4</t>
  </si>
  <si>
    <t>L5</t>
  </si>
  <si>
    <t>A5</t>
  </si>
  <si>
    <t>B5</t>
  </si>
  <si>
    <t>C5</t>
  </si>
  <si>
    <t>L6</t>
  </si>
  <si>
    <t>A6</t>
  </si>
  <si>
    <t>B6</t>
  </si>
  <si>
    <t>L7</t>
  </si>
  <si>
    <t>A7</t>
  </si>
  <si>
    <t>B7</t>
  </si>
  <si>
    <t>L8</t>
  </si>
  <si>
    <t>A8</t>
  </si>
  <si>
    <t>B8</t>
  </si>
  <si>
    <t>ntc</t>
  </si>
  <si>
    <t>JL</t>
  </si>
  <si>
    <t>AB127</t>
  </si>
  <si>
    <t>F04,G04,H04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</si>
</sst>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8"/>
      <color theme="1"/>
      <name val="Calibri"/>
    </font>
    <font>
      <b/>
      <sz val="12"/>
      <color theme="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20" fillId="8" borderId="20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/>
    </xf>
    <xf numFmtId="0" fontId="21" fillId="9" borderId="20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zoomScale="89" zoomScaleNormal="70" workbookViewId="0">
      <selection activeCell="B99" sqref="B99"/>
    </sheetView>
  </sheetViews>
  <sheetFormatPr defaultColWidth="11.453125" defaultRowHeight="15" customHeight="1" x14ac:dyDescent="0.35"/>
  <cols>
    <col min="1" max="1" width="51.54296875" style="43" customWidth="1"/>
    <col min="2" max="2" width="113.81640625" style="43" bestFit="1" customWidth="1"/>
    <col min="3" max="3" width="93.81640625" style="43" customWidth="1"/>
    <col min="4" max="26" width="26" style="43" customWidth="1"/>
    <col min="27" max="16384" width="11.453125" style="43"/>
  </cols>
  <sheetData>
    <row r="1" spans="1:26" ht="31.95" customHeight="1" x14ac:dyDescent="0.35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1.95" customHeight="1" thickBot="1" x14ac:dyDescent="0.4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35">
      <c r="A3" s="46" t="s">
        <v>1</v>
      </c>
      <c r="B3" s="47">
        <v>46000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35">
      <c r="A4" s="42" t="s">
        <v>2</v>
      </c>
      <c r="B4" s="42" t="s">
        <v>261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35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35">
      <c r="A6" s="49" t="s">
        <v>120</v>
      </c>
      <c r="B6" s="49" t="s">
        <v>262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35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35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35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35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35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35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35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35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35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4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.05" customHeight="1" x14ac:dyDescent="0.35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.05" customHeight="1" x14ac:dyDescent="0.35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.05" customHeight="1" x14ac:dyDescent="0.35">
      <c r="A19" s="51" t="s">
        <v>113</v>
      </c>
      <c r="B19" s="52" t="s">
        <v>197</v>
      </c>
      <c r="C19"/>
    </row>
    <row r="20" spans="1:26" ht="25.05" customHeight="1" x14ac:dyDescent="0.35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.05" customHeight="1" x14ac:dyDescent="0.35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.05" customHeight="1" x14ac:dyDescent="0.35">
      <c r="A22" s="53" t="s">
        <v>79</v>
      </c>
      <c r="B22" s="54" t="s">
        <v>89</v>
      </c>
      <c r="C22"/>
    </row>
    <row r="23" spans="1:26" ht="25.05" customHeight="1" x14ac:dyDescent="0.35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.05" customHeight="1" x14ac:dyDescent="0.35">
      <c r="A24" s="53" t="s">
        <v>75</v>
      </c>
      <c r="B24" s="54" t="s">
        <v>130</v>
      </c>
      <c r="C24"/>
    </row>
    <row r="25" spans="1:26" ht="25.05" customHeight="1" x14ac:dyDescent="0.35">
      <c r="A25" s="56" t="s">
        <v>116</v>
      </c>
      <c r="B25" s="55" t="s">
        <v>263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.05" customHeight="1" x14ac:dyDescent="0.35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.05" customHeight="1" x14ac:dyDescent="0.35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.05" customHeight="1" x14ac:dyDescent="0.35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.05" customHeight="1" x14ac:dyDescent="0.35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.05" customHeight="1" x14ac:dyDescent="0.35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.05" customHeight="1" thickBot="1" x14ac:dyDescent="0.4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35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35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35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35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35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35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35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35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35">
      <c r="A40" s="56" t="s">
        <v>116</v>
      </c>
      <c r="B40" s="55" t="s">
        <v>263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35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35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35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35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35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4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35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35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35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35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35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35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35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35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35">
      <c r="A55" s="56" t="s">
        <v>116</v>
      </c>
      <c r="B55" s="55" t="s">
        <v>263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35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35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35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35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35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4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35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35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35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35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35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35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35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35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35">
      <c r="A70" s="56" t="s">
        <v>116</v>
      </c>
      <c r="B70" s="55" t="s">
        <v>263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35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35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35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35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35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4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35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35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35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35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35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35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35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35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35">
      <c r="A85" s="56" t="s">
        <v>116</v>
      </c>
      <c r="B85" s="55" t="s">
        <v>263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35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35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35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35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35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4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3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3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3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3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3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3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3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3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3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3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3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3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3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3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3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3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3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3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3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3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3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3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3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3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3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3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3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3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3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3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3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3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3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3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3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3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3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3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3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3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3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3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3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3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3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3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3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3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3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3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3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3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3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3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3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3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3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3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3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3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3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3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3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3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3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3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3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3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3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3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3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3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3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3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3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3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3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3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3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3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3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3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3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3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3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3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3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3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3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3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3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3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3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3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3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3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3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3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3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3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3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3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3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3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3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3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3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3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3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3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3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3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3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3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3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3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3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3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3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3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3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3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3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3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3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3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3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3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3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3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3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3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3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3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3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3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3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3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3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3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3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3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3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3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3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3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3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3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3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3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3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3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3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3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3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3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3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3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3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3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3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3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3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3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3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3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3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3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3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3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3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3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3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3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3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3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3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3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3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3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3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3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3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3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3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3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3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3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3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3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3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3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3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3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3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3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3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3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3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3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3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3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3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3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3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3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3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3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3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3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3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3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3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3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3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3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3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3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3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3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3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3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3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3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3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3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3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3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3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3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3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3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3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3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3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3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3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3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3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3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3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3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3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3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3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3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3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3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3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3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3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3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3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3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3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3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3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3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3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3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3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3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3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3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3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3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3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3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3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3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3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3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3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3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3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3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3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3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3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3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3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3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3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3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3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3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3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3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3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3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3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3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3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3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3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3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3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3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3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3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3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3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3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3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3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3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3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3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3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3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3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3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3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3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3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3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3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3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3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3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3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3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3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3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3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3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3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3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3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3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3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3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3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3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3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3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3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3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3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3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3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3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3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3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3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3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3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3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3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3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3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3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3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3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3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3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3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3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3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3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3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3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3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3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3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3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3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3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3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3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3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3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3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3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3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3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3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3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3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3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3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3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3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3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3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3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3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3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3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3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3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3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3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3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3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3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3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3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3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3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3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3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3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3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3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3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3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3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3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3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3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3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3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3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3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3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3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3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3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3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3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3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3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3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3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3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3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3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3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3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3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3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3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3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3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3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3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3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3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3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3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3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3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3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3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3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3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3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3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3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3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3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3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3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3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3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3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3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3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3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3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3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3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3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3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3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3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3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3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3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3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3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3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3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3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3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3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3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3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3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3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3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3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3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3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3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3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3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3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3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3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3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3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3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3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3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3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3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3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3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3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3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3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3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3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3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3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3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3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3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3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3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3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3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3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3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3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3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3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3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3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3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3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3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3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3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3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3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3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3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3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3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3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3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3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3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3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3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3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3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3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3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3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3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3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3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3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3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3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3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3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3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3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3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3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3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3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3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3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3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3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3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3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3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3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3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3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3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3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3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3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3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3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3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3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3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3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3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3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3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3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3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3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3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3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3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3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3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3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3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3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3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3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3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3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3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3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3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3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3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3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3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3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3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3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3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3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3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3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3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3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3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3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3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3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3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3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3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3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3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3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3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3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3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3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3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3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3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3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3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3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3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3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3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3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3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3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3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3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3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3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3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3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3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3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3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3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3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3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3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3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3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3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3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3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3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3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3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3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3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3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3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3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3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3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3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3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3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3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3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3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3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3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3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3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3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3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3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3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3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3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3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3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3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3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3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3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3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3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3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3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3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3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3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3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3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3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3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3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3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3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3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3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3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3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3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3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3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3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3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3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3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3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3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3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3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3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3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3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3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3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3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3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3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3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3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3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3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3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3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3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3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3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3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3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3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3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3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3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3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3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3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3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3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3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3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3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3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3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3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3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3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3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3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3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3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3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3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3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3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3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3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3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3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3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3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3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3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3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3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3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3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3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3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3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3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3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3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3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3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3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3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3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3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3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3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3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3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3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3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3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3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3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3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3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3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3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3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3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3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3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3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3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3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3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3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3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3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3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3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3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3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3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3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3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50" zoomScaleNormal="50" workbookViewId="0">
      <selection activeCell="E10" sqref="E10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75" t="s">
        <v>202</v>
      </c>
      <c r="C2" s="76" t="s">
        <v>203</v>
      </c>
      <c r="D2" s="75" t="s">
        <v>204</v>
      </c>
      <c r="E2" s="76" t="s">
        <v>205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76" t="s">
        <v>206</v>
      </c>
      <c r="C3" s="75" t="s">
        <v>207</v>
      </c>
      <c r="D3" s="76" t="s">
        <v>208</v>
      </c>
      <c r="E3" s="75" t="s">
        <v>209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75" t="s">
        <v>210</v>
      </c>
      <c r="C4" s="76" t="s">
        <v>211</v>
      </c>
      <c r="D4" s="75" t="s">
        <v>212</v>
      </c>
      <c r="E4" s="76" t="s">
        <v>213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76" t="s">
        <v>214</v>
      </c>
      <c r="C5" s="75" t="s">
        <v>215</v>
      </c>
      <c r="D5" s="76" t="s">
        <v>216</v>
      </c>
      <c r="E5" s="75" t="s">
        <v>217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75" t="s">
        <v>218</v>
      </c>
      <c r="C6" s="76" t="s">
        <v>219</v>
      </c>
      <c r="D6" s="75" t="s">
        <v>220</v>
      </c>
      <c r="E6" s="76" t="s">
        <v>221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76" t="s">
        <v>222</v>
      </c>
      <c r="C7" s="75" t="s">
        <v>223</v>
      </c>
      <c r="D7" s="76" t="s">
        <v>224</v>
      </c>
      <c r="E7" s="75" t="s">
        <v>260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75" t="s">
        <v>225</v>
      </c>
      <c r="C8" s="76" t="s">
        <v>226</v>
      </c>
      <c r="D8" s="75" t="s">
        <v>227</v>
      </c>
      <c r="E8" s="77" t="s">
        <v>260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76" t="s">
        <v>228</v>
      </c>
      <c r="C9" s="75" t="s">
        <v>229</v>
      </c>
      <c r="D9" s="76" t="s">
        <v>230</v>
      </c>
      <c r="E9" s="78" t="s">
        <v>260</v>
      </c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G4" sqref="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75" t="s">
        <v>231</v>
      </c>
      <c r="C2" s="76" t="s">
        <v>232</v>
      </c>
      <c r="D2" s="75" t="s">
        <v>233</v>
      </c>
      <c r="E2" s="76" t="s">
        <v>234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76" t="s">
        <v>235</v>
      </c>
      <c r="C3" s="75" t="s">
        <v>236</v>
      </c>
      <c r="D3" s="76" t="s">
        <v>237</v>
      </c>
      <c r="E3" s="75" t="s">
        <v>238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75" t="s">
        <v>239</v>
      </c>
      <c r="C4" s="76" t="s">
        <v>240</v>
      </c>
      <c r="D4" s="75" t="s">
        <v>241</v>
      </c>
      <c r="E4" s="76" t="s">
        <v>242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76" t="s">
        <v>243</v>
      </c>
      <c r="C5" s="75" t="s">
        <v>244</v>
      </c>
      <c r="D5" s="76" t="s">
        <v>245</v>
      </c>
      <c r="E5" s="75" t="s">
        <v>246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75" t="s">
        <v>247</v>
      </c>
      <c r="C6" s="76" t="s">
        <v>248</v>
      </c>
      <c r="D6" s="75" t="s">
        <v>249</v>
      </c>
      <c r="E6" s="76" t="s">
        <v>250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76" t="s">
        <v>251</v>
      </c>
      <c r="C7" s="75" t="s">
        <v>252</v>
      </c>
      <c r="D7" s="76" t="s">
        <v>253</v>
      </c>
      <c r="E7" s="75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75" t="s">
        <v>254</v>
      </c>
      <c r="C8" s="76" t="s">
        <v>255</v>
      </c>
      <c r="D8" s="75" t="s">
        <v>256</v>
      </c>
      <c r="E8" s="76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76" t="s">
        <v>257</v>
      </c>
      <c r="C9" s="75" t="s">
        <v>258</v>
      </c>
      <c r="D9" s="76" t="s">
        <v>259</v>
      </c>
      <c r="E9" s="75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1" activePane="bottomLeft" state="frozen"/>
      <selection pane="bottomLeft" activeCell="G7" sqref="G7"/>
    </sheetView>
  </sheetViews>
  <sheetFormatPr defaultColWidth="11.45312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6" t="s">
        <v>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2"/>
      <c r="S1" s="2"/>
    </row>
    <row r="2" spans="1:19" ht="31.5" customHeight="1" x14ac:dyDescent="0.25">
      <c r="A2" s="92" t="s">
        <v>5</v>
      </c>
      <c r="B2" s="92"/>
      <c r="C2" s="92"/>
      <c r="D2" s="92"/>
      <c r="E2" s="92"/>
      <c r="F2" s="92"/>
      <c r="G2" s="92"/>
      <c r="H2" s="92"/>
      <c r="I2" s="92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5">
      <c r="A3" s="93" t="s">
        <v>6</v>
      </c>
      <c r="B3" s="93"/>
      <c r="C3" s="93"/>
      <c r="D3" s="93"/>
      <c r="E3" s="93"/>
      <c r="F3" s="93"/>
      <c r="G3" s="93"/>
      <c r="H3" s="93"/>
      <c r="I3" s="93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5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5">
      <c r="A6" s="9" t="s">
        <v>9</v>
      </c>
      <c r="B6" s="10">
        <v>16.5</v>
      </c>
      <c r="C6" s="82" t="s">
        <v>10</v>
      </c>
      <c r="D6" s="83"/>
      <c r="E6" s="83"/>
      <c r="F6" s="8"/>
      <c r="G6" s="8"/>
      <c r="H6" s="8"/>
      <c r="I6" s="8"/>
      <c r="J6" s="8"/>
      <c r="K6" s="8"/>
      <c r="L6" s="8"/>
    </row>
    <row r="7" spans="1:19" ht="22.5" customHeight="1" x14ac:dyDescent="0.25">
      <c r="A7" s="9" t="s">
        <v>11</v>
      </c>
      <c r="B7" s="10">
        <v>5.5</v>
      </c>
      <c r="C7" s="83"/>
      <c r="D7" s="83"/>
      <c r="E7" s="83"/>
      <c r="F7" s="8"/>
      <c r="G7" s="8"/>
      <c r="H7" s="8"/>
      <c r="I7" s="8"/>
      <c r="J7" s="8"/>
      <c r="K7" s="8"/>
      <c r="L7" s="8"/>
    </row>
    <row r="8" spans="1:19" ht="22.5" customHeight="1" x14ac:dyDescent="0.25">
      <c r="A8" s="9" t="s">
        <v>12</v>
      </c>
      <c r="B8" s="10">
        <f>SUM(B6:B7)</f>
        <v>22</v>
      </c>
      <c r="C8" s="83"/>
      <c r="D8" s="83"/>
      <c r="E8" s="83"/>
      <c r="F8" s="8"/>
      <c r="G8" s="8"/>
      <c r="H8" s="8"/>
      <c r="I8" s="8"/>
      <c r="J8" s="8"/>
      <c r="K8" s="8"/>
      <c r="L8" s="8"/>
    </row>
    <row r="9" spans="1:19" ht="22.5" customHeight="1" x14ac:dyDescent="0.25">
      <c r="A9" s="9" t="s">
        <v>13</v>
      </c>
      <c r="B9" s="10">
        <v>20</v>
      </c>
      <c r="C9" s="83"/>
      <c r="D9" s="83"/>
      <c r="E9" s="83"/>
      <c r="F9" s="8"/>
      <c r="G9" s="8"/>
      <c r="H9" s="8"/>
      <c r="I9" s="8"/>
      <c r="J9" s="8"/>
      <c r="K9" s="8"/>
      <c r="L9" s="8"/>
    </row>
    <row r="10" spans="1:19" ht="30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5">
      <c r="A11" s="89" t="s">
        <v>14</v>
      </c>
      <c r="B11" s="87"/>
      <c r="C11" s="87"/>
      <c r="D11" s="88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5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3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5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5">
      <c r="A15" s="15" t="s">
        <v>21</v>
      </c>
      <c r="B15" s="17">
        <v>94</v>
      </c>
      <c r="C15" s="17">
        <v>0.5</v>
      </c>
      <c r="D15" s="90">
        <v>40</v>
      </c>
    </row>
    <row r="16" spans="1:19" ht="15.75" customHeight="1" x14ac:dyDescent="0.25">
      <c r="A16" s="15" t="s">
        <v>22</v>
      </c>
      <c r="B16" s="17">
        <v>55</v>
      </c>
      <c r="C16" s="17">
        <v>1</v>
      </c>
      <c r="D16" s="91"/>
    </row>
    <row r="17" spans="1:26" ht="15.75" customHeight="1" x14ac:dyDescent="0.25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5">
      <c r="A18" s="18"/>
      <c r="B18" s="12"/>
      <c r="C18" s="12"/>
      <c r="D18" s="12"/>
    </row>
    <row r="19" spans="1:26" ht="27" customHeight="1" x14ac:dyDescent="0.25">
      <c r="A19" s="79" t="s">
        <v>24</v>
      </c>
      <c r="B19" s="80"/>
      <c r="C19" s="80"/>
      <c r="D19" s="81"/>
    </row>
    <row r="20" spans="1:26" ht="15.75" customHeight="1" x14ac:dyDescent="0.35">
      <c r="A20" s="19" t="s">
        <v>25</v>
      </c>
      <c r="B20" s="17" t="s">
        <v>26</v>
      </c>
      <c r="C20" s="20"/>
      <c r="D20" s="20"/>
    </row>
    <row r="21" spans="1:26" ht="15.75" customHeight="1" x14ac:dyDescent="0.35">
      <c r="A21" s="19" t="s">
        <v>27</v>
      </c>
      <c r="B21" s="17" t="s">
        <v>28</v>
      </c>
      <c r="C21" s="20"/>
      <c r="D21" s="20"/>
    </row>
    <row r="22" spans="1:26" ht="15.75" customHeight="1" x14ac:dyDescent="0.35">
      <c r="A22" s="19" t="s">
        <v>29</v>
      </c>
      <c r="B22" s="17" t="s">
        <v>30</v>
      </c>
      <c r="C22" s="20"/>
      <c r="D22" s="20"/>
    </row>
    <row r="23" spans="1:26" ht="51" customHeight="1" x14ac:dyDescent="0.25"/>
    <row r="24" spans="1:26" ht="31.5" customHeight="1" x14ac:dyDescent="0.25">
      <c r="A24" s="21" t="s">
        <v>31</v>
      </c>
      <c r="B24" s="22">
        <f>COUNTIF('Sample IDs'!B2:M9,"&lt;&gt;"&amp;"")</f>
        <v>32</v>
      </c>
      <c r="C24" s="82" t="s">
        <v>32</v>
      </c>
      <c r="D24" s="83"/>
      <c r="E24" s="83"/>
      <c r="F24" s="83"/>
      <c r="G24" s="83"/>
      <c r="H24" s="83"/>
      <c r="I24" s="83"/>
      <c r="J24" s="83"/>
      <c r="K24" s="83"/>
      <c r="L24" s="83"/>
    </row>
    <row r="25" spans="1:26" ht="30" customHeight="1" x14ac:dyDescent="0.25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5">
      <c r="A27" s="84" t="s">
        <v>35</v>
      </c>
      <c r="B27" s="85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5">
      <c r="A28" s="27" t="s">
        <v>36</v>
      </c>
      <c r="B28" s="28">
        <f>ROUNDUP(B33-B29-B30-B31-($B$5*B32),0)</f>
        <v>232</v>
      </c>
      <c r="C28" s="29"/>
      <c r="D28" s="29"/>
      <c r="E28" s="8"/>
      <c r="F28" s="8"/>
      <c r="L28" s="8"/>
    </row>
    <row r="29" spans="1:26" ht="15.75" customHeight="1" x14ac:dyDescent="0.35">
      <c r="A29" s="27" t="s">
        <v>37</v>
      </c>
      <c r="B29" s="28">
        <f>ROUNDUP(5.5*($B$24*B25),0)</f>
        <v>194</v>
      </c>
      <c r="C29" s="30" t="s">
        <v>38</v>
      </c>
      <c r="D29" s="29"/>
      <c r="E29" s="8"/>
      <c r="F29" s="8"/>
      <c r="L29" s="8"/>
    </row>
    <row r="30" spans="1:26" ht="15.75" customHeight="1" x14ac:dyDescent="0.35">
      <c r="A30" s="27" t="s">
        <v>39</v>
      </c>
      <c r="B30" s="28">
        <f>ROUNDUP(2.2*($B$24*B25),1)</f>
        <v>77.5</v>
      </c>
      <c r="C30" s="30" t="s">
        <v>38</v>
      </c>
      <c r="D30" s="29"/>
      <c r="E30" s="8"/>
      <c r="F30" s="8"/>
      <c r="L30" s="8"/>
    </row>
    <row r="31" spans="1:26" ht="15.75" customHeight="1" x14ac:dyDescent="0.35">
      <c r="A31" s="27" t="s">
        <v>40</v>
      </c>
      <c r="B31" s="28">
        <f>ROUNDUP(1.1*$B$24*B25,1)</f>
        <v>38.800000000000004</v>
      </c>
      <c r="C31" s="30" t="s">
        <v>38</v>
      </c>
      <c r="D31" s="29"/>
      <c r="E31" s="8"/>
      <c r="F31" s="8"/>
      <c r="L31" s="8"/>
    </row>
    <row r="32" spans="1:26" ht="15.75" customHeight="1" x14ac:dyDescent="0.35">
      <c r="A32" s="27" t="s">
        <v>41</v>
      </c>
      <c r="B32" s="28">
        <f>ROUNDUP(1.1*$B$24*B25,1)</f>
        <v>38.800000000000004</v>
      </c>
      <c r="C32" s="30" t="s">
        <v>38</v>
      </c>
      <c r="D32" s="29"/>
      <c r="E32" s="8"/>
      <c r="F32" s="8"/>
      <c r="L32" s="8"/>
    </row>
    <row r="33" spans="1:12" ht="15.75" customHeight="1" x14ac:dyDescent="0.35">
      <c r="A33" s="31" t="s">
        <v>42</v>
      </c>
      <c r="B33" s="32">
        <f>ROUNDUP(B25*$B$24*16.5,0)</f>
        <v>581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defaultColWidth="11.453125" defaultRowHeight="15" customHeight="1" x14ac:dyDescent="0.25"/>
  <cols>
    <col min="1" max="1" width="13" customWidth="1"/>
    <col min="2" max="2" width="42.1796875" bestFit="1" customWidth="1"/>
    <col min="3" max="3" width="25.54296875" customWidth="1"/>
    <col min="4" max="4" width="17.1796875" customWidth="1"/>
    <col min="5" max="5" width="21.26953125" customWidth="1"/>
    <col min="6" max="6" width="17.453125" customWidth="1"/>
    <col min="7" max="7" width="19.54296875" customWidth="1"/>
    <col min="8" max="8" width="13.453125" customWidth="1"/>
    <col min="9" max="9" width="44.7265625" customWidth="1"/>
    <col min="10" max="10" width="18.453125" customWidth="1"/>
    <col min="11" max="11" width="21.54296875" customWidth="1"/>
    <col min="12" max="12" width="86.453125" bestFit="1" customWidth="1"/>
    <col min="13" max="13" width="20.1796875" customWidth="1"/>
    <col min="14" max="14" width="12.7265625" customWidth="1"/>
    <col min="15" max="29" width="10.54296875" customWidth="1"/>
  </cols>
  <sheetData>
    <row r="1" spans="1:14" ht="15.75" customHeight="1" x14ac:dyDescent="0.3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5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5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5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5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5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5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5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5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5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5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5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5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5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5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5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5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5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5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5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5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5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5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5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5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5">
      <c r="B26" s="73" t="s">
        <v>144</v>
      </c>
      <c r="D26" s="63" t="s">
        <v>106</v>
      </c>
    </row>
    <row r="27" spans="1:13" ht="15.75" customHeight="1" x14ac:dyDescent="0.25">
      <c r="B27" s="63" t="s">
        <v>70</v>
      </c>
      <c r="D27" s="63" t="s">
        <v>105</v>
      </c>
    </row>
    <row r="28" spans="1:13" ht="15.75" customHeight="1" x14ac:dyDescent="0.25">
      <c r="B28" s="63" t="s">
        <v>68</v>
      </c>
      <c r="D28" s="63" t="s">
        <v>149</v>
      </c>
    </row>
    <row r="29" spans="1:13" ht="15.75" customHeight="1" x14ac:dyDescent="0.25">
      <c r="D29" s="63" t="s">
        <v>68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2025-12-10T17:19:28Z</dcterms:modified>
</cp:coreProperties>
</file>