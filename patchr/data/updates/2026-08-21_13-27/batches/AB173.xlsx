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bcb00015/Library/CloudStorage/GoogleDrive-bcb00015@mix.wvu.edu/.shortcut-targets-by-id/1ynIwybRoeHNYTBDqlV8K5jP7UjQcrjPk/DRISCOLL_LAB/2 PROJECTS/WaTCH/TESTING_LAB/DATA_PCR/3 AB_PLATES/"/>
    </mc:Choice>
  </mc:AlternateContent>
  <xr:revisionPtr revIDLastSave="0" documentId="13_ncr:1_{E4DF31B1-1FC5-0E4C-B44E-81FB642E4DE1}" xr6:coauthVersionLast="47" xr6:coauthVersionMax="47" xr10:uidLastSave="{00000000-0000-0000-0000-000000000000}"/>
  <bookViews>
    <workbookView xWindow="0" yWindow="0" windowWidth="33600" windowHeight="18900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<sst xmlns="http://schemas.openxmlformats.org/spreadsheetml/2006/main" count="392" uniqueCount="239">
  <si>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</si>
  <si>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</si>
  <si>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</si>
  <si>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</si>
  <si>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</si>
  <si>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</si>
  <si>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</si>
  <si>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</si>
  <si>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</si>
  <si>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</si>
  <si>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</si>
  <si>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</si>
  <si>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</si>
  <si>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</si>
  <si>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</si>
  <si>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</si>
  <si>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</si>
  <si>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</si>
  <si>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</si>
  <si>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</si>
  <si>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</si>
  <si>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</si>
  <si>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</si>
  <si>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</si>
  <si>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</si>
  <si>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</si>
  <si>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</si>
  <si>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</si>
  <si>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</si>
  <si>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</si>
  <si>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</si>
  <si>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</si>
  <si>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</si>
  <si>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</si>
  <si>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</si>
  <si>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</si>
  <si>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</si>
  <si>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</si>
  <si>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</si>
  <si>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</si>
  <si>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</si>
  <si>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</si>
  <si>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</si>
  <si>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</si>
  <si>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</si>
  <si>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</si>
  <si>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</si>
  <si>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</si>
  <si>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</si>
  <si>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</si>
  <si>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</si>
  <si>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</si>
  <si>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</si>
  <si>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</si>
  <si>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</si>
  <si>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</si>
  <si>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</si>
  <si>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</si>
  <si>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</si>
  <si>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</si>
  <si>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</si>
  <si>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</si>
  <si>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</si>
  <si>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</si>
  <si>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</si>
  <si>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</si>
  <si>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</si>
  <si>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</si>
  <si>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</si>
  <si>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</si>
  <si>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</si>
  <si>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</si>
  <si>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</si>
  <si>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</si>
  <si>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</si>
  <si>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</si>
  <si>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</si>
  <si>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</si>
  <si>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</si>
  <si>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</si>
  <si>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</si>
  <si>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</si>
  <si>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</si>
  <si>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</si>
  <si>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</si>
  <si>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</si>
  <si>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</si>
  <si>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</si>
  <si>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</si>
  <si>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</si>
  <si>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</si>
  <si>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</si>
  <si>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</si>
  <si>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</si>
  <si>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</si>
  <si>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</si>
  <si>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</si>
  <si>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</si>
  <si>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</si>
  <si>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</si>
  <si>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</si>
  <si>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</si>
  <si>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</si>
  <si>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</si>
  <si>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</si>
  <si>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</si>
  <si>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</si>
  <si>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</si>
  <si>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</si>
  <si>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</si>
  <si>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</si>
  <si>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</si>
  <si>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</si>
  <si>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</si>
  <si>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</si>
  <si>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</si>
  <si>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</si>
  <si>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</si>
  <si>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</si>
  <si>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</si>
  <si>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</si>
  <si>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</si>
  <si>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</si>
  <si>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</si>
  <si>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</si>
  <si>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</si>
  <si>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</si>
  <si>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</si>
  <si>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</si>
  <si>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</si>
  <si>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</si>
  <si>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</si>
  <si>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</si>
  <si>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</si>
  <si>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</si>
  <si>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</si>
  <si>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</si>
  <si>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</si>
  <si>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</si>
  <si>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</si>
  <si>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</si>
  <si>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</si>
  <si>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</si>
  <si>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</si>
  <si>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</si>
  <si>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</si>
  <si>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</si>
  <si>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</si>
  <si>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</si>
  <si>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</si>
  <si>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</si>
  <si>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</si>
  <si>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</si>
  <si>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</si>
  <si>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</si>
  <si>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</si>
  <si>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</si>
  <si>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</si>
  <si>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</si>
  <si>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</si>
  <si>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</si>
  <si>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</si>
  <si>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GTM GT-Digital MeV Cy5 WW SurvAssay for QIAcuity v1.0 (100831)</t>
  </si>
  <si>
    <t>----------------------------- DROPLET DIGITAL ASSAYS -----------------------------</t>
  </si>
  <si>
    <t>----------------------------- DIGITAL ASSAYS -----------------------------</t>
  </si>
  <si>
    <t>GTM GT-Digital Norovirus GI;Norovirus GII Assay Kit for the QIAcuity Digital PCR System v1.1 (100469-1.1)</t>
  </si>
  <si>
    <t>GTM GT-Digital NVO;Mpox Assay Kit for the QIAcuity Digital PCR System v1.1 - BETA (100459-1.1)</t>
  </si>
  <si>
    <t>GTM GT-Digital C. auris;C. jejuni Assay Kit for the QIAcuity Digital PCR System v1.1 - BETA (100529-1.1)</t>
  </si>
  <si>
    <t>GTM GT-Digital Flu;SC2;RSV WW Surveillance Panel for QIAcuity R001 (100740)</t>
  </si>
  <si>
    <t>GTM GT-Digital B. pertussis WW Surv Assay v1.0 for the QIAcuity R001 (101125)</t>
  </si>
  <si>
    <t>Measles Virus, Wild-Type (M)</t>
  </si>
  <si>
    <t>Analysis Software Versions</t>
  </si>
  <si>
    <t>Pertussis, Bordetella</t>
  </si>
  <si>
    <t>BB</t>
  </si>
  <si>
    <t>POS</t>
  </si>
  <si>
    <t>NTC</t>
  </si>
  <si>
    <t>G4</t>
  </si>
  <si>
    <t>H4</t>
  </si>
  <si>
    <t>A01-1623</t>
  </si>
  <si>
    <t>A01-1624</t>
  </si>
  <si>
    <t>A01-1625</t>
  </si>
  <si>
    <t>A01-1626</t>
  </si>
  <si>
    <t>A01-1627</t>
  </si>
  <si>
    <t>A01-1628</t>
  </si>
  <si>
    <t>A01-1629</t>
  </si>
  <si>
    <t>A01-1630</t>
  </si>
  <si>
    <t>C01-1329</t>
  </si>
  <si>
    <t>C01-1330</t>
  </si>
  <si>
    <t>C01-1331</t>
  </si>
  <si>
    <t>C01-1332</t>
  </si>
  <si>
    <t>C01-1333</t>
  </si>
  <si>
    <t>P01-1025</t>
  </si>
  <si>
    <t>L01-1027</t>
  </si>
  <si>
    <t>D01-1033</t>
  </si>
  <si>
    <t>G01-1021</t>
  </si>
  <si>
    <t>M03-1031</t>
  </si>
  <si>
    <t>M04-1016</t>
  </si>
  <si>
    <t>W02-1006</t>
  </si>
  <si>
    <t>W02-1007</t>
  </si>
  <si>
    <t>U01-0053</t>
  </si>
  <si>
    <t>Q01-1037</t>
  </si>
  <si>
    <t>W01-1024</t>
  </si>
  <si>
    <t>K01-1017</t>
  </si>
  <si>
    <t>H01-1043</t>
  </si>
  <si>
    <t>Q01-1036</t>
  </si>
  <si>
    <t>N02-1018</t>
  </si>
  <si>
    <t>J01-1037</t>
  </si>
  <si>
    <t>R02-1036</t>
  </si>
  <si>
    <t>NAB172 J1</t>
  </si>
  <si>
    <t>J2</t>
  </si>
  <si>
    <t>J3</t>
  </si>
  <si>
    <t>J4</t>
  </si>
  <si>
    <t>J5</t>
  </si>
  <si>
    <t>J6</t>
  </si>
  <si>
    <t>J7</t>
  </si>
  <si>
    <t>J8</t>
  </si>
  <si>
    <t>K1</t>
  </si>
  <si>
    <t>K2</t>
  </si>
  <si>
    <t>K3</t>
  </si>
  <si>
    <t>K4</t>
  </si>
  <si>
    <t>K5</t>
  </si>
  <si>
    <t>K6</t>
  </si>
  <si>
    <t>K7</t>
  </si>
  <si>
    <t>K8</t>
  </si>
  <si>
    <t>L1</t>
  </si>
  <si>
    <t>L2</t>
  </si>
  <si>
    <t>L3</t>
  </si>
  <si>
    <t>L4</t>
  </si>
  <si>
    <t>L5</t>
  </si>
  <si>
    <t>L6</t>
  </si>
  <si>
    <t>L7</t>
  </si>
  <si>
    <t>L8</t>
  </si>
  <si>
    <t>NAB173 A1</t>
  </si>
  <si>
    <t>A2</t>
  </si>
  <si>
    <t>A3</t>
  </si>
  <si>
    <t>A4</t>
  </si>
  <si>
    <t>A5</t>
  </si>
  <si>
    <t>A6</t>
  </si>
  <si>
    <t>AB173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</si>
</sst>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20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14" fontId="4" fillId="3" borderId="5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4" borderId="5" xfId="0" applyFont="1" applyFill="1" applyBorder="1" applyAlignment="1">
      <alignment horizontal="left" vertical="center"/>
    </xf>
    <xf numFmtId="0" fontId="4" fillId="0" borderId="0" xfId="0" applyFont="1"/>
    <xf numFmtId="0" fontId="4" fillId="5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7" borderId="5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9" borderId="5" xfId="0" applyFont="1" applyFill="1" applyBorder="1" applyAlignment="1">
      <alignment horizontal="right" vertical="center"/>
    </xf>
    <xf numFmtId="0" fontId="13" fillId="9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4" fillId="5" borderId="5" xfId="0" applyFont="1" applyFill="1" applyBorder="1" applyAlignment="1">
      <alignment horizontal="right" vertical="center"/>
    </xf>
    <xf numFmtId="0" fontId="14" fillId="5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5" fillId="5" borderId="6" xfId="0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right" vertical="center"/>
    </xf>
    <xf numFmtId="0" fontId="16" fillId="5" borderId="5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5" borderId="5" xfId="0" applyFont="1" applyFill="1" applyBorder="1" applyAlignment="1">
      <alignment horizontal="right"/>
    </xf>
    <xf numFmtId="0" fontId="7" fillId="5" borderId="5" xfId="0" applyFont="1" applyFill="1" applyBorder="1"/>
    <xf numFmtId="0" fontId="13" fillId="8" borderId="19" xfId="0" applyFont="1" applyFill="1" applyBorder="1" applyAlignment="1">
      <alignment horizontal="right" vertical="center"/>
    </xf>
    <xf numFmtId="0" fontId="13" fillId="8" borderId="20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right" vertical="center"/>
    </xf>
    <xf numFmtId="0" fontId="5" fillId="10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5" fillId="8" borderId="23" xfId="0" applyFont="1" applyFill="1" applyBorder="1" applyAlignment="1">
      <alignment horizontal="right"/>
    </xf>
    <xf numFmtId="0" fontId="15" fillId="8" borderId="24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5" fillId="8" borderId="25" xfId="0" applyFont="1" applyFill="1" applyBorder="1" applyAlignment="1">
      <alignment horizontal="right"/>
    </xf>
    <xf numFmtId="0" fontId="15" fillId="8" borderId="26" xfId="0" applyFont="1" applyFill="1" applyBorder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19" fillId="4" borderId="5" xfId="0" applyFont="1" applyFill="1" applyBorder="1"/>
    <xf numFmtId="0" fontId="7" fillId="0" borderId="0" xfId="0" quotePrefix="1" applyFont="1"/>
    <xf numFmtId="0" fontId="20" fillId="0" borderId="0" xfId="0" applyFont="1"/>
    <xf numFmtId="0" fontId="19" fillId="4" borderId="18" xfId="0" applyFont="1" applyFill="1" applyBorder="1"/>
    <xf numFmtId="0" fontId="7" fillId="12" borderId="0" xfId="0" applyFont="1" applyFill="1"/>
    <xf numFmtId="0" fontId="19" fillId="4" borderId="18" xfId="0" applyFont="1" applyFill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7" fillId="0" borderId="0" xfId="0" quotePrefix="1" applyNumberFormat="1" applyFont="1" applyAlignment="1">
      <alignment horizontal="left" vertical="center"/>
    </xf>
    <xf numFmtId="164" fontId="4" fillId="3" borderId="6" xfId="0" applyNumberFormat="1" applyFont="1" applyFill="1" applyBorder="1" applyAlignment="1">
      <alignment horizontal="left" vertical="center"/>
    </xf>
    <xf numFmtId="0" fontId="4" fillId="7" borderId="27" xfId="0" applyFont="1" applyFill="1" applyBorder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7" fillId="13" borderId="0" xfId="0" quotePrefix="1" applyFont="1" applyFill="1"/>
    <xf numFmtId="0" fontId="7" fillId="14" borderId="0" xfId="0" quotePrefix="1" applyFont="1" applyFill="1"/>
    <xf numFmtId="0" fontId="4" fillId="3" borderId="18" xfId="0" applyFont="1" applyFill="1" applyBorder="1" applyAlignment="1">
      <alignment horizontal="left" vertical="center"/>
    </xf>
    <xf numFmtId="0" fontId="15" fillId="5" borderId="13" xfId="0" applyFont="1" applyFill="1" applyBorder="1" applyAlignment="1">
      <alignment horizontal="center" vertical="center"/>
    </xf>
    <xf numFmtId="0" fontId="10" fillId="0" borderId="14" xfId="0" applyFont="1" applyBorder="1"/>
    <xf numFmtId="0" fontId="10" fillId="0" borderId="15" xfId="0" applyFont="1" applyBorder="1"/>
    <xf numFmtId="0" fontId="15" fillId="11" borderId="21" xfId="0" applyFont="1" applyFill="1" applyBorder="1" applyAlignment="1">
      <alignment horizontal="right" vertical="center"/>
    </xf>
    <xf numFmtId="0" fontId="10" fillId="0" borderId="22" xfId="0" applyFont="1" applyBorder="1"/>
    <xf numFmtId="0" fontId="8" fillId="4" borderId="10" xfId="0" applyFont="1" applyFill="1" applyBorder="1" applyAlignment="1">
      <alignment horizontal="left" vertical="center"/>
    </xf>
    <xf numFmtId="0" fontId="10" fillId="0" borderId="11" xfId="0" applyFont="1" applyBorder="1"/>
    <xf numFmtId="0" fontId="10" fillId="0" borderId="12" xfId="0" applyFont="1" applyBorder="1"/>
    <xf numFmtId="0" fontId="11" fillId="5" borderId="10" xfId="0" applyFont="1" applyFill="1" applyBorder="1" applyAlignment="1">
      <alignment horizontal="left" vertical="center"/>
    </xf>
    <xf numFmtId="0" fontId="11" fillId="8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15" fillId="5" borderId="10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 wrapText="1"/>
    </xf>
    <xf numFmtId="0" fontId="10" fillId="0" borderId="18" xfId="0" applyFont="1" applyBorder="1"/>
    <xf numFmtId="0" fontId="21" fillId="2" borderId="9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abSelected="1" zoomScale="60" zoomScaleNormal="60" workbookViewId="0">
      <selection activeCell="C12" sqref="C12"/>
    </sheetView>
  </sheetViews>
  <sheetFormatPr baseColWidth="10" defaultColWidth="10.140625" defaultRowHeight="15" customHeight="1" x14ac:dyDescent="0.2"/>
  <cols>
    <col min="1" max="1" width="51.5703125" customWidth="1"/>
    <col min="2" max="2" width="70.42578125" customWidth="1"/>
    <col min="3" max="3" width="93.85546875" customWidth="1"/>
    <col min="4" max="23" width="26" customWidth="1"/>
    <col min="24" max="26" width="11.42578125" customWidth="1"/>
  </cols>
  <sheetData>
    <row r="1" spans="1:26" ht="31.5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">
      <c r="A2" s="5" t="s">
        <v>2</v>
      </c>
      <c r="B2" s="6" t="s">
        <v>135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3</v>
      </c>
      <c r="B3" s="8">
        <v>46240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4</v>
      </c>
      <c r="B4" s="4" t="s">
        <v>173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5</v>
      </c>
      <c r="B5" s="7" t="s">
        <v>98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7</v>
      </c>
      <c r="B6" s="4" t="s">
        <v>238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157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">
      <c r="A11" s="7" t="s">
        <v>158</v>
      </c>
      <c r="B11" s="79">
        <v>64648766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7" t="s">
        <v>13</v>
      </c>
      <c r="B12" s="7" t="s">
        <v>148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">
      <c r="A13" s="4" t="s">
        <v>155</v>
      </c>
      <c r="B13" s="4" t="s">
        <v>117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">
      <c r="A14" s="7" t="s">
        <v>156</v>
      </c>
      <c r="B14" s="79">
        <v>22084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">
      <c r="A15" s="13" t="s">
        <v>14</v>
      </c>
      <c r="B15" s="14" t="s">
        <v>15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2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">
      <c r="A17" s="17" t="s">
        <v>18</v>
      </c>
      <c r="B17" s="17" t="s">
        <v>139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2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2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2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2">
      <c r="A23" s="18" t="s">
        <v>28</v>
      </c>
      <c r="B23" s="18" t="s">
        <v>177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2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">
      <c r="A26" s="21" t="s">
        <v>32</v>
      </c>
      <c r="B26" s="21" t="s">
        <v>152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">
      <c r="A27" s="21" t="s">
        <v>34</v>
      </c>
      <c r="B27" s="22" t="s">
        <v>21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">
      <c r="A28" s="21" t="s">
        <v>35</v>
      </c>
      <c r="B28" s="21" t="s">
        <v>176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25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15" t="s">
        <v>16</v>
      </c>
      <c r="B30" s="15" t="s">
        <v>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17" t="s">
        <v>18</v>
      </c>
      <c r="B31" s="17" t="s">
        <v>146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17" t="s">
        <v>20</v>
      </c>
      <c r="B32" s="17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17" t="s">
        <v>22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18" t="s">
        <v>23</v>
      </c>
      <c r="B34" s="19" t="s">
        <v>24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18" t="s">
        <v>25</v>
      </c>
      <c r="B35" s="18" t="s">
        <v>15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18" t="s">
        <v>27</v>
      </c>
      <c r="B36" s="19" t="s">
        <v>15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18" t="s">
        <v>28</v>
      </c>
      <c r="B37" s="18" t="s">
        <v>177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18" t="s">
        <v>29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21" t="s">
        <v>30</v>
      </c>
      <c r="B39" s="22" t="s">
        <v>31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21" t="s">
        <v>32</v>
      </c>
      <c r="B40" s="21" t="s">
        <v>152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21" t="s">
        <v>34</v>
      </c>
      <c r="B41" s="22" t="s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21" t="s">
        <v>35</v>
      </c>
      <c r="B42" s="21" t="s">
        <v>176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25">
      <c r="A43" s="23" t="s">
        <v>36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15" t="s">
        <v>16</v>
      </c>
      <c r="B44" s="15" t="s">
        <v>105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17" t="s">
        <v>18</v>
      </c>
      <c r="B45" s="17" t="s">
        <v>141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17" t="s">
        <v>20</v>
      </c>
      <c r="B46" s="17" t="s">
        <v>21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17" t="s">
        <v>22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18" t="s">
        <v>23</v>
      </c>
      <c r="B48" s="19" t="s">
        <v>24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18" t="s">
        <v>25</v>
      </c>
      <c r="B49" s="18" t="s">
        <v>15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18" t="s">
        <v>27</v>
      </c>
      <c r="B50" s="19" t="s">
        <v>15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18" t="s">
        <v>28</v>
      </c>
      <c r="B51" s="18" t="s">
        <v>177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18" t="s">
        <v>29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21" t="s">
        <v>30</v>
      </c>
      <c r="B53" s="22" t="s">
        <v>31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21" t="s">
        <v>32</v>
      </c>
      <c r="B54" s="21" t="s">
        <v>152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21" t="s">
        <v>34</v>
      </c>
      <c r="B55" s="22" t="s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21" t="s">
        <v>35</v>
      </c>
      <c r="B56" s="21" t="s">
        <v>176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25">
      <c r="A57" s="23" t="s">
        <v>36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15" t="s">
        <v>16</v>
      </c>
      <c r="B58" s="15" t="s">
        <v>109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17" t="s">
        <v>18</v>
      </c>
      <c r="B59" s="17" t="s">
        <v>140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17" t="s">
        <v>20</v>
      </c>
      <c r="B60" s="17" t="s">
        <v>21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17" t="s">
        <v>22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18" t="s">
        <v>23</v>
      </c>
      <c r="B62" s="19" t="s">
        <v>24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18" t="s">
        <v>25</v>
      </c>
      <c r="B63" s="18" t="s">
        <v>15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18" t="s">
        <v>27</v>
      </c>
      <c r="B64" s="19" t="s">
        <v>15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18" t="s">
        <v>28</v>
      </c>
      <c r="B65" s="18" t="s">
        <v>177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18" t="s">
        <v>29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21" t="s">
        <v>30</v>
      </c>
      <c r="B67" s="22" t="s">
        <v>31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21" t="s">
        <v>32</v>
      </c>
      <c r="B68" s="21" t="s">
        <v>152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21" t="s">
        <v>34</v>
      </c>
      <c r="B69" s="22" t="s">
        <v>21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21" t="s">
        <v>35</v>
      </c>
      <c r="B70" s="21" t="s">
        <v>176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25">
      <c r="A71" s="23" t="s">
        <v>36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15" t="s">
        <v>16</v>
      </c>
      <c r="B72" s="15" t="s">
        <v>111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17" t="s">
        <v>18</v>
      </c>
      <c r="B73" s="17" t="s">
        <v>138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17" t="s">
        <v>20</v>
      </c>
      <c r="B74" s="17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17" t="s">
        <v>22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18" t="s">
        <v>23</v>
      </c>
      <c r="B76" s="19" t="s">
        <v>24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18" t="s">
        <v>25</v>
      </c>
      <c r="B77" s="18" t="s">
        <v>15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18" t="s">
        <v>27</v>
      </c>
      <c r="B78" s="19" t="s">
        <v>15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18" t="s">
        <v>28</v>
      </c>
      <c r="B79" s="18" t="s">
        <v>177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18" t="s">
        <v>29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21" t="s">
        <v>30</v>
      </c>
      <c r="B81" s="22" t="s">
        <v>31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21" t="s">
        <v>32</v>
      </c>
      <c r="B82" s="21" t="s">
        <v>152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21" t="s">
        <v>34</v>
      </c>
      <c r="B83" s="22" t="s">
        <v>21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21" t="s">
        <v>35</v>
      </c>
      <c r="B84" s="21" t="s">
        <v>176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25">
      <c r="A85" s="23" t="s">
        <v>36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  <x14:dataValidation type="list" allowBlank="1" showErrorMessage="1" xr:uid="{00000000-0002-0000-0000-000005000000}">
          <x14:formula1>
            <xm:f>Lists!$J$2:$J$25</xm:f>
          </x14:formula1>
          <xm:sqref>B13</xm:sqref>
        </x14:dataValidation>
        <x14:dataValidation type="list" allowBlank="1" showErrorMessage="1" xr:uid="{9FD2121D-1019-AC48-A32E-8D873BDEA7C0}">
          <x14:formula1>
            <xm:f>Lists!$B$2:$B$21</xm:f>
          </x14:formula1>
          <xm:sqref>B59 B17 B31 B45 B73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="40" zoomScaleNormal="40" workbookViewId="0">
      <selection activeCell="F15" sqref="F15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6" t="s">
        <v>39</v>
      </c>
      <c r="B2" s="95" t="s">
        <v>178</v>
      </c>
      <c r="C2" s="96" t="s">
        <v>186</v>
      </c>
      <c r="D2" s="95" t="s">
        <v>194</v>
      </c>
      <c r="E2" s="96" t="s">
        <v>202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6" t="s">
        <v>40</v>
      </c>
      <c r="B3" s="96" t="s">
        <v>179</v>
      </c>
      <c r="C3" s="95" t="s">
        <v>187</v>
      </c>
      <c r="D3" s="96" t="s">
        <v>195</v>
      </c>
      <c r="E3" s="95" t="s">
        <v>203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6" t="s">
        <v>41</v>
      </c>
      <c r="B4" s="95" t="s">
        <v>180</v>
      </c>
      <c r="C4" s="96" t="s">
        <v>188</v>
      </c>
      <c r="D4" s="95" t="s">
        <v>196</v>
      </c>
      <c r="E4" s="96" t="s">
        <v>204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6" t="s">
        <v>42</v>
      </c>
      <c r="B5" s="96" t="s">
        <v>181</v>
      </c>
      <c r="C5" s="95" t="s">
        <v>189</v>
      </c>
      <c r="D5" s="96" t="s">
        <v>197</v>
      </c>
      <c r="E5" s="95" t="s">
        <v>205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6" t="s">
        <v>43</v>
      </c>
      <c r="B6" s="95" t="s">
        <v>182</v>
      </c>
      <c r="C6" s="96" t="s">
        <v>190</v>
      </c>
      <c r="D6" s="95" t="s">
        <v>198</v>
      </c>
      <c r="E6" s="96" t="s">
        <v>206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6" t="s">
        <v>44</v>
      </c>
      <c r="B7" s="96" t="s">
        <v>183</v>
      </c>
      <c r="C7" s="95" t="s">
        <v>191</v>
      </c>
      <c r="D7" s="96" t="s">
        <v>199</v>
      </c>
      <c r="E7" s="95" t="s">
        <v>207</v>
      </c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6" t="s">
        <v>45</v>
      </c>
      <c r="B8" s="95" t="s">
        <v>184</v>
      </c>
      <c r="C8" s="96" t="s">
        <v>192</v>
      </c>
      <c r="D8" s="95" t="s">
        <v>200</v>
      </c>
      <c r="E8" s="29" t="s">
        <v>174</v>
      </c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6" t="s">
        <v>46</v>
      </c>
      <c r="B9" s="96" t="s">
        <v>185</v>
      </c>
      <c r="C9" s="95" t="s">
        <v>193</v>
      </c>
      <c r="D9" s="96" t="s">
        <v>201</v>
      </c>
      <c r="E9" s="28" t="s">
        <v>175</v>
      </c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  <row r="1001" spans="1:1" ht="15.75" customHeight="1" x14ac:dyDescent="0.2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40" zoomScaleNormal="40" workbookViewId="0">
      <selection activeCell="E6" sqref="E6:E7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40" zoomScaleNormal="40" workbookViewId="0">
      <selection activeCell="E2" sqref="E2:E7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 t="s">
        <v>208</v>
      </c>
      <c r="C2" s="29" t="s">
        <v>216</v>
      </c>
      <c r="D2" s="28" t="s">
        <v>224</v>
      </c>
      <c r="E2" s="28" t="s">
        <v>232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 t="s">
        <v>209</v>
      </c>
      <c r="C3" s="28" t="s">
        <v>217</v>
      </c>
      <c r="D3" s="29" t="s">
        <v>225</v>
      </c>
      <c r="E3" s="28" t="s">
        <v>233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 t="s">
        <v>210</v>
      </c>
      <c r="C4" s="29" t="s">
        <v>218</v>
      </c>
      <c r="D4" s="28" t="s">
        <v>226</v>
      </c>
      <c r="E4" s="29" t="s">
        <v>234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 t="s">
        <v>211</v>
      </c>
      <c r="C5" s="28" t="s">
        <v>219</v>
      </c>
      <c r="D5" s="29" t="s">
        <v>227</v>
      </c>
      <c r="E5" s="28" t="s">
        <v>235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 t="s">
        <v>212</v>
      </c>
      <c r="C6" s="29" t="s">
        <v>220</v>
      </c>
      <c r="D6" s="28" t="s">
        <v>228</v>
      </c>
      <c r="E6" s="29" t="s">
        <v>236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 t="s">
        <v>213</v>
      </c>
      <c r="C7" s="28" t="s">
        <v>221</v>
      </c>
      <c r="D7" s="29" t="s">
        <v>229</v>
      </c>
      <c r="E7" s="28" t="s">
        <v>237</v>
      </c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 t="s">
        <v>214</v>
      </c>
      <c r="C8" s="29" t="s">
        <v>222</v>
      </c>
      <c r="D8" s="28" t="s">
        <v>230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 t="s">
        <v>215</v>
      </c>
      <c r="C9" s="28" t="s">
        <v>223</v>
      </c>
      <c r="D9" s="29" t="s">
        <v>231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23" activePane="bottomLeft" state="frozen"/>
      <selection pane="bottomLeft" activeCell="F29" sqref="F29"/>
    </sheetView>
  </sheetViews>
  <sheetFormatPr baseColWidth="10" defaultColWidth="10.1406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5" t="s">
        <v>47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7"/>
      <c r="R1" s="30"/>
      <c r="S1" s="30"/>
    </row>
    <row r="2" spans="1:19" ht="31.5" customHeight="1" x14ac:dyDescent="0.2">
      <c r="A2" s="88" t="s">
        <v>48</v>
      </c>
      <c r="B2" s="86"/>
      <c r="C2" s="86"/>
      <c r="D2" s="86"/>
      <c r="E2" s="86"/>
      <c r="F2" s="86"/>
      <c r="G2" s="86"/>
      <c r="H2" s="86"/>
      <c r="I2" s="87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">
      <c r="A3" s="89" t="s">
        <v>49</v>
      </c>
      <c r="B3" s="81"/>
      <c r="C3" s="81"/>
      <c r="D3" s="81"/>
      <c r="E3" s="81"/>
      <c r="F3" s="81"/>
      <c r="G3" s="81"/>
      <c r="H3" s="81"/>
      <c r="I3" s="82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">
      <c r="A6" s="36" t="s">
        <v>52</v>
      </c>
      <c r="B6" s="37">
        <v>16.5</v>
      </c>
      <c r="C6" s="90" t="s">
        <v>53</v>
      </c>
      <c r="D6" s="91"/>
      <c r="E6" s="91"/>
      <c r="F6" s="35"/>
      <c r="G6" s="35"/>
      <c r="H6" s="35"/>
      <c r="I6" s="35"/>
      <c r="J6" s="35"/>
      <c r="K6" s="35"/>
      <c r="L6" s="35"/>
    </row>
    <row r="7" spans="1:19" ht="22.5" customHeight="1" x14ac:dyDescent="0.2">
      <c r="A7" s="36" t="s">
        <v>54</v>
      </c>
      <c r="B7" s="37">
        <v>5.5</v>
      </c>
      <c r="C7" s="91"/>
      <c r="D7" s="91"/>
      <c r="E7" s="91"/>
      <c r="F7" s="35"/>
      <c r="G7" s="35"/>
      <c r="H7" s="35"/>
      <c r="I7" s="35"/>
      <c r="J7" s="35"/>
      <c r="K7" s="35"/>
      <c r="L7" s="35"/>
    </row>
    <row r="8" spans="1:19" ht="22.5" customHeight="1" x14ac:dyDescent="0.2">
      <c r="A8" s="36" t="s">
        <v>55</v>
      </c>
      <c r="B8" s="37">
        <f>SUM(B6:B7)</f>
        <v>22</v>
      </c>
      <c r="C8" s="91"/>
      <c r="D8" s="91"/>
      <c r="E8" s="91"/>
      <c r="F8" s="35"/>
      <c r="G8" s="35"/>
      <c r="H8" s="35"/>
      <c r="I8" s="35"/>
      <c r="J8" s="35"/>
      <c r="K8" s="35"/>
      <c r="L8" s="35"/>
    </row>
    <row r="9" spans="1:19" ht="22.5" customHeight="1" x14ac:dyDescent="0.2">
      <c r="A9" s="36" t="s">
        <v>56</v>
      </c>
      <c r="B9" s="37">
        <v>20</v>
      </c>
      <c r="C9" s="91"/>
      <c r="D9" s="91"/>
      <c r="E9" s="91"/>
      <c r="F9" s="35"/>
      <c r="G9" s="35"/>
      <c r="H9" s="35"/>
      <c r="I9" s="35"/>
      <c r="J9" s="35"/>
      <c r="K9" s="35"/>
      <c r="L9" s="35"/>
    </row>
    <row r="10" spans="1:19" ht="30" customHeight="1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">
      <c r="A11" s="92" t="s">
        <v>57</v>
      </c>
      <c r="B11" s="86"/>
      <c r="C11" s="86"/>
      <c r="D11" s="87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25">
      <c r="A13" s="42" t="s">
        <v>62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">
      <c r="A14" s="42" t="s">
        <v>63</v>
      </c>
      <c r="B14" s="44">
        <v>95</v>
      </c>
      <c r="C14" s="44">
        <v>10</v>
      </c>
      <c r="D14" s="44">
        <v>1</v>
      </c>
    </row>
    <row r="15" spans="1:19" ht="15.75" customHeight="1" x14ac:dyDescent="0.2">
      <c r="A15" s="42" t="s">
        <v>64</v>
      </c>
      <c r="B15" s="44">
        <v>94</v>
      </c>
      <c r="C15" s="44">
        <v>0.5</v>
      </c>
      <c r="D15" s="93">
        <v>40</v>
      </c>
    </row>
    <row r="16" spans="1:19" ht="15.75" customHeight="1" x14ac:dyDescent="0.2">
      <c r="A16" s="42" t="s">
        <v>65</v>
      </c>
      <c r="B16" s="44">
        <v>55</v>
      </c>
      <c r="C16" s="44">
        <v>1</v>
      </c>
      <c r="D16" s="94"/>
    </row>
    <row r="17" spans="1:26" ht="15.75" customHeight="1" x14ac:dyDescent="0.2">
      <c r="A17" s="42" t="s">
        <v>66</v>
      </c>
      <c r="B17" s="44">
        <v>98</v>
      </c>
      <c r="C17" s="44">
        <v>10</v>
      </c>
      <c r="D17" s="44">
        <v>1</v>
      </c>
    </row>
    <row r="18" spans="1:26" ht="15.75" customHeight="1" x14ac:dyDescent="0.2">
      <c r="A18" s="45"/>
      <c r="B18" s="39"/>
      <c r="C18" s="39"/>
      <c r="D18" s="39"/>
    </row>
    <row r="19" spans="1:26" ht="27" customHeight="1" x14ac:dyDescent="0.2">
      <c r="A19" s="80" t="s">
        <v>67</v>
      </c>
      <c r="B19" s="81"/>
      <c r="C19" s="81"/>
      <c r="D19" s="82"/>
    </row>
    <row r="20" spans="1:26" ht="15.75" customHeight="1" x14ac:dyDescent="0.25">
      <c r="A20" s="46" t="s">
        <v>68</v>
      </c>
      <c r="B20" s="44" t="s">
        <v>69</v>
      </c>
      <c r="C20" s="47"/>
      <c r="D20" s="47"/>
    </row>
    <row r="21" spans="1:26" ht="15.75" customHeight="1" x14ac:dyDescent="0.25">
      <c r="A21" s="46" t="s">
        <v>70</v>
      </c>
      <c r="B21" s="44" t="s">
        <v>71</v>
      </c>
      <c r="C21" s="47"/>
      <c r="D21" s="47"/>
    </row>
    <row r="22" spans="1:26" ht="15.75" customHeight="1" x14ac:dyDescent="0.25">
      <c r="A22" s="46" t="s">
        <v>72</v>
      </c>
      <c r="B22" s="44" t="s">
        <v>73</v>
      </c>
      <c r="C22" s="47"/>
      <c r="D22" s="47"/>
    </row>
    <row r="23" spans="1:26" ht="51" customHeight="1" x14ac:dyDescent="0.2"/>
    <row r="24" spans="1:26" ht="31.5" customHeight="1" x14ac:dyDescent="0.2">
      <c r="A24" s="48" t="s">
        <v>74</v>
      </c>
      <c r="B24" s="49">
        <f>COUNTIF('Sample IDs'!B2:M9,"&lt;&gt;"&amp;"")</f>
        <v>32</v>
      </c>
      <c r="C24" s="90" t="s">
        <v>75</v>
      </c>
      <c r="D24" s="91"/>
      <c r="E24" s="91"/>
      <c r="F24" s="91"/>
      <c r="G24" s="91"/>
      <c r="H24" s="91"/>
      <c r="I24" s="91"/>
      <c r="J24" s="91"/>
      <c r="K24" s="91"/>
      <c r="L24" s="91"/>
    </row>
    <row r="25" spans="1:26" ht="30" customHeight="1" x14ac:dyDescent="0.2">
      <c r="A25" s="50" t="s">
        <v>76</v>
      </c>
      <c r="B25" s="51">
        <v>1.1000000000000001</v>
      </c>
      <c r="C25" s="52" t="s">
        <v>77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">
      <c r="A27" s="83" t="s">
        <v>78</v>
      </c>
      <c r="B27" s="84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5">
      <c r="A28" s="55" t="s">
        <v>79</v>
      </c>
      <c r="B28" s="56">
        <f>ROUNDUP(B33-B29-B30-B31-($B$5*B32),0)</f>
        <v>232</v>
      </c>
      <c r="C28" s="57"/>
      <c r="D28" s="57"/>
      <c r="E28" s="35"/>
      <c r="F28" s="35"/>
      <c r="L28" s="35"/>
    </row>
    <row r="29" spans="1:26" ht="15.75" customHeight="1" x14ac:dyDescent="0.25">
      <c r="A29" s="55" t="s">
        <v>80</v>
      </c>
      <c r="B29" s="56">
        <f>ROUNDUP(5.5*($B$24*B25),0)</f>
        <v>194</v>
      </c>
      <c r="C29" s="58" t="s">
        <v>81</v>
      </c>
      <c r="D29" s="57"/>
      <c r="E29" s="35"/>
      <c r="F29" s="35"/>
      <c r="L29" s="35"/>
    </row>
    <row r="30" spans="1:26" ht="15.75" customHeight="1" x14ac:dyDescent="0.25">
      <c r="A30" s="55" t="s">
        <v>82</v>
      </c>
      <c r="B30" s="56">
        <f>ROUNDUP(2.2*($B$24*B25),1)</f>
        <v>77.5</v>
      </c>
      <c r="C30" s="58" t="s">
        <v>81</v>
      </c>
      <c r="D30" s="57"/>
      <c r="E30" s="35"/>
      <c r="F30" s="35"/>
      <c r="L30" s="35"/>
    </row>
    <row r="31" spans="1:26" ht="15.75" customHeight="1" x14ac:dyDescent="0.25">
      <c r="A31" s="55" t="s">
        <v>83</v>
      </c>
      <c r="B31" s="56">
        <f>ROUNDUP(1.1*$B$24*B25,1)</f>
        <v>38.800000000000004</v>
      </c>
      <c r="C31" s="58" t="s">
        <v>81</v>
      </c>
      <c r="D31" s="57"/>
      <c r="E31" s="35"/>
      <c r="F31" s="35"/>
      <c r="L31" s="35"/>
    </row>
    <row r="32" spans="1:26" ht="15.75" customHeight="1" x14ac:dyDescent="0.25">
      <c r="A32" s="55" t="s">
        <v>84</v>
      </c>
      <c r="B32" s="56">
        <f>ROUNDUP(1.1*$B$24*B25,1)</f>
        <v>38.800000000000004</v>
      </c>
      <c r="C32" s="58" t="s">
        <v>81</v>
      </c>
      <c r="D32" s="57"/>
      <c r="E32" s="35"/>
      <c r="F32" s="35"/>
      <c r="L32" s="35"/>
    </row>
    <row r="33" spans="1:12" ht="15.75" customHeight="1" x14ac:dyDescent="0.25">
      <c r="A33" s="59" t="s">
        <v>85</v>
      </c>
      <c r="B33" s="60">
        <f>ROUNDUP(B25*$B$24*16.5,0)</f>
        <v>581</v>
      </c>
      <c r="C33" s="58" t="s">
        <v>86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topLeftCell="H3" workbookViewId="0">
      <selection activeCell="B24" sqref="B24"/>
    </sheetView>
  </sheetViews>
  <sheetFormatPr baseColWidth="10" defaultColWidth="10.140625" defaultRowHeight="15" customHeight="1" x14ac:dyDescent="0.2"/>
  <cols>
    <col min="1" max="1" width="13" customWidth="1"/>
    <col min="2" max="2" width="42.140625" customWidth="1"/>
    <col min="3" max="3" width="25.5703125" customWidth="1"/>
    <col min="4" max="4" width="21.28515625" customWidth="1"/>
    <col min="5" max="5" width="28.140625" bestFit="1" customWidth="1"/>
    <col min="6" max="6" width="19.5703125" customWidth="1"/>
    <col min="7" max="7" width="13.42578125" customWidth="1"/>
    <col min="8" max="8" width="44.7109375" customWidth="1"/>
    <col min="9" max="9" width="30.85546875" bestFit="1" customWidth="1"/>
    <col min="10" max="10" width="116.140625" bestFit="1" customWidth="1"/>
    <col min="11" max="11" width="24.140625" style="71" customWidth="1"/>
    <col min="12" max="12" width="21.85546875" customWidth="1"/>
    <col min="13" max="25" width="10.5703125" customWidth="1"/>
  </cols>
  <sheetData>
    <row r="1" spans="1:13" ht="15.75" customHeight="1" x14ac:dyDescent="0.2">
      <c r="A1" s="66" t="s">
        <v>87</v>
      </c>
      <c r="B1" s="66" t="s">
        <v>88</v>
      </c>
      <c r="C1" s="66" t="s">
        <v>89</v>
      </c>
      <c r="D1" s="66" t="s">
        <v>90</v>
      </c>
      <c r="E1" s="66" t="s">
        <v>91</v>
      </c>
      <c r="F1" s="66" t="s">
        <v>92</v>
      </c>
      <c r="G1" s="66" t="s">
        <v>93</v>
      </c>
      <c r="H1" s="66" t="s">
        <v>94</v>
      </c>
      <c r="I1" s="66" t="s">
        <v>95</v>
      </c>
      <c r="J1" s="66" t="s">
        <v>96</v>
      </c>
      <c r="K1" s="68" t="s">
        <v>171</v>
      </c>
      <c r="L1" s="66" t="s">
        <v>97</v>
      </c>
      <c r="M1" s="63"/>
    </row>
    <row r="2" spans="1:13" ht="15.75" customHeight="1" x14ac:dyDescent="0.2">
      <c r="A2" s="25" t="s">
        <v>6</v>
      </c>
      <c r="B2" s="25" t="s">
        <v>138</v>
      </c>
      <c r="C2" s="25" t="s">
        <v>99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148</v>
      </c>
      <c r="J2" s="77" t="s">
        <v>163</v>
      </c>
      <c r="K2" s="72">
        <v>2</v>
      </c>
      <c r="L2" s="25" t="s">
        <v>26</v>
      </c>
      <c r="M2" s="25"/>
    </row>
    <row r="3" spans="1:13" ht="15.75" customHeight="1" x14ac:dyDescent="0.2">
      <c r="A3" s="25" t="s">
        <v>98</v>
      </c>
      <c r="B3" s="25" t="s">
        <v>136</v>
      </c>
      <c r="C3" s="25" t="s">
        <v>104</v>
      </c>
      <c r="D3" s="25" t="s">
        <v>100</v>
      </c>
      <c r="E3" s="25" t="s">
        <v>152</v>
      </c>
      <c r="F3" s="25" t="s">
        <v>31</v>
      </c>
      <c r="G3" s="25" t="s">
        <v>38</v>
      </c>
      <c r="H3" s="25" t="s">
        <v>101</v>
      </c>
      <c r="I3" s="25" t="s">
        <v>149</v>
      </c>
      <c r="J3" s="25" t="s">
        <v>117</v>
      </c>
      <c r="K3" s="69">
        <v>1.2</v>
      </c>
      <c r="L3" s="25" t="s">
        <v>116</v>
      </c>
      <c r="M3" s="25"/>
    </row>
    <row r="4" spans="1:13" ht="15.75" customHeight="1" x14ac:dyDescent="0.2">
      <c r="A4" s="25" t="s">
        <v>119</v>
      </c>
      <c r="B4" s="25" t="s">
        <v>137</v>
      </c>
      <c r="C4" s="25" t="s">
        <v>107</v>
      </c>
      <c r="D4" s="25" t="s">
        <v>21</v>
      </c>
      <c r="E4" s="25" t="s">
        <v>19</v>
      </c>
      <c r="F4" s="25" t="s">
        <v>103</v>
      </c>
      <c r="G4" s="25" t="s">
        <v>105</v>
      </c>
      <c r="H4" s="64" t="s">
        <v>120</v>
      </c>
      <c r="I4" s="25" t="s">
        <v>102</v>
      </c>
      <c r="J4" s="25" t="s">
        <v>118</v>
      </c>
      <c r="K4" s="70"/>
      <c r="L4" s="25" t="s">
        <v>106</v>
      </c>
      <c r="M4" s="25"/>
    </row>
    <row r="5" spans="1:13" ht="15.75" customHeight="1" x14ac:dyDescent="0.2">
      <c r="A5" s="25" t="s">
        <v>103</v>
      </c>
      <c r="B5" s="25" t="s">
        <v>147</v>
      </c>
      <c r="C5" s="25" t="s">
        <v>103</v>
      </c>
      <c r="D5" s="25" t="s">
        <v>108</v>
      </c>
      <c r="E5" s="25" t="s">
        <v>33</v>
      </c>
      <c r="G5" s="25" t="s">
        <v>109</v>
      </c>
      <c r="H5" s="67" t="s">
        <v>122</v>
      </c>
      <c r="I5" s="25" t="s">
        <v>103</v>
      </c>
      <c r="J5" s="25" t="s">
        <v>121</v>
      </c>
      <c r="K5" s="70"/>
      <c r="L5" s="25" t="s">
        <v>110</v>
      </c>
      <c r="M5" s="25"/>
    </row>
    <row r="6" spans="1:13" ht="15.75" customHeight="1" x14ac:dyDescent="0.2">
      <c r="A6" s="25"/>
      <c r="B6" s="75" t="s">
        <v>142</v>
      </c>
      <c r="D6" s="25" t="s">
        <v>103</v>
      </c>
      <c r="E6" s="25" t="s">
        <v>153</v>
      </c>
      <c r="F6" s="25"/>
      <c r="G6" s="25" t="s">
        <v>111</v>
      </c>
      <c r="H6" s="64" t="s">
        <v>120</v>
      </c>
      <c r="J6" s="25" t="s">
        <v>123</v>
      </c>
      <c r="K6" s="70"/>
      <c r="L6" s="25" t="s">
        <v>112</v>
      </c>
      <c r="M6" s="25"/>
    </row>
    <row r="7" spans="1:13" ht="15.75" customHeight="1" x14ac:dyDescent="0.2">
      <c r="A7" s="25"/>
      <c r="B7" s="75" t="s">
        <v>143</v>
      </c>
      <c r="C7" s="25"/>
      <c r="D7" s="25"/>
      <c r="E7" s="25" t="s">
        <v>154</v>
      </c>
      <c r="F7" s="25"/>
      <c r="G7" s="25" t="s">
        <v>114</v>
      </c>
      <c r="H7" s="25" t="s">
        <v>103</v>
      </c>
      <c r="I7" s="25"/>
      <c r="J7" s="25" t="s">
        <v>124</v>
      </c>
      <c r="K7" s="70"/>
      <c r="L7" s="25" t="s">
        <v>103</v>
      </c>
      <c r="M7" s="25"/>
    </row>
    <row r="8" spans="1:13" ht="15.75" customHeight="1" x14ac:dyDescent="0.2">
      <c r="A8" s="25"/>
      <c r="B8" s="25" t="s">
        <v>139</v>
      </c>
      <c r="C8" s="25"/>
      <c r="D8" s="25"/>
      <c r="E8" s="25" t="s">
        <v>113</v>
      </c>
      <c r="F8" s="25"/>
      <c r="G8" s="25" t="s">
        <v>37</v>
      </c>
      <c r="H8" s="25"/>
      <c r="I8" s="25"/>
      <c r="J8" s="64" t="s">
        <v>120</v>
      </c>
      <c r="K8" s="70"/>
    </row>
    <row r="9" spans="1:13" ht="15.75" customHeight="1" x14ac:dyDescent="0.2">
      <c r="A9" s="25"/>
      <c r="B9" s="25" t="s">
        <v>140</v>
      </c>
      <c r="C9" s="25"/>
      <c r="D9" s="25"/>
      <c r="E9" s="25" t="s">
        <v>146</v>
      </c>
      <c r="F9" s="25"/>
      <c r="G9" s="25" t="s">
        <v>115</v>
      </c>
      <c r="H9" s="25"/>
      <c r="I9" s="25"/>
      <c r="J9" s="25" t="s">
        <v>125</v>
      </c>
      <c r="K9" s="70"/>
    </row>
    <row r="10" spans="1:13" ht="15.75" customHeight="1" x14ac:dyDescent="0.2">
      <c r="A10" s="25"/>
      <c r="B10" s="25" t="s">
        <v>161</v>
      </c>
      <c r="C10" s="25"/>
      <c r="D10" s="25"/>
      <c r="E10" s="25" t="s">
        <v>103</v>
      </c>
      <c r="F10" s="25"/>
      <c r="G10" s="25"/>
      <c r="H10" s="25"/>
      <c r="I10" s="25"/>
      <c r="J10" s="25" t="s">
        <v>126</v>
      </c>
      <c r="K10" s="70"/>
    </row>
    <row r="11" spans="1:13" ht="15.75" customHeight="1" x14ac:dyDescent="0.2">
      <c r="A11" s="25"/>
      <c r="B11" s="25" t="s">
        <v>170</v>
      </c>
      <c r="C11" s="25"/>
      <c r="D11" s="25"/>
      <c r="E11" s="25"/>
      <c r="F11" s="25"/>
      <c r="G11" s="25"/>
      <c r="H11" s="25"/>
      <c r="I11" s="25"/>
      <c r="J11" s="25" t="s">
        <v>127</v>
      </c>
      <c r="K11" s="70"/>
    </row>
    <row r="12" spans="1:13" ht="15.75" customHeight="1" x14ac:dyDescent="0.2">
      <c r="A12" s="25"/>
      <c r="B12" s="25" t="s">
        <v>159</v>
      </c>
      <c r="C12" s="25"/>
      <c r="D12" s="25"/>
      <c r="E12" s="25"/>
      <c r="F12" s="25"/>
      <c r="G12" s="25"/>
      <c r="H12" s="25"/>
      <c r="I12" s="25"/>
      <c r="J12" s="25" t="s">
        <v>128</v>
      </c>
      <c r="K12" s="70"/>
    </row>
    <row r="13" spans="1:13" ht="15.75" customHeight="1" x14ac:dyDescent="0.2">
      <c r="A13" s="25"/>
      <c r="B13" s="25" t="s">
        <v>160</v>
      </c>
      <c r="C13" s="25"/>
      <c r="D13" s="25"/>
      <c r="E13" s="25"/>
      <c r="F13" s="25"/>
      <c r="G13" s="25"/>
      <c r="H13" s="25"/>
      <c r="I13" s="25"/>
      <c r="J13" s="25" t="s">
        <v>129</v>
      </c>
      <c r="K13" s="70"/>
    </row>
    <row r="14" spans="1:13" ht="15.75" customHeight="1" x14ac:dyDescent="0.2">
      <c r="A14" s="25"/>
      <c r="B14" s="25" t="s">
        <v>144</v>
      </c>
      <c r="C14" s="25"/>
      <c r="D14" s="25"/>
      <c r="E14" s="25"/>
      <c r="F14" s="25"/>
      <c r="G14" s="25"/>
      <c r="H14" s="25"/>
      <c r="I14" s="25"/>
      <c r="J14" s="25" t="s">
        <v>130</v>
      </c>
      <c r="K14" s="70"/>
    </row>
    <row r="15" spans="1:13" ht="15.75" customHeight="1" x14ac:dyDescent="0.2">
      <c r="A15" s="25"/>
      <c r="B15" s="25" t="s">
        <v>150</v>
      </c>
      <c r="C15" s="25"/>
      <c r="D15" s="25"/>
      <c r="E15" s="25"/>
      <c r="F15" s="25"/>
      <c r="G15" s="25"/>
      <c r="H15" s="25"/>
      <c r="I15" s="25"/>
      <c r="J15" s="25" t="s">
        <v>131</v>
      </c>
      <c r="K15" s="70"/>
    </row>
    <row r="16" spans="1:13" ht="15.75" customHeight="1" x14ac:dyDescent="0.2">
      <c r="A16" s="25"/>
      <c r="B16" s="25" t="s">
        <v>151</v>
      </c>
      <c r="C16" s="25"/>
      <c r="D16" s="25"/>
      <c r="E16" s="25"/>
      <c r="F16" s="25"/>
      <c r="G16" s="25"/>
      <c r="H16" s="25"/>
      <c r="I16" s="25"/>
      <c r="J16" s="25" t="s">
        <v>132</v>
      </c>
      <c r="K16" s="70"/>
    </row>
    <row r="17" spans="1:11" ht="15.75" customHeight="1" x14ac:dyDescent="0.2">
      <c r="A17" s="25"/>
      <c r="B17" s="75" t="s">
        <v>145</v>
      </c>
      <c r="C17" s="25"/>
      <c r="D17" s="25"/>
      <c r="E17" s="25"/>
      <c r="F17" s="25"/>
      <c r="G17" s="25"/>
      <c r="H17" s="25"/>
      <c r="I17" s="25"/>
      <c r="J17" s="78" t="s">
        <v>164</v>
      </c>
      <c r="K17" s="70"/>
    </row>
    <row r="18" spans="1:11" ht="15.75" customHeight="1" x14ac:dyDescent="0.2">
      <c r="A18" s="25"/>
      <c r="B18" s="25" t="s">
        <v>172</v>
      </c>
      <c r="C18" s="25"/>
      <c r="D18" s="25"/>
      <c r="E18" s="25"/>
      <c r="F18" s="25"/>
      <c r="G18" s="25"/>
      <c r="H18" s="25"/>
      <c r="I18" s="25"/>
      <c r="J18" s="25" t="s">
        <v>168</v>
      </c>
      <c r="K18" s="70"/>
    </row>
    <row r="19" spans="1:11" ht="15.75" customHeight="1" x14ac:dyDescent="0.2">
      <c r="A19" s="25"/>
      <c r="B19" s="25" t="s">
        <v>146</v>
      </c>
      <c r="C19" s="25"/>
      <c r="D19" s="25"/>
      <c r="E19" s="25"/>
      <c r="F19" s="25"/>
      <c r="G19" s="25"/>
      <c r="H19" s="25"/>
      <c r="I19" s="25"/>
      <c r="J19" s="76" t="s">
        <v>162</v>
      </c>
      <c r="K19" s="70"/>
    </row>
    <row r="20" spans="1:11" ht="15.75" customHeight="1" x14ac:dyDescent="0.2">
      <c r="A20" s="25"/>
      <c r="B20" s="25" t="s">
        <v>141</v>
      </c>
      <c r="C20" s="25"/>
      <c r="D20" s="25"/>
      <c r="E20" s="25"/>
      <c r="F20" s="25"/>
      <c r="G20" s="25"/>
      <c r="H20" s="25"/>
      <c r="I20" s="25"/>
      <c r="J20" s="25" t="s">
        <v>134</v>
      </c>
      <c r="K20" s="70"/>
    </row>
    <row r="21" spans="1:11" ht="15.75" customHeight="1" x14ac:dyDescent="0.2">
      <c r="A21" s="25"/>
      <c r="B21" s="25" t="s">
        <v>103</v>
      </c>
      <c r="C21" s="25"/>
      <c r="D21" s="25"/>
      <c r="E21" s="25"/>
      <c r="F21" s="25"/>
      <c r="G21" s="25"/>
      <c r="H21" s="25"/>
      <c r="I21" s="25"/>
      <c r="J21" s="25" t="s">
        <v>165</v>
      </c>
      <c r="K21" s="70"/>
    </row>
    <row r="22" spans="1:11" ht="15.75" customHeight="1" x14ac:dyDescent="0.2">
      <c r="A22" s="25"/>
      <c r="C22" s="25"/>
      <c r="D22" s="25"/>
      <c r="E22" s="25"/>
      <c r="F22" s="25"/>
      <c r="G22" s="25"/>
      <c r="H22" s="25"/>
      <c r="I22" s="25"/>
      <c r="J22" s="76" t="s">
        <v>169</v>
      </c>
      <c r="K22" s="70"/>
    </row>
    <row r="23" spans="1:11" ht="15.75" customHeight="1" x14ac:dyDescent="0.2">
      <c r="A23" s="25"/>
      <c r="C23" s="25"/>
      <c r="D23" s="25"/>
      <c r="E23" s="25"/>
      <c r="F23" s="25"/>
      <c r="G23" s="25"/>
      <c r="H23" s="25"/>
      <c r="I23" s="25"/>
      <c r="J23" s="25" t="s">
        <v>167</v>
      </c>
      <c r="K23" s="70"/>
    </row>
    <row r="24" spans="1:11" ht="15.75" customHeight="1" x14ac:dyDescent="0.2">
      <c r="A24" s="25"/>
      <c r="B24" s="65"/>
      <c r="C24" s="25"/>
      <c r="D24" s="25"/>
      <c r="E24" s="25"/>
      <c r="F24" s="25"/>
      <c r="G24" s="25"/>
      <c r="H24" s="25"/>
      <c r="I24" s="25"/>
      <c r="J24" s="25" t="s">
        <v>166</v>
      </c>
      <c r="K24" s="70"/>
    </row>
    <row r="25" spans="1:11" ht="15.75" customHeight="1" x14ac:dyDescent="0.2">
      <c r="A25" s="25"/>
      <c r="C25" s="25"/>
      <c r="D25" s="25"/>
      <c r="E25" s="25"/>
      <c r="F25" s="25"/>
      <c r="G25" s="25"/>
      <c r="H25" s="25"/>
      <c r="I25" s="25"/>
      <c r="J25" s="25" t="s">
        <v>133</v>
      </c>
      <c r="K25" s="70"/>
    </row>
    <row r="26" spans="1:11" ht="15.75" customHeight="1" x14ac:dyDescent="0.2">
      <c r="B26" s="65"/>
      <c r="H26" s="25"/>
    </row>
    <row r="27" spans="1:11" ht="15.75" customHeight="1" x14ac:dyDescent="0.2">
      <c r="B27" s="65"/>
    </row>
    <row r="28" spans="1:11" ht="15.75" customHeight="1" x14ac:dyDescent="0.2">
      <c r="B28" s="65"/>
    </row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Barrett-Anne Briggs</cp:lastModifiedBy>
  <dcterms:created xsi:type="dcterms:W3CDTF">2021-08-03T22:14:55Z</dcterms:created>
  <dcterms:modified xsi:type="dcterms:W3CDTF">2026-08-06T16:33:14Z</dcterms:modified>
</cp:coreProperties>
</file>