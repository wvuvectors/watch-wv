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DATA_PCR/3 AB_PLATES/"/>
    </mc:Choice>
  </mc:AlternateContent>
  <xr:revisionPtr revIDLastSave="0" documentId="13_ncr:1_{16091D5B-4EDF-7349-BE68-16330C6C6C9C}" xr6:coauthVersionLast="47" xr6:coauthVersionMax="47" xr10:uidLastSave="{00000000-0000-0000-0000-000000000000}"/>
  <bookViews>
    <workbookView xWindow="10120" yWindow="620" windowWidth="22120" windowHeight="16740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Z+xPJQQCoaOzu+wtu2GwLx7XIKgcaMfvHhaDJ/Cq+kM="/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<sst xmlns="http://schemas.openxmlformats.org/spreadsheetml/2006/main" count="385" uniqueCount="233">
  <si>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</si>
  <si>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</si>
  <si>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</si>
  <si>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</si>
  <si>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</si>
  <si>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</si>
  <si>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</si>
  <si>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</si>
  <si>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</si>
  <si>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</si>
  <si>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</si>
  <si>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</si>
  <si>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</si>
  <si>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</si>
  <si>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</si>
  <si>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</si>
  <si>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</si>
  <si>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</si>
  <si>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</si>
  <si>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</si>
  <si>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</si>
  <si>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</si>
  <si>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</si>
  <si>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</si>
  <si>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</si>
  <si>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</si>
  <si>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</si>
  <si>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</si>
  <si>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</si>
  <si>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</si>
  <si>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</si>
  <si>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</si>
  <si>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</si>
  <si>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</si>
  <si>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</si>
  <si>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</si>
  <si>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</si>
  <si>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</si>
  <si>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</si>
  <si>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</si>
  <si>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</si>
  <si>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</si>
  <si>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</si>
  <si>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</si>
  <si>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</si>
  <si>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</si>
  <si>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</si>
  <si>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</si>
  <si>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</si>
  <si>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</si>
  <si>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</si>
  <si>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</si>
  <si>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</si>
  <si>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</si>
  <si>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</si>
  <si>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</si>
  <si>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</si>
  <si>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</si>
  <si>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</si>
  <si>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</si>
  <si>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</si>
  <si>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</si>
  <si>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</si>
  <si>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</si>
  <si>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</si>
  <si>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</si>
  <si>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</si>
  <si>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</si>
  <si>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</si>
  <si>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</si>
  <si>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</si>
  <si>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</si>
  <si>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</si>
  <si>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</si>
  <si>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</si>
  <si>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</si>
  <si>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</si>
  <si>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</si>
  <si>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</si>
  <si>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</si>
  <si>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</si>
  <si>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</si>
  <si>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</si>
  <si>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</si>
  <si>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</si>
  <si>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</si>
  <si>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</si>
  <si>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</si>
  <si>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</si>
  <si>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</si>
  <si>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</si>
  <si>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</si>
  <si>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</si>
  <si>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</si>
  <si>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</si>
  <si>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</si>
  <si>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</si>
  <si>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</si>
  <si>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</si>
  <si>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</si>
  <si>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</si>
  <si>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</si>
  <si>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</si>
  <si>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</si>
  <si>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</si>
  <si>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</si>
  <si>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</si>
  <si>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</si>
  <si>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</si>
  <si>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</si>
  <si>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</si>
  <si>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</si>
  <si>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</si>
  <si>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</si>
  <si>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</si>
  <si>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</si>
  <si>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</si>
  <si>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</si>
  <si>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</si>
  <si>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</si>
  <si>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</si>
  <si>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</si>
  <si>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</si>
  <si>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</si>
  <si>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</si>
  <si>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</si>
  <si>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</si>
  <si>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</si>
  <si>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</si>
  <si>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</si>
  <si>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</si>
  <si>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</si>
  <si>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</si>
  <si>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</si>
  <si>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</si>
  <si>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</si>
  <si>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</si>
  <si>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</si>
  <si>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</si>
  <si>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</si>
  <si>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</si>
  <si>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</si>
  <si>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</si>
  <si>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</si>
  <si>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</si>
  <si>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</si>
  <si>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</si>
  <si>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</si>
  <si>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</si>
  <si>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</si>
  <si>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</si>
  <si>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</si>
  <si>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</si>
  <si>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</si>
  <si>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</si>
  <si>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</si>
  <si>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</si>
  <si>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</si>
  <si>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</si>
  <si>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</si>
  <si>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</si>
  <si>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</si>
  <si>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GTM GT-Digital MeV Cy5 WW SurvAssay for QIAcuity v1.0 (100831)</t>
  </si>
  <si>
    <t>----------------------------- DROPLET DIGITAL ASSAYS -----------------------------</t>
  </si>
  <si>
    <t>----------------------------- DIGITAL ASSAYS -----------------------------</t>
  </si>
  <si>
    <t>GTM GT-Digital Norovirus GI;Norovirus GII Assay Kit for the QIAcuity Digital PCR System v1.1 (100469-1.1)</t>
  </si>
  <si>
    <t>GTM GT-Digital NVO;Mpox Assay Kit for the QIAcuity Digital PCR System v1.1 - BETA (100459-1.1)</t>
  </si>
  <si>
    <t>GTM GT-Digital C. auris;C. jejuni Assay Kit for the QIAcuity Digital PCR System v1.1 - BETA (100529-1.1)</t>
  </si>
  <si>
    <t>GTM GT-Digital Flu;SC2;RSV WW Surveillance Panel for QIAcuity R001 (100740)</t>
  </si>
  <si>
    <t>GTM GT-Digital B. pertussis WW Surv Assay v1.0 for the QIAcuity R001 (101125)</t>
  </si>
  <si>
    <t>Measles Virus, Wild-Type (M)</t>
  </si>
  <si>
    <t>Analysis Software Versions</t>
  </si>
  <si>
    <t>Pertussis, Bordetella</t>
  </si>
  <si>
    <t>BB</t>
  </si>
  <si>
    <t>POS</t>
  </si>
  <si>
    <t>NTC</t>
  </si>
  <si>
    <t>NAB175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</si>
  <si>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</si>
  <si>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</si>
  <si>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</si>
  <si>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</si>
  <si>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</si>
  <si>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</si>
  <si>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</si>
  <si>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</si>
  <si>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</si>
  <si>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</si>
  <si>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</si>
  <si>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</si>
  <si>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</si>
  <si>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</si>
  <si>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</si>
  <si>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</si>
  <si>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</si>
  <si>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</si>
  <si>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</si>
  <si>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</si>
  <si>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</si>
  <si>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</si>
  <si>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</si>
  <si>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</si>
  <si>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</si>
  <si>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</si>
  <si>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</si>
  <si>
    <t>H5</t>
  </si>
  <si>
    <t>H6</t>
  </si>
  <si>
    <t>H7</t>
  </si>
  <si>
    <t>H8</t>
  </si>
  <si>
    <t>I1</t>
  </si>
  <si>
    <t>I2</t>
  </si>
  <si>
    <t>I3</t>
  </si>
  <si>
    <t>I4</t>
  </si>
  <si>
    <t>I5</t>
  </si>
  <si>
    <t>AB183</t>
  </si>
  <si>
    <t>C01-1379</t>
  </si>
  <si>
    <t>J01-1047</t>
  </si>
  <si>
    <t>C01-1380</t>
  </si>
  <si>
    <t>K01-0488</t>
  </si>
  <si>
    <t>C01-1381</t>
  </si>
  <si>
    <t>L01-1035</t>
  </si>
  <si>
    <t>C01-1382</t>
  </si>
  <si>
    <t>M03-1039</t>
  </si>
  <si>
    <t>C01-1383</t>
  </si>
  <si>
    <t>Q01-1047</t>
  </si>
  <si>
    <t>D01-1043</t>
  </si>
  <si>
    <t>R02-1045</t>
  </si>
  <si>
    <t>F01-1031</t>
  </si>
  <si>
    <t>U01-1016</t>
  </si>
  <si>
    <t>H01-1053</t>
  </si>
  <si>
    <t>W01-1032</t>
  </si>
  <si>
    <t>B5</t>
  </si>
  <si>
    <t>A5</t>
  </si>
  <si>
    <t>Also moved to new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</si>
</sst>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2"/>
      <color theme="1"/>
      <name val="Arial"/>
      <scheme val="minor"/>
    </font>
    <font>
      <sz val="12"/>
      <color theme="1"/>
      <name val="Arial"/>
      <family val="2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14" fontId="4" fillId="3" borderId="5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4" borderId="5" xfId="0" applyFont="1" applyFill="1" applyBorder="1" applyAlignment="1">
      <alignment horizontal="left" vertical="center"/>
    </xf>
    <xf numFmtId="0" fontId="4" fillId="0" borderId="0" xfId="0" applyFont="1"/>
    <xf numFmtId="0" fontId="4" fillId="5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7" borderId="5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9" borderId="5" xfId="0" applyFont="1" applyFill="1" applyBorder="1" applyAlignment="1">
      <alignment horizontal="right" vertical="center"/>
    </xf>
    <xf numFmtId="0" fontId="13" fillId="9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5" borderId="5" xfId="0" applyFont="1" applyFill="1" applyBorder="1" applyAlignment="1">
      <alignment horizontal="right" vertical="center"/>
    </xf>
    <xf numFmtId="0" fontId="14" fillId="5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5" fillId="5" borderId="6" xfId="0" applyFont="1" applyFill="1" applyBorder="1" applyAlignment="1">
      <alignment horizontal="right" vertical="center"/>
    </xf>
    <xf numFmtId="0" fontId="15" fillId="5" borderId="6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right" vertical="center"/>
    </xf>
    <xf numFmtId="0" fontId="16" fillId="5" borderId="5" xfId="0" applyFont="1" applyFill="1" applyBorder="1" applyAlignment="1">
      <alignment horizontal="center"/>
    </xf>
    <xf numFmtId="0" fontId="16" fillId="5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5" borderId="5" xfId="0" applyFont="1" applyFill="1" applyBorder="1" applyAlignment="1">
      <alignment horizontal="right"/>
    </xf>
    <xf numFmtId="0" fontId="7" fillId="5" borderId="5" xfId="0" applyFont="1" applyFill="1" applyBorder="1"/>
    <xf numFmtId="0" fontId="13" fillId="8" borderId="19" xfId="0" applyFont="1" applyFill="1" applyBorder="1" applyAlignment="1">
      <alignment horizontal="right" vertical="center"/>
    </xf>
    <xf numFmtId="0" fontId="13" fillId="8" borderId="20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right" vertical="center"/>
    </xf>
    <xf numFmtId="0" fontId="5" fillId="10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5" fillId="8" borderId="23" xfId="0" applyFont="1" applyFill="1" applyBorder="1" applyAlignment="1">
      <alignment horizontal="right"/>
    </xf>
    <xf numFmtId="0" fontId="15" fillId="8" borderId="24" xfId="0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5" fillId="8" borderId="25" xfId="0" applyFont="1" applyFill="1" applyBorder="1" applyAlignment="1">
      <alignment horizontal="right"/>
    </xf>
    <xf numFmtId="0" fontId="15" fillId="8" borderId="26" xfId="0" applyFont="1" applyFill="1" applyBorder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19" fillId="4" borderId="5" xfId="0" applyFont="1" applyFill="1" applyBorder="1"/>
    <xf numFmtId="0" fontId="7" fillId="0" borderId="0" xfId="0" quotePrefix="1" applyFont="1"/>
    <xf numFmtId="0" fontId="20" fillId="0" borderId="0" xfId="0" applyFont="1"/>
    <xf numFmtId="0" fontId="19" fillId="4" borderId="18" xfId="0" applyFont="1" applyFill="1" applyBorder="1"/>
    <xf numFmtId="0" fontId="7" fillId="12" borderId="0" xfId="0" applyFont="1" applyFill="1"/>
    <xf numFmtId="0" fontId="19" fillId="4" borderId="18" xfId="0" applyFont="1" applyFill="1" applyBorder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7" fillId="0" borderId="0" xfId="0" quotePrefix="1" applyNumberFormat="1" applyFont="1" applyAlignment="1">
      <alignment horizontal="left" vertical="center"/>
    </xf>
    <xf numFmtId="164" fontId="4" fillId="3" borderId="6" xfId="0" applyNumberFormat="1" applyFont="1" applyFill="1" applyBorder="1" applyAlignment="1">
      <alignment horizontal="left" vertical="center"/>
    </xf>
    <xf numFmtId="0" fontId="4" fillId="7" borderId="27" xfId="0" applyFont="1" applyFill="1" applyBorder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7" fillId="13" borderId="0" xfId="0" quotePrefix="1" applyFont="1" applyFill="1"/>
    <xf numFmtId="0" fontId="7" fillId="14" borderId="0" xfId="0" quotePrefix="1" applyFont="1" applyFill="1"/>
    <xf numFmtId="0" fontId="15" fillId="5" borderId="13" xfId="0" applyFont="1" applyFill="1" applyBorder="1" applyAlignment="1">
      <alignment horizontal="center" vertical="center"/>
    </xf>
    <xf numFmtId="0" fontId="10" fillId="0" borderId="14" xfId="0" applyFont="1" applyBorder="1"/>
    <xf numFmtId="0" fontId="10" fillId="0" borderId="15" xfId="0" applyFont="1" applyBorder="1"/>
    <xf numFmtId="0" fontId="15" fillId="11" borderId="21" xfId="0" applyFont="1" applyFill="1" applyBorder="1" applyAlignment="1">
      <alignment horizontal="right" vertical="center"/>
    </xf>
    <xf numFmtId="0" fontId="10" fillId="0" borderId="22" xfId="0" applyFont="1" applyBorder="1"/>
    <xf numFmtId="0" fontId="8" fillId="4" borderId="10" xfId="0" applyFont="1" applyFill="1" applyBorder="1" applyAlignment="1">
      <alignment horizontal="left" vertical="center"/>
    </xf>
    <xf numFmtId="0" fontId="10" fillId="0" borderId="11" xfId="0" applyFont="1" applyBorder="1"/>
    <xf numFmtId="0" fontId="10" fillId="0" borderId="12" xfId="0" applyFont="1" applyBorder="1"/>
    <xf numFmtId="0" fontId="11" fillId="5" borderId="10" xfId="0" applyFont="1" applyFill="1" applyBorder="1" applyAlignment="1">
      <alignment horizontal="left" vertical="center"/>
    </xf>
    <xf numFmtId="0" fontId="11" fillId="8" borderId="1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15" fillId="5" borderId="10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 wrapText="1"/>
    </xf>
    <xf numFmtId="0" fontId="10" fillId="0" borderId="18" xfId="0" applyFont="1" applyBorder="1"/>
    <xf numFmtId="0" fontId="21" fillId="2" borderId="9" xfId="0" applyFont="1" applyFill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B16" sqref="B16"/>
    </sheetView>
  </sheetViews>
  <sheetFormatPr baseColWidth="10" defaultColWidth="10.140625" defaultRowHeight="15" customHeight="1"/>
  <cols>
    <col min="1" max="1" width="51.5703125" customWidth="1"/>
    <col min="2" max="2" width="70.42578125" customWidth="1"/>
    <col min="3" max="3" width="93.85546875" customWidth="1"/>
    <col min="4" max="23" width="26" customWidth="1"/>
    <col min="24" max="26" width="11.42578125" customWidth="1"/>
  </cols>
  <sheetData>
    <row r="1" spans="1:26" ht="31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>
      <c r="A2" s="5" t="s">
        <v>2</v>
      </c>
      <c r="B2" s="6" t="s">
        <v>135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>
      <c r="A3" s="7" t="s">
        <v>3</v>
      </c>
      <c r="B3" s="8">
        <v>46311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>
      <c r="A4" s="4" t="s">
        <v>4</v>
      </c>
      <c r="B4" s="4" t="s">
        <v>173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>
      <c r="A5" s="7" t="s">
        <v>5</v>
      </c>
      <c r="B5" s="7" t="s">
        <v>98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>
      <c r="A6" s="4" t="s">
        <v>7</v>
      </c>
      <c r="B6" s="4" t="s">
        <v>213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>
      <c r="A10" s="4" t="s">
        <v>157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>
      <c r="A11" s="7" t="s">
        <v>158</v>
      </c>
      <c r="B11" s="7">
        <v>64733650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>
      <c r="A12" s="7" t="s">
        <v>13</v>
      </c>
      <c r="B12" s="7" t="s">
        <v>148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>
      <c r="A13" s="4" t="s">
        <v>155</v>
      </c>
      <c r="B13" s="4" t="s">
        <v>117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>
      <c r="A14" s="7" t="s">
        <v>156</v>
      </c>
      <c r="B14" s="7">
        <v>22084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>
      <c r="A15" s="13" t="s">
        <v>14</v>
      </c>
      <c r="B15" s="14" t="s">
        <v>232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>
      <c r="A17" s="17" t="s">
        <v>18</v>
      </c>
      <c r="B17" s="17" t="s">
        <v>139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>
      <c r="A23" s="18" t="s">
        <v>28</v>
      </c>
      <c r="B23" s="18" t="s">
        <v>230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>
      <c r="A26" s="21" t="s">
        <v>32</v>
      </c>
      <c r="B26" s="21" t="s">
        <v>152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>
      <c r="A28" s="21" t="s">
        <v>35</v>
      </c>
      <c r="B28" s="21" t="s">
        <v>231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>
      <c r="A31" s="17" t="s">
        <v>18</v>
      </c>
      <c r="B31" s="17" t="s">
        <v>146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>
      <c r="A37" s="18" t="s">
        <v>28</v>
      </c>
      <c r="B37" s="18" t="s">
        <v>230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>
      <c r="A40" s="21" t="s">
        <v>32</v>
      </c>
      <c r="B40" s="21" t="s">
        <v>152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>
      <c r="A42" s="21" t="s">
        <v>35</v>
      </c>
      <c r="B42" s="21" t="s">
        <v>231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>
      <c r="A44" s="15" t="s">
        <v>16</v>
      </c>
      <c r="B44" s="15" t="s">
        <v>105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>
      <c r="A45" s="17" t="s">
        <v>18</v>
      </c>
      <c r="B45" s="17" t="s">
        <v>141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>
      <c r="A51" s="18" t="s">
        <v>28</v>
      </c>
      <c r="B51" s="18" t="s">
        <v>230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>
      <c r="A54" s="21" t="s">
        <v>32</v>
      </c>
      <c r="B54" s="21" t="s">
        <v>152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>
      <c r="A56" s="21" t="s">
        <v>35</v>
      </c>
      <c r="B56" s="21" t="s">
        <v>231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>
      <c r="A58" s="15" t="s">
        <v>16</v>
      </c>
      <c r="B58" s="15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>
      <c r="A59" s="17" t="s">
        <v>18</v>
      </c>
      <c r="B59" s="17" t="s">
        <v>140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>
      <c r="A65" s="18" t="s">
        <v>28</v>
      </c>
      <c r="B65" s="18" t="s">
        <v>230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>
      <c r="A68" s="21" t="s">
        <v>32</v>
      </c>
      <c r="B68" s="21" t="s">
        <v>152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>
      <c r="A70" s="21" t="s">
        <v>35</v>
      </c>
      <c r="B70" s="21" t="s">
        <v>231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>
      <c r="A72" s="15" t="s">
        <v>16</v>
      </c>
      <c r="B72" s="15" t="s">
        <v>111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>
      <c r="A73" s="17" t="s">
        <v>18</v>
      </c>
      <c r="B73" s="17" t="s">
        <v>138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>
      <c r="A79" s="18" t="s">
        <v>28</v>
      </c>
      <c r="B79" s="18" t="s">
        <v>230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>
      <c r="A82" s="21" t="s">
        <v>32</v>
      </c>
      <c r="B82" s="21" t="s">
        <v>152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>
      <c r="A84" s="21" t="s">
        <v>35</v>
      </c>
      <c r="B84" s="21" t="s">
        <v>231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  <x14:dataValidation type="list" allowBlank="1" showErrorMessage="1" xr:uid="{00000000-0002-0000-0000-000005000000}">
          <x14:formula1>
            <xm:f>Lists!$J$2:$J$25</xm:f>
          </x14:formula1>
          <xm:sqref>B13</xm:sqref>
        </x14:dataValidation>
        <x14:dataValidation type="list" allowBlank="1" showErrorMessage="1" xr:uid="{9FD2121D-1019-AC48-A32E-8D873BDEA7C0}">
          <x14:formula1>
            <xm:f>Lists!$B$2:$B$21</xm:f>
          </x14:formula1>
          <xm:sqref>B59 B17 B31 B45 B73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50" zoomScaleNormal="50" workbookViewId="0">
      <selection activeCell="B2" sqref="B2:F9"/>
    </sheetView>
  </sheetViews>
  <sheetFormatPr baseColWidth="10" defaultColWidth="10.140625" defaultRowHeight="15" customHeight="1"/>
  <cols>
    <col min="1" max="1" width="11.42578125" customWidth="1"/>
    <col min="2" max="13" width="20.5703125" customWidth="1"/>
    <col min="14" max="26" width="10.5703125" customWidth="1"/>
  </cols>
  <sheetData>
    <row r="1" spans="1:26" ht="60.75" customHeight="1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>
      <c r="A2" s="26" t="s">
        <v>39</v>
      </c>
      <c r="B2" s="94" t="s">
        <v>214</v>
      </c>
      <c r="C2" s="95" t="s">
        <v>215</v>
      </c>
      <c r="D2" s="28"/>
      <c r="E2" s="29"/>
      <c r="F2" s="28" t="s">
        <v>174</v>
      </c>
      <c r="G2" s="29"/>
      <c r="H2" s="28"/>
      <c r="I2" s="29"/>
      <c r="J2" s="28"/>
      <c r="K2" s="29"/>
      <c r="L2" s="28"/>
      <c r="M2" s="29"/>
    </row>
    <row r="3" spans="1:26" ht="99.75" customHeight="1">
      <c r="A3" s="26" t="s">
        <v>40</v>
      </c>
      <c r="B3" s="95" t="s">
        <v>216</v>
      </c>
      <c r="C3" s="94" t="s">
        <v>217</v>
      </c>
      <c r="D3" s="29"/>
      <c r="E3" s="28"/>
      <c r="F3" s="29" t="s">
        <v>175</v>
      </c>
      <c r="G3" s="28"/>
      <c r="H3" s="29"/>
      <c r="I3" s="28"/>
      <c r="J3" s="29"/>
      <c r="K3" s="28"/>
      <c r="L3" s="29"/>
      <c r="M3" s="28"/>
    </row>
    <row r="4" spans="1:26" ht="99.75" customHeight="1">
      <c r="A4" s="26" t="s">
        <v>41</v>
      </c>
      <c r="B4" s="94" t="s">
        <v>218</v>
      </c>
      <c r="C4" s="95" t="s">
        <v>219</v>
      </c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>
      <c r="A5" s="26" t="s">
        <v>42</v>
      </c>
      <c r="B5" s="95" t="s">
        <v>220</v>
      </c>
      <c r="C5" s="94" t="s">
        <v>221</v>
      </c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>
      <c r="A6" s="26" t="s">
        <v>43</v>
      </c>
      <c r="B6" s="94" t="s">
        <v>222</v>
      </c>
      <c r="C6" s="95" t="s">
        <v>223</v>
      </c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>
      <c r="A7" s="26" t="s">
        <v>44</v>
      </c>
      <c r="B7" s="95" t="s">
        <v>224</v>
      </c>
      <c r="C7" s="94" t="s">
        <v>225</v>
      </c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>
      <c r="A8" s="26" t="s">
        <v>45</v>
      </c>
      <c r="B8" s="94" t="s">
        <v>226</v>
      </c>
      <c r="C8" s="95" t="s">
        <v>227</v>
      </c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thickBot="1">
      <c r="A9" s="26" t="s">
        <v>46</v>
      </c>
      <c r="B9" s="95" t="s">
        <v>228</v>
      </c>
      <c r="C9" s="94" t="s">
        <v>229</v>
      </c>
      <c r="D9" s="96"/>
      <c r="E9" s="97"/>
      <c r="F9" s="96"/>
      <c r="G9" s="28"/>
      <c r="H9" s="29"/>
      <c r="I9" s="28"/>
      <c r="J9" s="29"/>
      <c r="K9" s="28"/>
      <c r="L9" s="29"/>
      <c r="M9" s="28"/>
    </row>
    <row r="10" spans="1:26" ht="31">
      <c r="A10" s="27"/>
    </row>
    <row r="11" spans="1:26" ht="31">
      <c r="A11" s="27"/>
    </row>
    <row r="12" spans="1:26" ht="31">
      <c r="A12" s="27"/>
    </row>
    <row r="13" spans="1:26" ht="31">
      <c r="A13" s="27"/>
    </row>
    <row r="14" spans="1:26" ht="15.75" customHeight="1">
      <c r="A14" s="27"/>
    </row>
    <row r="15" spans="1:26" ht="15.75" customHeight="1">
      <c r="A15" s="27"/>
    </row>
    <row r="16" spans="1:26" ht="15.75" customHeight="1">
      <c r="A16" s="27"/>
    </row>
    <row r="17" spans="1:1" ht="15.75" customHeight="1">
      <c r="A17" s="27"/>
    </row>
    <row r="18" spans="1:1" ht="15.75" customHeight="1">
      <c r="A18" s="27"/>
    </row>
    <row r="19" spans="1:1" ht="15.75" customHeight="1">
      <c r="A19" s="27"/>
    </row>
    <row r="20" spans="1:1" ht="15.75" customHeight="1">
      <c r="A20" s="27"/>
    </row>
    <row r="21" spans="1:1" ht="15.75" customHeight="1">
      <c r="A21" s="27"/>
    </row>
    <row r="22" spans="1:1" ht="15.75" customHeight="1">
      <c r="A22" s="27"/>
    </row>
    <row r="23" spans="1:1" ht="15.75" customHeight="1">
      <c r="A23" s="27"/>
    </row>
    <row r="24" spans="1:1" ht="15.75" customHeight="1">
      <c r="A24" s="27"/>
    </row>
    <row r="25" spans="1:1" ht="15.75" customHeight="1">
      <c r="A25" s="27"/>
    </row>
    <row r="26" spans="1:1" ht="15.75" customHeight="1">
      <c r="A26" s="27"/>
    </row>
    <row r="27" spans="1:1" ht="15.75" customHeight="1">
      <c r="A27" s="27"/>
    </row>
    <row r="28" spans="1:1" ht="15.75" customHeight="1">
      <c r="A28" s="27"/>
    </row>
    <row r="29" spans="1:1" ht="15.75" customHeight="1">
      <c r="A29" s="27"/>
    </row>
    <row r="30" spans="1:1" ht="15.75" customHeight="1">
      <c r="A30" s="27"/>
    </row>
    <row r="31" spans="1:1" ht="15.75" customHeight="1">
      <c r="A31" s="27"/>
    </row>
    <row r="32" spans="1:1" ht="15.75" customHeight="1">
      <c r="A32" s="27"/>
    </row>
    <row r="33" spans="1:1" ht="15.75" customHeight="1">
      <c r="A33" s="27"/>
    </row>
    <row r="34" spans="1:1" ht="15.75" customHeight="1">
      <c r="A34" s="27"/>
    </row>
    <row r="35" spans="1:1" ht="15.75" customHeight="1">
      <c r="A35" s="27"/>
    </row>
    <row r="36" spans="1:1" ht="15.75" customHeight="1">
      <c r="A36" s="27"/>
    </row>
    <row r="37" spans="1:1" ht="15.75" customHeight="1">
      <c r="A37" s="27"/>
    </row>
    <row r="38" spans="1:1" ht="15.75" customHeight="1">
      <c r="A38" s="27"/>
    </row>
    <row r="39" spans="1:1" ht="15.75" customHeight="1">
      <c r="A39" s="27"/>
    </row>
    <row r="40" spans="1:1" ht="15.75" customHeight="1">
      <c r="A40" s="27"/>
    </row>
    <row r="41" spans="1:1" ht="15.75" customHeight="1">
      <c r="A41" s="27"/>
    </row>
    <row r="42" spans="1:1" ht="15.75" customHeight="1">
      <c r="A42" s="27"/>
    </row>
    <row r="43" spans="1:1" ht="15.75" customHeight="1">
      <c r="A43" s="27"/>
    </row>
    <row r="44" spans="1:1" ht="15.75" customHeight="1">
      <c r="A44" s="27"/>
    </row>
    <row r="45" spans="1:1" ht="15.75" customHeight="1">
      <c r="A45" s="27"/>
    </row>
    <row r="46" spans="1:1" ht="15.75" customHeight="1">
      <c r="A46" s="27"/>
    </row>
    <row r="47" spans="1:1" ht="15.75" customHeight="1">
      <c r="A47" s="27"/>
    </row>
    <row r="48" spans="1:1" ht="15.75" customHeight="1">
      <c r="A48" s="27"/>
    </row>
    <row r="49" spans="1:1" ht="15.75" customHeight="1">
      <c r="A49" s="27"/>
    </row>
    <row r="50" spans="1:1" ht="15.75" customHeight="1">
      <c r="A50" s="27"/>
    </row>
    <row r="51" spans="1:1" ht="15.75" customHeight="1">
      <c r="A51" s="27"/>
    </row>
    <row r="52" spans="1:1" ht="15.75" customHeight="1">
      <c r="A52" s="27"/>
    </row>
    <row r="53" spans="1:1" ht="15.75" customHeight="1">
      <c r="A53" s="27"/>
    </row>
    <row r="54" spans="1:1" ht="15.75" customHeight="1">
      <c r="A54" s="27"/>
    </row>
    <row r="55" spans="1:1" ht="15.75" customHeight="1">
      <c r="A55" s="27"/>
    </row>
    <row r="56" spans="1:1" ht="15.75" customHeight="1">
      <c r="A56" s="27"/>
    </row>
    <row r="57" spans="1:1" ht="15.75" customHeight="1">
      <c r="A57" s="27"/>
    </row>
    <row r="58" spans="1:1" ht="15.75" customHeight="1">
      <c r="A58" s="27"/>
    </row>
    <row r="59" spans="1:1" ht="15.75" customHeight="1">
      <c r="A59" s="27"/>
    </row>
    <row r="60" spans="1:1" ht="15.75" customHeight="1">
      <c r="A60" s="27"/>
    </row>
    <row r="61" spans="1:1" ht="15.75" customHeight="1">
      <c r="A61" s="27"/>
    </row>
    <row r="62" spans="1:1" ht="15.75" customHeight="1">
      <c r="A62" s="27"/>
    </row>
    <row r="63" spans="1:1" ht="15.75" customHeight="1">
      <c r="A63" s="27"/>
    </row>
    <row r="64" spans="1:1" ht="15.75" customHeight="1">
      <c r="A64" s="27"/>
    </row>
    <row r="65" spans="1:1" ht="15.75" customHeight="1">
      <c r="A65" s="27"/>
    </row>
    <row r="66" spans="1:1" ht="15.75" customHeight="1">
      <c r="A66" s="27"/>
    </row>
    <row r="67" spans="1:1" ht="15.75" customHeight="1">
      <c r="A67" s="27"/>
    </row>
    <row r="68" spans="1:1" ht="15.75" customHeight="1">
      <c r="A68" s="27"/>
    </row>
    <row r="69" spans="1:1" ht="15.75" customHeight="1">
      <c r="A69" s="27"/>
    </row>
    <row r="70" spans="1:1" ht="15.75" customHeight="1">
      <c r="A70" s="27"/>
    </row>
    <row r="71" spans="1:1" ht="15.75" customHeight="1">
      <c r="A71" s="27"/>
    </row>
    <row r="72" spans="1:1" ht="15.75" customHeight="1">
      <c r="A72" s="27"/>
    </row>
    <row r="73" spans="1:1" ht="15.75" customHeight="1">
      <c r="A73" s="27"/>
    </row>
    <row r="74" spans="1:1" ht="15.75" customHeight="1">
      <c r="A74" s="27"/>
    </row>
    <row r="75" spans="1:1" ht="15.75" customHeight="1">
      <c r="A75" s="27"/>
    </row>
    <row r="76" spans="1:1" ht="15.75" customHeight="1">
      <c r="A76" s="27"/>
    </row>
    <row r="77" spans="1:1" ht="15.75" customHeight="1">
      <c r="A77" s="27"/>
    </row>
    <row r="78" spans="1:1" ht="15.75" customHeight="1">
      <c r="A78" s="27"/>
    </row>
    <row r="79" spans="1:1" ht="15.75" customHeight="1">
      <c r="A79" s="27"/>
    </row>
    <row r="80" spans="1:1" ht="15.75" customHeight="1">
      <c r="A80" s="27"/>
    </row>
    <row r="81" spans="1:1" ht="15.75" customHeight="1">
      <c r="A81" s="27"/>
    </row>
    <row r="82" spans="1:1" ht="15.75" customHeight="1">
      <c r="A82" s="27"/>
    </row>
    <row r="83" spans="1:1" ht="15.75" customHeight="1">
      <c r="A83" s="27"/>
    </row>
    <row r="84" spans="1:1" ht="15.75" customHeight="1">
      <c r="A84" s="27"/>
    </row>
    <row r="85" spans="1:1" ht="15.75" customHeight="1">
      <c r="A85" s="27"/>
    </row>
    <row r="86" spans="1:1" ht="15.75" customHeight="1">
      <c r="A86" s="27"/>
    </row>
    <row r="87" spans="1:1" ht="15.75" customHeight="1">
      <c r="A87" s="27"/>
    </row>
    <row r="88" spans="1:1" ht="15.75" customHeight="1">
      <c r="A88" s="27"/>
    </row>
    <row r="89" spans="1:1" ht="15.75" customHeight="1">
      <c r="A89" s="27"/>
    </row>
    <row r="90" spans="1:1" ht="15.75" customHeight="1">
      <c r="A90" s="27"/>
    </row>
    <row r="91" spans="1:1" ht="15.75" customHeight="1">
      <c r="A91" s="27"/>
    </row>
    <row r="92" spans="1:1" ht="15.75" customHeight="1">
      <c r="A92" s="27"/>
    </row>
    <row r="93" spans="1:1" ht="15.75" customHeight="1">
      <c r="A93" s="27"/>
    </row>
    <row r="94" spans="1:1" ht="15.75" customHeight="1">
      <c r="A94" s="27"/>
    </row>
    <row r="95" spans="1:1" ht="15.75" customHeight="1">
      <c r="A95" s="27"/>
    </row>
    <row r="96" spans="1:1" ht="15.75" customHeight="1">
      <c r="A96" s="27"/>
    </row>
    <row r="97" spans="1:1" ht="15.75" customHeight="1">
      <c r="A97" s="27"/>
    </row>
    <row r="98" spans="1:1" ht="15.75" customHeight="1">
      <c r="A98" s="27"/>
    </row>
    <row r="99" spans="1:1" ht="15.75" customHeight="1">
      <c r="A99" s="27"/>
    </row>
    <row r="100" spans="1:1" ht="15.75" customHeight="1">
      <c r="A100" s="27"/>
    </row>
    <row r="101" spans="1:1" ht="15.75" customHeight="1">
      <c r="A101" s="27"/>
    </row>
    <row r="102" spans="1:1" ht="15.75" customHeight="1">
      <c r="A102" s="27"/>
    </row>
    <row r="103" spans="1:1" ht="15.75" customHeight="1">
      <c r="A103" s="27"/>
    </row>
    <row r="104" spans="1:1" ht="15.75" customHeight="1">
      <c r="A104" s="27"/>
    </row>
    <row r="105" spans="1:1" ht="15.75" customHeight="1">
      <c r="A105" s="27"/>
    </row>
    <row r="106" spans="1:1" ht="15.75" customHeight="1">
      <c r="A106" s="27"/>
    </row>
    <row r="107" spans="1:1" ht="15.75" customHeight="1">
      <c r="A107" s="27"/>
    </row>
    <row r="108" spans="1:1" ht="15.75" customHeight="1">
      <c r="A108" s="27"/>
    </row>
    <row r="109" spans="1:1" ht="15.75" customHeight="1">
      <c r="A109" s="27"/>
    </row>
    <row r="110" spans="1:1" ht="15.75" customHeight="1">
      <c r="A110" s="27"/>
    </row>
    <row r="111" spans="1:1" ht="15.75" customHeight="1">
      <c r="A111" s="27"/>
    </row>
    <row r="112" spans="1:1" ht="15.75" customHeight="1">
      <c r="A112" s="27"/>
    </row>
    <row r="113" spans="1:1" ht="15.75" customHeight="1">
      <c r="A113" s="27"/>
    </row>
    <row r="114" spans="1:1" ht="15.75" customHeight="1">
      <c r="A114" s="27"/>
    </row>
    <row r="115" spans="1:1" ht="15.75" customHeight="1">
      <c r="A115" s="27"/>
    </row>
    <row r="116" spans="1:1" ht="15.75" customHeight="1">
      <c r="A116" s="27"/>
    </row>
    <row r="117" spans="1:1" ht="15.75" customHeight="1">
      <c r="A117" s="27"/>
    </row>
    <row r="118" spans="1:1" ht="15.75" customHeight="1">
      <c r="A118" s="27"/>
    </row>
    <row r="119" spans="1:1" ht="15.75" customHeight="1">
      <c r="A119" s="27"/>
    </row>
    <row r="120" spans="1:1" ht="15.75" customHeight="1">
      <c r="A120" s="27"/>
    </row>
    <row r="121" spans="1:1" ht="15.75" customHeight="1">
      <c r="A121" s="27"/>
    </row>
    <row r="122" spans="1:1" ht="15.75" customHeight="1">
      <c r="A122" s="27"/>
    </row>
    <row r="123" spans="1:1" ht="15.75" customHeight="1">
      <c r="A123" s="27"/>
    </row>
    <row r="124" spans="1:1" ht="15.75" customHeight="1">
      <c r="A124" s="27"/>
    </row>
    <row r="125" spans="1:1" ht="15.75" customHeight="1">
      <c r="A125" s="27"/>
    </row>
    <row r="126" spans="1:1" ht="15.75" customHeight="1">
      <c r="A126" s="27"/>
    </row>
    <row r="127" spans="1:1" ht="15.75" customHeight="1">
      <c r="A127" s="27"/>
    </row>
    <row r="128" spans="1:1" ht="15.75" customHeight="1">
      <c r="A128" s="27"/>
    </row>
    <row r="129" spans="1:1" ht="15.75" customHeight="1">
      <c r="A129" s="27"/>
    </row>
    <row r="130" spans="1:1" ht="15.75" customHeight="1">
      <c r="A130" s="27"/>
    </row>
    <row r="131" spans="1:1" ht="15.75" customHeight="1">
      <c r="A131" s="27"/>
    </row>
    <row r="132" spans="1:1" ht="15.75" customHeight="1">
      <c r="A132" s="27"/>
    </row>
    <row r="133" spans="1:1" ht="15.75" customHeight="1">
      <c r="A133" s="27"/>
    </row>
    <row r="134" spans="1:1" ht="15.75" customHeight="1">
      <c r="A134" s="27"/>
    </row>
    <row r="135" spans="1:1" ht="15.75" customHeight="1">
      <c r="A135" s="27"/>
    </row>
    <row r="136" spans="1:1" ht="15.75" customHeight="1">
      <c r="A136" s="27"/>
    </row>
    <row r="137" spans="1:1" ht="15.75" customHeight="1">
      <c r="A137" s="27"/>
    </row>
    <row r="138" spans="1:1" ht="15.75" customHeight="1">
      <c r="A138" s="27"/>
    </row>
    <row r="139" spans="1:1" ht="15.75" customHeight="1">
      <c r="A139" s="27"/>
    </row>
    <row r="140" spans="1:1" ht="15.75" customHeight="1">
      <c r="A140" s="27"/>
    </row>
    <row r="141" spans="1:1" ht="15.75" customHeight="1">
      <c r="A141" s="27"/>
    </row>
    <row r="142" spans="1:1" ht="15.75" customHeight="1">
      <c r="A142" s="27"/>
    </row>
    <row r="143" spans="1:1" ht="15.75" customHeight="1">
      <c r="A143" s="27"/>
    </row>
    <row r="144" spans="1:1" ht="15.75" customHeight="1">
      <c r="A144" s="27"/>
    </row>
    <row r="145" spans="1:1" ht="15.75" customHeight="1">
      <c r="A145" s="27"/>
    </row>
    <row r="146" spans="1:1" ht="15.75" customHeight="1">
      <c r="A146" s="27"/>
    </row>
    <row r="147" spans="1:1" ht="15.75" customHeight="1">
      <c r="A147" s="27"/>
    </row>
    <row r="148" spans="1:1" ht="15.75" customHeight="1">
      <c r="A148" s="27"/>
    </row>
    <row r="149" spans="1:1" ht="15.75" customHeight="1">
      <c r="A149" s="27"/>
    </row>
    <row r="150" spans="1:1" ht="15.75" customHeight="1">
      <c r="A150" s="27"/>
    </row>
    <row r="151" spans="1:1" ht="15.75" customHeight="1">
      <c r="A151" s="27"/>
    </row>
    <row r="152" spans="1:1" ht="15.75" customHeight="1">
      <c r="A152" s="27"/>
    </row>
    <row r="153" spans="1:1" ht="15.75" customHeight="1">
      <c r="A153" s="27"/>
    </row>
    <row r="154" spans="1:1" ht="15.75" customHeight="1">
      <c r="A154" s="27"/>
    </row>
    <row r="155" spans="1:1" ht="15.75" customHeight="1">
      <c r="A155" s="27"/>
    </row>
    <row r="156" spans="1:1" ht="15.75" customHeight="1">
      <c r="A156" s="27"/>
    </row>
    <row r="157" spans="1:1" ht="15.75" customHeight="1">
      <c r="A157" s="27"/>
    </row>
    <row r="158" spans="1:1" ht="15.75" customHeight="1">
      <c r="A158" s="27"/>
    </row>
    <row r="159" spans="1:1" ht="15.75" customHeight="1">
      <c r="A159" s="27"/>
    </row>
    <row r="160" spans="1:1" ht="15.75" customHeight="1">
      <c r="A160" s="27"/>
    </row>
    <row r="161" spans="1:1" ht="15.75" customHeight="1">
      <c r="A161" s="27"/>
    </row>
    <row r="162" spans="1:1" ht="15.75" customHeight="1">
      <c r="A162" s="27"/>
    </row>
    <row r="163" spans="1:1" ht="15.75" customHeight="1">
      <c r="A163" s="27"/>
    </row>
    <row r="164" spans="1:1" ht="15.75" customHeight="1">
      <c r="A164" s="27"/>
    </row>
    <row r="165" spans="1:1" ht="15.75" customHeight="1">
      <c r="A165" s="27"/>
    </row>
    <row r="166" spans="1:1" ht="15.75" customHeight="1">
      <c r="A166" s="27"/>
    </row>
    <row r="167" spans="1:1" ht="15.75" customHeight="1">
      <c r="A167" s="27"/>
    </row>
    <row r="168" spans="1:1" ht="15.75" customHeight="1">
      <c r="A168" s="27"/>
    </row>
    <row r="169" spans="1:1" ht="15.75" customHeight="1">
      <c r="A169" s="27"/>
    </row>
    <row r="170" spans="1:1" ht="15.75" customHeight="1">
      <c r="A170" s="27"/>
    </row>
    <row r="171" spans="1:1" ht="15.75" customHeight="1">
      <c r="A171" s="27"/>
    </row>
    <row r="172" spans="1:1" ht="15.75" customHeight="1">
      <c r="A172" s="27"/>
    </row>
    <row r="173" spans="1:1" ht="15.75" customHeight="1">
      <c r="A173" s="27"/>
    </row>
    <row r="174" spans="1:1" ht="15.75" customHeight="1">
      <c r="A174" s="27"/>
    </row>
    <row r="175" spans="1:1" ht="15.75" customHeight="1">
      <c r="A175" s="27"/>
    </row>
    <row r="176" spans="1:1" ht="15.75" customHeight="1">
      <c r="A176" s="27"/>
    </row>
    <row r="177" spans="1:1" ht="15.75" customHeight="1">
      <c r="A177" s="27"/>
    </row>
    <row r="178" spans="1:1" ht="15.75" customHeight="1">
      <c r="A178" s="27"/>
    </row>
    <row r="179" spans="1:1" ht="15.75" customHeight="1">
      <c r="A179" s="27"/>
    </row>
    <row r="180" spans="1:1" ht="15.75" customHeight="1">
      <c r="A180" s="27"/>
    </row>
    <row r="181" spans="1:1" ht="15.75" customHeight="1">
      <c r="A181" s="27"/>
    </row>
    <row r="182" spans="1:1" ht="15.75" customHeight="1">
      <c r="A182" s="27"/>
    </row>
    <row r="183" spans="1:1" ht="15.75" customHeight="1">
      <c r="A183" s="27"/>
    </row>
    <row r="184" spans="1:1" ht="15.75" customHeight="1">
      <c r="A184" s="27"/>
    </row>
    <row r="185" spans="1:1" ht="15.75" customHeight="1">
      <c r="A185" s="27"/>
    </row>
    <row r="186" spans="1:1" ht="15.75" customHeight="1">
      <c r="A186" s="27"/>
    </row>
    <row r="187" spans="1:1" ht="15.75" customHeight="1">
      <c r="A187" s="27"/>
    </row>
    <row r="188" spans="1:1" ht="15.75" customHeight="1">
      <c r="A188" s="27"/>
    </row>
    <row r="189" spans="1:1" ht="15.75" customHeight="1">
      <c r="A189" s="27"/>
    </row>
    <row r="190" spans="1:1" ht="15.75" customHeight="1">
      <c r="A190" s="27"/>
    </row>
    <row r="191" spans="1:1" ht="15.75" customHeight="1">
      <c r="A191" s="27"/>
    </row>
    <row r="192" spans="1:1" ht="15.75" customHeight="1">
      <c r="A192" s="27"/>
    </row>
    <row r="193" spans="1:1" ht="15.75" customHeight="1">
      <c r="A193" s="27"/>
    </row>
    <row r="194" spans="1:1" ht="15.75" customHeight="1">
      <c r="A194" s="27"/>
    </row>
    <row r="195" spans="1:1" ht="15.75" customHeight="1">
      <c r="A195" s="27"/>
    </row>
    <row r="196" spans="1:1" ht="15.75" customHeight="1">
      <c r="A196" s="27"/>
    </row>
    <row r="197" spans="1:1" ht="15.75" customHeight="1">
      <c r="A197" s="27"/>
    </row>
    <row r="198" spans="1:1" ht="15.75" customHeight="1">
      <c r="A198" s="27"/>
    </row>
    <row r="199" spans="1:1" ht="15.75" customHeight="1">
      <c r="A199" s="27"/>
    </row>
    <row r="200" spans="1:1" ht="15.75" customHeight="1">
      <c r="A200" s="27"/>
    </row>
    <row r="201" spans="1:1" ht="15.75" customHeight="1">
      <c r="A201" s="27"/>
    </row>
    <row r="202" spans="1:1" ht="15.75" customHeight="1">
      <c r="A202" s="27"/>
    </row>
    <row r="203" spans="1:1" ht="15.75" customHeight="1">
      <c r="A203" s="27"/>
    </row>
    <row r="204" spans="1:1" ht="15.75" customHeight="1">
      <c r="A204" s="27"/>
    </row>
    <row r="205" spans="1:1" ht="15.75" customHeight="1">
      <c r="A205" s="27"/>
    </row>
    <row r="206" spans="1:1" ht="15.75" customHeight="1">
      <c r="A206" s="27"/>
    </row>
    <row r="207" spans="1:1" ht="15.75" customHeight="1">
      <c r="A207" s="27"/>
    </row>
    <row r="208" spans="1:1" ht="15.75" customHeight="1">
      <c r="A208" s="27"/>
    </row>
    <row r="209" spans="1:1" ht="15.75" customHeight="1">
      <c r="A209" s="27"/>
    </row>
    <row r="210" spans="1:1" ht="15.75" customHeight="1">
      <c r="A210" s="27"/>
    </row>
    <row r="211" spans="1:1" ht="15.75" customHeight="1">
      <c r="A211" s="27"/>
    </row>
    <row r="212" spans="1:1" ht="15.75" customHeight="1">
      <c r="A212" s="27"/>
    </row>
    <row r="213" spans="1:1" ht="15.75" customHeight="1">
      <c r="A213" s="27"/>
    </row>
    <row r="214" spans="1:1" ht="15.75" customHeight="1">
      <c r="A214" s="27"/>
    </row>
    <row r="215" spans="1:1" ht="15.75" customHeight="1">
      <c r="A215" s="27"/>
    </row>
    <row r="216" spans="1:1" ht="15.75" customHeight="1">
      <c r="A216" s="27"/>
    </row>
    <row r="217" spans="1:1" ht="15.75" customHeight="1">
      <c r="A217" s="27"/>
    </row>
    <row r="218" spans="1:1" ht="15.75" customHeight="1">
      <c r="A218" s="27"/>
    </row>
    <row r="219" spans="1:1" ht="15.75" customHeight="1">
      <c r="A219" s="27"/>
    </row>
    <row r="220" spans="1:1" ht="15.75" customHeight="1">
      <c r="A220" s="27"/>
    </row>
    <row r="221" spans="1:1" ht="15.75" customHeight="1">
      <c r="A221" s="27"/>
    </row>
    <row r="222" spans="1:1" ht="15.75" customHeight="1">
      <c r="A222" s="27"/>
    </row>
    <row r="223" spans="1:1" ht="15.75" customHeight="1">
      <c r="A223" s="27"/>
    </row>
    <row r="224" spans="1:1" ht="15.75" customHeight="1">
      <c r="A224" s="27"/>
    </row>
    <row r="225" spans="1:1" ht="15.75" customHeight="1">
      <c r="A225" s="27"/>
    </row>
    <row r="226" spans="1:1" ht="15.75" customHeight="1">
      <c r="A226" s="27"/>
    </row>
    <row r="227" spans="1:1" ht="15.75" customHeight="1">
      <c r="A227" s="27"/>
    </row>
    <row r="228" spans="1:1" ht="15.75" customHeight="1">
      <c r="A228" s="27"/>
    </row>
    <row r="229" spans="1:1" ht="15.75" customHeight="1">
      <c r="A229" s="27"/>
    </row>
    <row r="230" spans="1:1" ht="15.75" customHeight="1">
      <c r="A230" s="27"/>
    </row>
    <row r="231" spans="1:1" ht="15.75" customHeight="1">
      <c r="A231" s="27"/>
    </row>
    <row r="232" spans="1:1" ht="15.75" customHeight="1">
      <c r="A232" s="27"/>
    </row>
    <row r="233" spans="1:1" ht="15.75" customHeight="1">
      <c r="A233" s="27"/>
    </row>
    <row r="234" spans="1:1" ht="15.75" customHeight="1">
      <c r="A234" s="27"/>
    </row>
    <row r="235" spans="1:1" ht="15.75" customHeight="1">
      <c r="A235" s="27"/>
    </row>
    <row r="236" spans="1:1" ht="15.75" customHeight="1">
      <c r="A236" s="27"/>
    </row>
    <row r="237" spans="1:1" ht="15.75" customHeight="1">
      <c r="A237" s="27"/>
    </row>
    <row r="238" spans="1:1" ht="15.75" customHeight="1">
      <c r="A238" s="27"/>
    </row>
    <row r="239" spans="1:1" ht="15.75" customHeight="1">
      <c r="A239" s="27"/>
    </row>
    <row r="240" spans="1:1" ht="15.75" customHeight="1">
      <c r="A240" s="27"/>
    </row>
    <row r="241" spans="1:1" ht="15.75" customHeight="1">
      <c r="A241" s="27"/>
    </row>
    <row r="242" spans="1:1" ht="15.75" customHeight="1">
      <c r="A242" s="27"/>
    </row>
    <row r="243" spans="1:1" ht="15.75" customHeight="1">
      <c r="A243" s="27"/>
    </row>
    <row r="244" spans="1:1" ht="15.75" customHeight="1">
      <c r="A244" s="27"/>
    </row>
    <row r="245" spans="1:1" ht="15.75" customHeight="1">
      <c r="A245" s="27"/>
    </row>
    <row r="246" spans="1:1" ht="15.75" customHeight="1">
      <c r="A246" s="27"/>
    </row>
    <row r="247" spans="1:1" ht="15.75" customHeight="1">
      <c r="A247" s="27"/>
    </row>
    <row r="248" spans="1:1" ht="15.75" customHeight="1">
      <c r="A248" s="27"/>
    </row>
    <row r="249" spans="1:1" ht="15.75" customHeight="1">
      <c r="A249" s="27"/>
    </row>
    <row r="250" spans="1:1" ht="15.75" customHeight="1">
      <c r="A250" s="27"/>
    </row>
    <row r="251" spans="1:1" ht="15.75" customHeight="1">
      <c r="A251" s="27"/>
    </row>
    <row r="252" spans="1:1" ht="15.75" customHeight="1">
      <c r="A252" s="27"/>
    </row>
    <row r="253" spans="1:1" ht="15.75" customHeight="1">
      <c r="A253" s="27"/>
    </row>
    <row r="254" spans="1:1" ht="15.75" customHeight="1">
      <c r="A254" s="27"/>
    </row>
    <row r="255" spans="1:1" ht="15.75" customHeight="1">
      <c r="A255" s="27"/>
    </row>
    <row r="256" spans="1:1" ht="15.75" customHeight="1">
      <c r="A256" s="27"/>
    </row>
    <row r="257" spans="1:1" ht="15.75" customHeight="1">
      <c r="A257" s="27"/>
    </row>
    <row r="258" spans="1:1" ht="15.75" customHeight="1">
      <c r="A258" s="27"/>
    </row>
    <row r="259" spans="1:1" ht="15.75" customHeight="1">
      <c r="A259" s="27"/>
    </row>
    <row r="260" spans="1:1" ht="15.75" customHeight="1">
      <c r="A260" s="27"/>
    </row>
    <row r="261" spans="1:1" ht="15.75" customHeight="1">
      <c r="A261" s="27"/>
    </row>
    <row r="262" spans="1:1" ht="15.75" customHeight="1">
      <c r="A262" s="27"/>
    </row>
    <row r="263" spans="1:1" ht="15.75" customHeight="1">
      <c r="A263" s="27"/>
    </row>
    <row r="264" spans="1:1" ht="15.75" customHeight="1">
      <c r="A264" s="27"/>
    </row>
    <row r="265" spans="1:1" ht="15.75" customHeight="1">
      <c r="A265" s="27"/>
    </row>
    <row r="266" spans="1:1" ht="15.75" customHeight="1">
      <c r="A266" s="27"/>
    </row>
    <row r="267" spans="1:1" ht="15.75" customHeight="1">
      <c r="A267" s="27"/>
    </row>
    <row r="268" spans="1:1" ht="15.75" customHeight="1">
      <c r="A268" s="27"/>
    </row>
    <row r="269" spans="1:1" ht="15.75" customHeight="1">
      <c r="A269" s="27"/>
    </row>
    <row r="270" spans="1:1" ht="15.75" customHeight="1">
      <c r="A270" s="27"/>
    </row>
    <row r="271" spans="1:1" ht="15.75" customHeight="1">
      <c r="A271" s="27"/>
    </row>
    <row r="272" spans="1:1" ht="15.75" customHeight="1">
      <c r="A272" s="27"/>
    </row>
    <row r="273" spans="1:1" ht="15.75" customHeight="1">
      <c r="A273" s="27"/>
    </row>
    <row r="274" spans="1:1" ht="15.75" customHeight="1">
      <c r="A274" s="27"/>
    </row>
    <row r="275" spans="1:1" ht="15.75" customHeight="1">
      <c r="A275" s="27"/>
    </row>
    <row r="276" spans="1:1" ht="15.75" customHeight="1">
      <c r="A276" s="27"/>
    </row>
    <row r="277" spans="1:1" ht="15.75" customHeight="1">
      <c r="A277" s="27"/>
    </row>
    <row r="278" spans="1:1" ht="15.75" customHeight="1">
      <c r="A278" s="27"/>
    </row>
    <row r="279" spans="1:1" ht="15.75" customHeight="1">
      <c r="A279" s="27"/>
    </row>
    <row r="280" spans="1:1" ht="15.75" customHeight="1">
      <c r="A280" s="27"/>
    </row>
    <row r="281" spans="1:1" ht="15.75" customHeight="1">
      <c r="A281" s="27"/>
    </row>
    <row r="282" spans="1:1" ht="15.75" customHeight="1">
      <c r="A282" s="27"/>
    </row>
    <row r="283" spans="1:1" ht="15.75" customHeight="1">
      <c r="A283" s="27"/>
    </row>
    <row r="284" spans="1:1" ht="15.75" customHeight="1">
      <c r="A284" s="27"/>
    </row>
    <row r="285" spans="1:1" ht="15.75" customHeight="1">
      <c r="A285" s="27"/>
    </row>
    <row r="286" spans="1:1" ht="15.75" customHeight="1">
      <c r="A286" s="27"/>
    </row>
    <row r="287" spans="1:1" ht="15.75" customHeight="1">
      <c r="A287" s="27"/>
    </row>
    <row r="288" spans="1:1" ht="15.75" customHeight="1">
      <c r="A288" s="27"/>
    </row>
    <row r="289" spans="1:1" ht="15.75" customHeight="1">
      <c r="A289" s="27"/>
    </row>
    <row r="290" spans="1:1" ht="15.75" customHeight="1">
      <c r="A290" s="27"/>
    </row>
    <row r="291" spans="1:1" ht="15.75" customHeight="1">
      <c r="A291" s="27"/>
    </row>
    <row r="292" spans="1:1" ht="15.75" customHeight="1">
      <c r="A292" s="27"/>
    </row>
    <row r="293" spans="1:1" ht="15.75" customHeight="1">
      <c r="A293" s="27"/>
    </row>
    <row r="294" spans="1:1" ht="15.75" customHeight="1">
      <c r="A294" s="27"/>
    </row>
    <row r="295" spans="1:1" ht="15.75" customHeight="1">
      <c r="A295" s="27"/>
    </row>
    <row r="296" spans="1:1" ht="15.75" customHeight="1">
      <c r="A296" s="27"/>
    </row>
    <row r="297" spans="1:1" ht="15.75" customHeight="1">
      <c r="A297" s="27"/>
    </row>
    <row r="298" spans="1:1" ht="15.75" customHeight="1">
      <c r="A298" s="27"/>
    </row>
    <row r="299" spans="1:1" ht="15.75" customHeight="1">
      <c r="A299" s="27"/>
    </row>
    <row r="300" spans="1:1" ht="15.75" customHeight="1">
      <c r="A300" s="27"/>
    </row>
    <row r="301" spans="1:1" ht="15.75" customHeight="1">
      <c r="A301" s="27"/>
    </row>
    <row r="302" spans="1:1" ht="15.75" customHeight="1">
      <c r="A302" s="27"/>
    </row>
    <row r="303" spans="1:1" ht="15.75" customHeight="1">
      <c r="A303" s="27"/>
    </row>
    <row r="304" spans="1:1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  <row r="1001" spans="1:1" ht="15.75" customHeight="1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0.140625" defaultRowHeight="15" customHeight="1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>
      <c r="A10" s="27"/>
    </row>
    <row r="11" spans="1:26" ht="31">
      <c r="A11" s="27"/>
    </row>
    <row r="12" spans="1:26" ht="31">
      <c r="A12" s="27"/>
    </row>
    <row r="13" spans="1:26" ht="31">
      <c r="A13" s="27"/>
    </row>
    <row r="14" spans="1:26" ht="15.75" customHeight="1">
      <c r="A14" s="27"/>
    </row>
    <row r="15" spans="1:26" ht="15.75" customHeight="1">
      <c r="A15" s="27"/>
    </row>
    <row r="16" spans="1:26" ht="15.75" customHeight="1">
      <c r="A16" s="27"/>
    </row>
    <row r="17" spans="1:1" ht="15.75" customHeight="1">
      <c r="A17" s="27"/>
    </row>
    <row r="18" spans="1:1" ht="15.75" customHeight="1">
      <c r="A18" s="27"/>
    </row>
    <row r="19" spans="1:1" ht="15.75" customHeight="1">
      <c r="A19" s="27"/>
    </row>
    <row r="20" spans="1:1" ht="15.75" customHeight="1">
      <c r="A20" s="27"/>
    </row>
    <row r="21" spans="1:1" ht="15.75" customHeight="1">
      <c r="A21" s="27"/>
    </row>
    <row r="22" spans="1:1" ht="15.75" customHeight="1">
      <c r="A22" s="27"/>
    </row>
    <row r="23" spans="1:1" ht="15.75" customHeight="1">
      <c r="A23" s="27"/>
    </row>
    <row r="24" spans="1:1" ht="15.75" customHeight="1">
      <c r="A24" s="27"/>
    </row>
    <row r="25" spans="1:1" ht="15.75" customHeight="1">
      <c r="A25" s="27"/>
    </row>
    <row r="26" spans="1:1" ht="15.75" customHeight="1">
      <c r="A26" s="27"/>
    </row>
    <row r="27" spans="1:1" ht="15.75" customHeight="1">
      <c r="A27" s="27"/>
    </row>
    <row r="28" spans="1:1" ht="15.75" customHeight="1">
      <c r="A28" s="27"/>
    </row>
    <row r="29" spans="1:1" ht="15.75" customHeight="1">
      <c r="A29" s="27"/>
    </row>
    <row r="30" spans="1:1" ht="15.75" customHeight="1">
      <c r="A30" s="27"/>
    </row>
    <row r="31" spans="1:1" ht="15.75" customHeight="1">
      <c r="A31" s="27"/>
    </row>
    <row r="32" spans="1:1" ht="15.75" customHeight="1">
      <c r="A32" s="27"/>
    </row>
    <row r="33" spans="1:1" ht="15.75" customHeight="1">
      <c r="A33" s="27"/>
    </row>
    <row r="34" spans="1:1" ht="15.75" customHeight="1">
      <c r="A34" s="27"/>
    </row>
    <row r="35" spans="1:1" ht="15.75" customHeight="1">
      <c r="A35" s="27"/>
    </row>
    <row r="36" spans="1:1" ht="15.75" customHeight="1">
      <c r="A36" s="27"/>
    </row>
    <row r="37" spans="1:1" ht="15.75" customHeight="1">
      <c r="A37" s="27"/>
    </row>
    <row r="38" spans="1:1" ht="15.75" customHeight="1">
      <c r="A38" s="27"/>
    </row>
    <row r="39" spans="1:1" ht="15.75" customHeight="1">
      <c r="A39" s="27"/>
    </row>
    <row r="40" spans="1:1" ht="15.75" customHeight="1">
      <c r="A40" s="27"/>
    </row>
    <row r="41" spans="1:1" ht="15.75" customHeight="1">
      <c r="A41" s="27"/>
    </row>
    <row r="42" spans="1:1" ht="15.75" customHeight="1">
      <c r="A42" s="27"/>
    </row>
    <row r="43" spans="1:1" ht="15.75" customHeight="1">
      <c r="A43" s="27"/>
    </row>
    <row r="44" spans="1:1" ht="15.75" customHeight="1">
      <c r="A44" s="27"/>
    </row>
    <row r="45" spans="1:1" ht="15.75" customHeight="1">
      <c r="A45" s="27"/>
    </row>
    <row r="46" spans="1:1" ht="15.75" customHeight="1">
      <c r="A46" s="27"/>
    </row>
    <row r="47" spans="1:1" ht="15.75" customHeight="1">
      <c r="A47" s="27"/>
    </row>
    <row r="48" spans="1:1" ht="15.75" customHeight="1">
      <c r="A48" s="27"/>
    </row>
    <row r="49" spans="1:1" ht="15.75" customHeight="1">
      <c r="A49" s="27"/>
    </row>
    <row r="50" spans="1:1" ht="15.75" customHeight="1">
      <c r="A50" s="27"/>
    </row>
    <row r="51" spans="1:1" ht="15.75" customHeight="1">
      <c r="A51" s="27"/>
    </row>
    <row r="52" spans="1:1" ht="15.75" customHeight="1">
      <c r="A52" s="27"/>
    </row>
    <row r="53" spans="1:1" ht="15.75" customHeight="1">
      <c r="A53" s="27"/>
    </row>
    <row r="54" spans="1:1" ht="15.75" customHeight="1">
      <c r="A54" s="27"/>
    </row>
    <row r="55" spans="1:1" ht="15.75" customHeight="1">
      <c r="A55" s="27"/>
    </row>
    <row r="56" spans="1:1" ht="15.75" customHeight="1">
      <c r="A56" s="27"/>
    </row>
    <row r="57" spans="1:1" ht="15.75" customHeight="1">
      <c r="A57" s="27"/>
    </row>
    <row r="58" spans="1:1" ht="15.75" customHeight="1">
      <c r="A58" s="27"/>
    </row>
    <row r="59" spans="1:1" ht="15.75" customHeight="1">
      <c r="A59" s="27"/>
    </row>
    <row r="60" spans="1:1" ht="15.75" customHeight="1">
      <c r="A60" s="27"/>
    </row>
    <row r="61" spans="1:1" ht="15.75" customHeight="1">
      <c r="A61" s="27"/>
    </row>
    <row r="62" spans="1:1" ht="15.75" customHeight="1">
      <c r="A62" s="27"/>
    </row>
    <row r="63" spans="1:1" ht="15.75" customHeight="1">
      <c r="A63" s="27"/>
    </row>
    <row r="64" spans="1:1" ht="15.75" customHeight="1">
      <c r="A64" s="27"/>
    </row>
    <row r="65" spans="1:1" ht="15.75" customHeight="1">
      <c r="A65" s="27"/>
    </row>
    <row r="66" spans="1:1" ht="15.75" customHeight="1">
      <c r="A66" s="27"/>
    </row>
    <row r="67" spans="1:1" ht="15.75" customHeight="1">
      <c r="A67" s="27"/>
    </row>
    <row r="68" spans="1:1" ht="15.75" customHeight="1">
      <c r="A68" s="27"/>
    </row>
    <row r="69" spans="1:1" ht="15.75" customHeight="1">
      <c r="A69" s="27"/>
    </row>
    <row r="70" spans="1:1" ht="15.75" customHeight="1">
      <c r="A70" s="27"/>
    </row>
    <row r="71" spans="1:1" ht="15.75" customHeight="1">
      <c r="A71" s="27"/>
    </row>
    <row r="72" spans="1:1" ht="15.75" customHeight="1">
      <c r="A72" s="27"/>
    </row>
    <row r="73" spans="1:1" ht="15.75" customHeight="1">
      <c r="A73" s="27"/>
    </row>
    <row r="74" spans="1:1" ht="15.75" customHeight="1">
      <c r="A74" s="27"/>
    </row>
    <row r="75" spans="1:1" ht="15.75" customHeight="1">
      <c r="A75" s="27"/>
    </row>
    <row r="76" spans="1:1" ht="15.75" customHeight="1">
      <c r="A76" s="27"/>
    </row>
    <row r="77" spans="1:1" ht="15.75" customHeight="1">
      <c r="A77" s="27"/>
    </row>
    <row r="78" spans="1:1" ht="15.75" customHeight="1">
      <c r="A78" s="27"/>
    </row>
    <row r="79" spans="1:1" ht="15.75" customHeight="1">
      <c r="A79" s="27"/>
    </row>
    <row r="80" spans="1:1" ht="15.75" customHeight="1">
      <c r="A80" s="27"/>
    </row>
    <row r="81" spans="1:1" ht="15.75" customHeight="1">
      <c r="A81" s="27"/>
    </row>
    <row r="82" spans="1:1" ht="15.75" customHeight="1">
      <c r="A82" s="27"/>
    </row>
    <row r="83" spans="1:1" ht="15.75" customHeight="1">
      <c r="A83" s="27"/>
    </row>
    <row r="84" spans="1:1" ht="15.75" customHeight="1">
      <c r="A84" s="27"/>
    </row>
    <row r="85" spans="1:1" ht="15.75" customHeight="1">
      <c r="A85" s="27"/>
    </row>
    <row r="86" spans="1:1" ht="15.75" customHeight="1">
      <c r="A86" s="27"/>
    </row>
    <row r="87" spans="1:1" ht="15.75" customHeight="1">
      <c r="A87" s="27"/>
    </row>
    <row r="88" spans="1:1" ht="15.75" customHeight="1">
      <c r="A88" s="27"/>
    </row>
    <row r="89" spans="1:1" ht="15.75" customHeight="1">
      <c r="A89" s="27"/>
    </row>
    <row r="90" spans="1:1" ht="15.75" customHeight="1">
      <c r="A90" s="27"/>
    </row>
    <row r="91" spans="1:1" ht="15.75" customHeight="1">
      <c r="A91" s="27"/>
    </row>
    <row r="92" spans="1:1" ht="15.75" customHeight="1">
      <c r="A92" s="27"/>
    </row>
    <row r="93" spans="1:1" ht="15.75" customHeight="1">
      <c r="A93" s="27"/>
    </row>
    <row r="94" spans="1:1" ht="15.75" customHeight="1">
      <c r="A94" s="27"/>
    </row>
    <row r="95" spans="1:1" ht="15.75" customHeight="1">
      <c r="A95" s="27"/>
    </row>
    <row r="96" spans="1:1" ht="15.75" customHeight="1">
      <c r="A96" s="27"/>
    </row>
    <row r="97" spans="1:1" ht="15.75" customHeight="1">
      <c r="A97" s="27"/>
    </row>
    <row r="98" spans="1:1" ht="15.75" customHeight="1">
      <c r="A98" s="27"/>
    </row>
    <row r="99" spans="1:1" ht="15.75" customHeight="1">
      <c r="A99" s="27"/>
    </row>
    <row r="100" spans="1:1" ht="15.75" customHeight="1">
      <c r="A100" s="27"/>
    </row>
    <row r="101" spans="1:1" ht="15.75" customHeight="1">
      <c r="A101" s="27"/>
    </row>
    <row r="102" spans="1:1" ht="15.75" customHeight="1">
      <c r="A102" s="27"/>
    </row>
    <row r="103" spans="1:1" ht="15.75" customHeight="1">
      <c r="A103" s="27"/>
    </row>
    <row r="104" spans="1:1" ht="15.75" customHeight="1">
      <c r="A104" s="27"/>
    </row>
    <row r="105" spans="1:1" ht="15.75" customHeight="1">
      <c r="A105" s="27"/>
    </row>
    <row r="106" spans="1:1" ht="15.75" customHeight="1">
      <c r="A106" s="27"/>
    </row>
    <row r="107" spans="1:1" ht="15.75" customHeight="1">
      <c r="A107" s="27"/>
    </row>
    <row r="108" spans="1:1" ht="15.75" customHeight="1">
      <c r="A108" s="27"/>
    </row>
    <row r="109" spans="1:1" ht="15.75" customHeight="1">
      <c r="A109" s="27"/>
    </row>
    <row r="110" spans="1:1" ht="15.75" customHeight="1">
      <c r="A110" s="27"/>
    </row>
    <row r="111" spans="1:1" ht="15.75" customHeight="1">
      <c r="A111" s="27"/>
    </row>
    <row r="112" spans="1:1" ht="15.75" customHeight="1">
      <c r="A112" s="27"/>
    </row>
    <row r="113" spans="1:1" ht="15.75" customHeight="1">
      <c r="A113" s="27"/>
    </row>
    <row r="114" spans="1:1" ht="15.75" customHeight="1">
      <c r="A114" s="27"/>
    </row>
    <row r="115" spans="1:1" ht="15.75" customHeight="1">
      <c r="A115" s="27"/>
    </row>
    <row r="116" spans="1:1" ht="15.75" customHeight="1">
      <c r="A116" s="27"/>
    </row>
    <row r="117" spans="1:1" ht="15.75" customHeight="1">
      <c r="A117" s="27"/>
    </row>
    <row r="118" spans="1:1" ht="15.75" customHeight="1">
      <c r="A118" s="27"/>
    </row>
    <row r="119" spans="1:1" ht="15.75" customHeight="1">
      <c r="A119" s="27"/>
    </row>
    <row r="120" spans="1:1" ht="15.75" customHeight="1">
      <c r="A120" s="27"/>
    </row>
    <row r="121" spans="1:1" ht="15.75" customHeight="1">
      <c r="A121" s="27"/>
    </row>
    <row r="122" spans="1:1" ht="15.75" customHeight="1">
      <c r="A122" s="27"/>
    </row>
    <row r="123" spans="1:1" ht="15.75" customHeight="1">
      <c r="A123" s="27"/>
    </row>
    <row r="124" spans="1:1" ht="15.75" customHeight="1">
      <c r="A124" s="27"/>
    </row>
    <row r="125" spans="1:1" ht="15.75" customHeight="1">
      <c r="A125" s="27"/>
    </row>
    <row r="126" spans="1:1" ht="15.75" customHeight="1">
      <c r="A126" s="27"/>
    </row>
    <row r="127" spans="1:1" ht="15.75" customHeight="1">
      <c r="A127" s="27"/>
    </row>
    <row r="128" spans="1:1" ht="15.75" customHeight="1">
      <c r="A128" s="27"/>
    </row>
    <row r="129" spans="1:1" ht="15.75" customHeight="1">
      <c r="A129" s="27"/>
    </row>
    <row r="130" spans="1:1" ht="15.75" customHeight="1">
      <c r="A130" s="27"/>
    </row>
    <row r="131" spans="1:1" ht="15.75" customHeight="1">
      <c r="A131" s="27"/>
    </row>
    <row r="132" spans="1:1" ht="15.75" customHeight="1">
      <c r="A132" s="27"/>
    </row>
    <row r="133" spans="1:1" ht="15.75" customHeight="1">
      <c r="A133" s="27"/>
    </row>
    <row r="134" spans="1:1" ht="15.75" customHeight="1">
      <c r="A134" s="27"/>
    </row>
    <row r="135" spans="1:1" ht="15.75" customHeight="1">
      <c r="A135" s="27"/>
    </row>
    <row r="136" spans="1:1" ht="15.75" customHeight="1">
      <c r="A136" s="27"/>
    </row>
    <row r="137" spans="1:1" ht="15.75" customHeight="1">
      <c r="A137" s="27"/>
    </row>
    <row r="138" spans="1:1" ht="15.75" customHeight="1">
      <c r="A138" s="27"/>
    </row>
    <row r="139" spans="1:1" ht="15.75" customHeight="1">
      <c r="A139" s="27"/>
    </row>
    <row r="140" spans="1:1" ht="15.75" customHeight="1">
      <c r="A140" s="27"/>
    </row>
    <row r="141" spans="1:1" ht="15.75" customHeight="1">
      <c r="A141" s="27"/>
    </row>
    <row r="142" spans="1:1" ht="15.75" customHeight="1">
      <c r="A142" s="27"/>
    </row>
    <row r="143" spans="1:1" ht="15.75" customHeight="1">
      <c r="A143" s="27"/>
    </row>
    <row r="144" spans="1:1" ht="15.75" customHeight="1">
      <c r="A144" s="27"/>
    </row>
    <row r="145" spans="1:1" ht="15.75" customHeight="1">
      <c r="A145" s="27"/>
    </row>
    <row r="146" spans="1:1" ht="15.75" customHeight="1">
      <c r="A146" s="27"/>
    </row>
    <row r="147" spans="1:1" ht="15.75" customHeight="1">
      <c r="A147" s="27"/>
    </row>
    <row r="148" spans="1:1" ht="15.75" customHeight="1">
      <c r="A148" s="27"/>
    </row>
    <row r="149" spans="1:1" ht="15.75" customHeight="1">
      <c r="A149" s="27"/>
    </row>
    <row r="150" spans="1:1" ht="15.75" customHeight="1">
      <c r="A150" s="27"/>
    </row>
    <row r="151" spans="1:1" ht="15.75" customHeight="1">
      <c r="A151" s="27"/>
    </row>
    <row r="152" spans="1:1" ht="15.75" customHeight="1">
      <c r="A152" s="27"/>
    </row>
    <row r="153" spans="1:1" ht="15.75" customHeight="1">
      <c r="A153" s="27"/>
    </row>
    <row r="154" spans="1:1" ht="15.75" customHeight="1">
      <c r="A154" s="27"/>
    </row>
    <row r="155" spans="1:1" ht="15.75" customHeight="1">
      <c r="A155" s="27"/>
    </row>
    <row r="156" spans="1:1" ht="15.75" customHeight="1">
      <c r="A156" s="27"/>
    </row>
    <row r="157" spans="1:1" ht="15.75" customHeight="1">
      <c r="A157" s="27"/>
    </row>
    <row r="158" spans="1:1" ht="15.75" customHeight="1">
      <c r="A158" s="27"/>
    </row>
    <row r="159" spans="1:1" ht="15.75" customHeight="1">
      <c r="A159" s="27"/>
    </row>
    <row r="160" spans="1:1" ht="15.75" customHeight="1">
      <c r="A160" s="27"/>
    </row>
    <row r="161" spans="1:1" ht="15.75" customHeight="1">
      <c r="A161" s="27"/>
    </row>
    <row r="162" spans="1:1" ht="15.75" customHeight="1">
      <c r="A162" s="27"/>
    </row>
    <row r="163" spans="1:1" ht="15.75" customHeight="1">
      <c r="A163" s="27"/>
    </row>
    <row r="164" spans="1:1" ht="15.75" customHeight="1">
      <c r="A164" s="27"/>
    </row>
    <row r="165" spans="1:1" ht="15.75" customHeight="1">
      <c r="A165" s="27"/>
    </row>
    <row r="166" spans="1:1" ht="15.75" customHeight="1">
      <c r="A166" s="27"/>
    </row>
    <row r="167" spans="1:1" ht="15.75" customHeight="1">
      <c r="A167" s="27"/>
    </row>
    <row r="168" spans="1:1" ht="15.75" customHeight="1">
      <c r="A168" s="27"/>
    </row>
    <row r="169" spans="1:1" ht="15.75" customHeight="1">
      <c r="A169" s="27"/>
    </row>
    <row r="170" spans="1:1" ht="15.75" customHeight="1">
      <c r="A170" s="27"/>
    </row>
    <row r="171" spans="1:1" ht="15.75" customHeight="1">
      <c r="A171" s="27"/>
    </row>
    <row r="172" spans="1:1" ht="15.75" customHeight="1">
      <c r="A172" s="27"/>
    </row>
    <row r="173" spans="1:1" ht="15.75" customHeight="1">
      <c r="A173" s="27"/>
    </row>
    <row r="174" spans="1:1" ht="15.75" customHeight="1">
      <c r="A174" s="27"/>
    </row>
    <row r="175" spans="1:1" ht="15.75" customHeight="1">
      <c r="A175" s="27"/>
    </row>
    <row r="176" spans="1:1" ht="15.75" customHeight="1">
      <c r="A176" s="27"/>
    </row>
    <row r="177" spans="1:1" ht="15.75" customHeight="1">
      <c r="A177" s="27"/>
    </row>
    <row r="178" spans="1:1" ht="15.75" customHeight="1">
      <c r="A178" s="27"/>
    </row>
    <row r="179" spans="1:1" ht="15.75" customHeight="1">
      <c r="A179" s="27"/>
    </row>
    <row r="180" spans="1:1" ht="15.75" customHeight="1">
      <c r="A180" s="27"/>
    </row>
    <row r="181" spans="1:1" ht="15.75" customHeight="1">
      <c r="A181" s="27"/>
    </row>
    <row r="182" spans="1:1" ht="15.75" customHeight="1">
      <c r="A182" s="27"/>
    </row>
    <row r="183" spans="1:1" ht="15.75" customHeight="1">
      <c r="A183" s="27"/>
    </row>
    <row r="184" spans="1:1" ht="15.75" customHeight="1">
      <c r="A184" s="27"/>
    </row>
    <row r="185" spans="1:1" ht="15.75" customHeight="1">
      <c r="A185" s="27"/>
    </row>
    <row r="186" spans="1:1" ht="15.75" customHeight="1">
      <c r="A186" s="27"/>
    </row>
    <row r="187" spans="1:1" ht="15.75" customHeight="1">
      <c r="A187" s="27"/>
    </row>
    <row r="188" spans="1:1" ht="15.75" customHeight="1">
      <c r="A188" s="27"/>
    </row>
    <row r="189" spans="1:1" ht="15.75" customHeight="1">
      <c r="A189" s="27"/>
    </row>
    <row r="190" spans="1:1" ht="15.75" customHeight="1">
      <c r="A190" s="27"/>
    </row>
    <row r="191" spans="1:1" ht="15.75" customHeight="1">
      <c r="A191" s="27"/>
    </row>
    <row r="192" spans="1:1" ht="15.75" customHeight="1">
      <c r="A192" s="27"/>
    </row>
    <row r="193" spans="1:1" ht="15.75" customHeight="1">
      <c r="A193" s="27"/>
    </row>
    <row r="194" spans="1:1" ht="15.75" customHeight="1">
      <c r="A194" s="27"/>
    </row>
    <row r="195" spans="1:1" ht="15.75" customHeight="1">
      <c r="A195" s="27"/>
    </row>
    <row r="196" spans="1:1" ht="15.75" customHeight="1">
      <c r="A196" s="27"/>
    </row>
    <row r="197" spans="1:1" ht="15.75" customHeight="1">
      <c r="A197" s="27"/>
    </row>
    <row r="198" spans="1:1" ht="15.75" customHeight="1">
      <c r="A198" s="27"/>
    </row>
    <row r="199" spans="1:1" ht="15.75" customHeight="1">
      <c r="A199" s="27"/>
    </row>
    <row r="200" spans="1:1" ht="15.75" customHeight="1">
      <c r="A200" s="27"/>
    </row>
    <row r="201" spans="1:1" ht="15.75" customHeight="1">
      <c r="A201" s="27"/>
    </row>
    <row r="202" spans="1:1" ht="15.75" customHeight="1">
      <c r="A202" s="27"/>
    </row>
    <row r="203" spans="1:1" ht="15.75" customHeight="1">
      <c r="A203" s="27"/>
    </row>
    <row r="204" spans="1:1" ht="15.75" customHeight="1">
      <c r="A204" s="27"/>
    </row>
    <row r="205" spans="1:1" ht="15.75" customHeight="1">
      <c r="A205" s="27"/>
    </row>
    <row r="206" spans="1:1" ht="15.75" customHeight="1">
      <c r="A206" s="27"/>
    </row>
    <row r="207" spans="1:1" ht="15.75" customHeight="1">
      <c r="A207" s="27"/>
    </row>
    <row r="208" spans="1:1" ht="15.75" customHeight="1">
      <c r="A208" s="27"/>
    </row>
    <row r="209" spans="1:1" ht="15.75" customHeight="1">
      <c r="A209" s="27"/>
    </row>
    <row r="210" spans="1:1" ht="15.75" customHeight="1">
      <c r="A210" s="27"/>
    </row>
    <row r="211" spans="1:1" ht="15.75" customHeight="1">
      <c r="A211" s="27"/>
    </row>
    <row r="212" spans="1:1" ht="15.75" customHeight="1">
      <c r="A212" s="27"/>
    </row>
    <row r="213" spans="1:1" ht="15.75" customHeight="1">
      <c r="A213" s="27"/>
    </row>
    <row r="214" spans="1:1" ht="15.75" customHeight="1">
      <c r="A214" s="27"/>
    </row>
    <row r="215" spans="1:1" ht="15.75" customHeight="1">
      <c r="A215" s="27"/>
    </row>
    <row r="216" spans="1:1" ht="15.75" customHeight="1">
      <c r="A216" s="27"/>
    </row>
    <row r="217" spans="1:1" ht="15.75" customHeight="1">
      <c r="A217" s="27"/>
    </row>
    <row r="218" spans="1:1" ht="15.75" customHeight="1">
      <c r="A218" s="27"/>
    </row>
    <row r="219" spans="1:1" ht="15.75" customHeight="1">
      <c r="A219" s="27"/>
    </row>
    <row r="220" spans="1:1" ht="15.75" customHeight="1">
      <c r="A220" s="27"/>
    </row>
    <row r="221" spans="1:1" ht="15.75" customHeight="1">
      <c r="A221" s="27"/>
    </row>
    <row r="222" spans="1:1" ht="15.75" customHeight="1">
      <c r="A222" s="27"/>
    </row>
    <row r="223" spans="1:1" ht="15.75" customHeight="1">
      <c r="A223" s="27"/>
    </row>
    <row r="224" spans="1:1" ht="15.75" customHeight="1">
      <c r="A224" s="27"/>
    </row>
    <row r="225" spans="1:1" ht="15.75" customHeight="1">
      <c r="A225" s="27"/>
    </row>
    <row r="226" spans="1:1" ht="15.75" customHeight="1">
      <c r="A226" s="27"/>
    </row>
    <row r="227" spans="1:1" ht="15.75" customHeight="1">
      <c r="A227" s="27"/>
    </row>
    <row r="228" spans="1:1" ht="15.75" customHeight="1">
      <c r="A228" s="27"/>
    </row>
    <row r="229" spans="1:1" ht="15.75" customHeight="1">
      <c r="A229" s="27"/>
    </row>
    <row r="230" spans="1:1" ht="15.75" customHeight="1">
      <c r="A230" s="27"/>
    </row>
    <row r="231" spans="1:1" ht="15.75" customHeight="1">
      <c r="A231" s="27"/>
    </row>
    <row r="232" spans="1:1" ht="15.75" customHeight="1">
      <c r="A232" s="27"/>
    </row>
    <row r="233" spans="1:1" ht="15.75" customHeight="1">
      <c r="A233" s="27"/>
    </row>
    <row r="234" spans="1:1" ht="15.75" customHeight="1">
      <c r="A234" s="27"/>
    </row>
    <row r="235" spans="1:1" ht="15.75" customHeight="1">
      <c r="A235" s="27"/>
    </row>
    <row r="236" spans="1:1" ht="15.75" customHeight="1">
      <c r="A236" s="27"/>
    </row>
    <row r="237" spans="1:1" ht="15.75" customHeight="1">
      <c r="A237" s="27"/>
    </row>
    <row r="238" spans="1:1" ht="15.75" customHeight="1">
      <c r="A238" s="27"/>
    </row>
    <row r="239" spans="1:1" ht="15.75" customHeight="1">
      <c r="A239" s="27"/>
    </row>
    <row r="240" spans="1:1" ht="15.75" customHeight="1">
      <c r="A240" s="27"/>
    </row>
    <row r="241" spans="1:1" ht="15.75" customHeight="1">
      <c r="A241" s="27"/>
    </row>
    <row r="242" spans="1:1" ht="15.75" customHeight="1">
      <c r="A242" s="27"/>
    </row>
    <row r="243" spans="1:1" ht="15.75" customHeight="1">
      <c r="A243" s="27"/>
    </row>
    <row r="244" spans="1:1" ht="15.75" customHeight="1">
      <c r="A244" s="27"/>
    </row>
    <row r="245" spans="1:1" ht="15.75" customHeight="1">
      <c r="A245" s="27"/>
    </row>
    <row r="246" spans="1:1" ht="15.75" customHeight="1">
      <c r="A246" s="27"/>
    </row>
    <row r="247" spans="1:1" ht="15.75" customHeight="1">
      <c r="A247" s="27"/>
    </row>
    <row r="248" spans="1:1" ht="15.75" customHeight="1">
      <c r="A248" s="27"/>
    </row>
    <row r="249" spans="1:1" ht="15.75" customHeight="1">
      <c r="A249" s="27"/>
    </row>
    <row r="250" spans="1:1" ht="15.75" customHeight="1">
      <c r="A250" s="27"/>
    </row>
    <row r="251" spans="1:1" ht="15.75" customHeight="1">
      <c r="A251" s="27"/>
    </row>
    <row r="252" spans="1:1" ht="15.75" customHeight="1">
      <c r="A252" s="27"/>
    </row>
    <row r="253" spans="1:1" ht="15.75" customHeight="1">
      <c r="A253" s="27"/>
    </row>
    <row r="254" spans="1:1" ht="15.75" customHeight="1">
      <c r="A254" s="27"/>
    </row>
    <row r="255" spans="1:1" ht="15.75" customHeight="1">
      <c r="A255" s="27"/>
    </row>
    <row r="256" spans="1:1" ht="15.75" customHeight="1">
      <c r="A256" s="27"/>
    </row>
    <row r="257" spans="1:1" ht="15.75" customHeight="1">
      <c r="A257" s="27"/>
    </row>
    <row r="258" spans="1:1" ht="15.75" customHeight="1">
      <c r="A258" s="27"/>
    </row>
    <row r="259" spans="1:1" ht="15.75" customHeight="1">
      <c r="A259" s="27"/>
    </row>
    <row r="260" spans="1:1" ht="15.75" customHeight="1">
      <c r="A260" s="27"/>
    </row>
    <row r="261" spans="1:1" ht="15.75" customHeight="1">
      <c r="A261" s="27"/>
    </row>
    <row r="262" spans="1:1" ht="15.75" customHeight="1">
      <c r="A262" s="27"/>
    </row>
    <row r="263" spans="1:1" ht="15.75" customHeight="1">
      <c r="A263" s="27"/>
    </row>
    <row r="264" spans="1:1" ht="15.75" customHeight="1">
      <c r="A264" s="27"/>
    </row>
    <row r="265" spans="1:1" ht="15.75" customHeight="1">
      <c r="A265" s="27"/>
    </row>
    <row r="266" spans="1:1" ht="15.75" customHeight="1">
      <c r="A266" s="27"/>
    </row>
    <row r="267" spans="1:1" ht="15.75" customHeight="1">
      <c r="A267" s="27"/>
    </row>
    <row r="268" spans="1:1" ht="15.75" customHeight="1">
      <c r="A268" s="27"/>
    </row>
    <row r="269" spans="1:1" ht="15.75" customHeight="1">
      <c r="A269" s="27"/>
    </row>
    <row r="270" spans="1:1" ht="15.75" customHeight="1">
      <c r="A270" s="27"/>
    </row>
    <row r="271" spans="1:1" ht="15.75" customHeight="1">
      <c r="A271" s="27"/>
    </row>
    <row r="272" spans="1:1" ht="15.75" customHeight="1">
      <c r="A272" s="27"/>
    </row>
    <row r="273" spans="1:1" ht="15.75" customHeight="1">
      <c r="A273" s="27"/>
    </row>
    <row r="274" spans="1:1" ht="15.75" customHeight="1">
      <c r="A274" s="27"/>
    </row>
    <row r="275" spans="1:1" ht="15.75" customHeight="1">
      <c r="A275" s="27"/>
    </row>
    <row r="276" spans="1:1" ht="15.75" customHeight="1">
      <c r="A276" s="27"/>
    </row>
    <row r="277" spans="1:1" ht="15.75" customHeight="1">
      <c r="A277" s="27"/>
    </row>
    <row r="278" spans="1:1" ht="15.75" customHeight="1">
      <c r="A278" s="27"/>
    </row>
    <row r="279" spans="1:1" ht="15.75" customHeight="1">
      <c r="A279" s="27"/>
    </row>
    <row r="280" spans="1:1" ht="15.75" customHeight="1">
      <c r="A280" s="27"/>
    </row>
    <row r="281" spans="1:1" ht="15.75" customHeight="1">
      <c r="A281" s="27"/>
    </row>
    <row r="282" spans="1:1" ht="15.75" customHeight="1">
      <c r="A282" s="27"/>
    </row>
    <row r="283" spans="1:1" ht="15.75" customHeight="1">
      <c r="A283" s="27"/>
    </row>
    <row r="284" spans="1:1" ht="15.75" customHeight="1">
      <c r="A284" s="27"/>
    </row>
    <row r="285" spans="1:1" ht="15.75" customHeight="1">
      <c r="A285" s="27"/>
    </row>
    <row r="286" spans="1:1" ht="15.75" customHeight="1">
      <c r="A286" s="27"/>
    </row>
    <row r="287" spans="1:1" ht="15.75" customHeight="1">
      <c r="A287" s="27"/>
    </row>
    <row r="288" spans="1:1" ht="15.75" customHeight="1">
      <c r="A288" s="27"/>
    </row>
    <row r="289" spans="1:1" ht="15.75" customHeight="1">
      <c r="A289" s="27"/>
    </row>
    <row r="290" spans="1:1" ht="15.75" customHeight="1">
      <c r="A290" s="27"/>
    </row>
    <row r="291" spans="1:1" ht="15.75" customHeight="1">
      <c r="A291" s="27"/>
    </row>
    <row r="292" spans="1:1" ht="15.75" customHeight="1">
      <c r="A292" s="27"/>
    </row>
    <row r="293" spans="1:1" ht="15.75" customHeight="1">
      <c r="A293" s="27"/>
    </row>
    <row r="294" spans="1:1" ht="15.75" customHeight="1">
      <c r="A294" s="27"/>
    </row>
    <row r="295" spans="1:1" ht="15.75" customHeight="1">
      <c r="A295" s="27"/>
    </row>
    <row r="296" spans="1:1" ht="15.75" customHeight="1">
      <c r="A296" s="27"/>
    </row>
    <row r="297" spans="1:1" ht="15.75" customHeight="1">
      <c r="A297" s="27"/>
    </row>
    <row r="298" spans="1:1" ht="15.75" customHeight="1">
      <c r="A298" s="27"/>
    </row>
    <row r="299" spans="1:1" ht="15.75" customHeight="1">
      <c r="A299" s="27"/>
    </row>
    <row r="300" spans="1:1" ht="15.75" customHeight="1">
      <c r="A300" s="27"/>
    </row>
    <row r="301" spans="1:1" ht="15.75" customHeight="1">
      <c r="A301" s="27"/>
    </row>
    <row r="302" spans="1:1" ht="15.75" customHeight="1">
      <c r="A302" s="27"/>
    </row>
    <row r="303" spans="1:1" ht="15.75" customHeight="1">
      <c r="A303" s="27"/>
    </row>
    <row r="304" spans="1:1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0.140625" defaultRowHeight="15" customHeight="1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">
      <c r="A10" s="27"/>
    </row>
    <row r="11" spans="1:26" ht="31">
      <c r="A11" s="27"/>
    </row>
    <row r="12" spans="1:26" ht="31">
      <c r="A12" s="27"/>
    </row>
    <row r="13" spans="1:26" ht="31">
      <c r="A13" s="27"/>
    </row>
    <row r="14" spans="1:26" ht="15.75" customHeight="1">
      <c r="A14" s="27"/>
    </row>
    <row r="15" spans="1:26" ht="15.75" customHeight="1">
      <c r="A15" s="27"/>
    </row>
    <row r="16" spans="1:26" ht="15.75" customHeight="1">
      <c r="A16" s="27"/>
    </row>
    <row r="17" spans="1:1" ht="15.75" customHeight="1">
      <c r="A17" s="27"/>
    </row>
    <row r="18" spans="1:1" ht="15.75" customHeight="1">
      <c r="A18" s="27"/>
    </row>
    <row r="19" spans="1:1" ht="15.75" customHeight="1">
      <c r="A19" s="27"/>
    </row>
    <row r="20" spans="1:1" ht="15.75" customHeight="1">
      <c r="A20" s="27"/>
    </row>
    <row r="21" spans="1:1" ht="15.75" customHeight="1">
      <c r="A21" s="27"/>
    </row>
    <row r="22" spans="1:1" ht="15.75" customHeight="1">
      <c r="A22" s="27"/>
    </row>
    <row r="23" spans="1:1" ht="15.75" customHeight="1">
      <c r="A23" s="27"/>
    </row>
    <row r="24" spans="1:1" ht="15.75" customHeight="1">
      <c r="A24" s="27"/>
    </row>
    <row r="25" spans="1:1" ht="15.75" customHeight="1">
      <c r="A25" s="27"/>
    </row>
    <row r="26" spans="1:1" ht="15.75" customHeight="1">
      <c r="A26" s="27"/>
    </row>
    <row r="27" spans="1:1" ht="15.75" customHeight="1">
      <c r="A27" s="27"/>
    </row>
    <row r="28" spans="1:1" ht="15.75" customHeight="1">
      <c r="A28" s="27"/>
    </row>
    <row r="29" spans="1:1" ht="15.75" customHeight="1">
      <c r="A29" s="27"/>
    </row>
    <row r="30" spans="1:1" ht="15.75" customHeight="1">
      <c r="A30" s="27"/>
    </row>
    <row r="31" spans="1:1" ht="15.75" customHeight="1">
      <c r="A31" s="27"/>
    </row>
    <row r="32" spans="1:1" ht="15.75" customHeight="1">
      <c r="A32" s="27"/>
    </row>
    <row r="33" spans="1:1" ht="15.75" customHeight="1">
      <c r="A33" s="27"/>
    </row>
    <row r="34" spans="1:1" ht="15.75" customHeight="1">
      <c r="A34" s="27"/>
    </row>
    <row r="35" spans="1:1" ht="15.75" customHeight="1">
      <c r="A35" s="27"/>
    </row>
    <row r="36" spans="1:1" ht="15.75" customHeight="1">
      <c r="A36" s="27"/>
    </row>
    <row r="37" spans="1:1" ht="15.75" customHeight="1">
      <c r="A37" s="27"/>
    </row>
    <row r="38" spans="1:1" ht="15.75" customHeight="1">
      <c r="A38" s="27"/>
    </row>
    <row r="39" spans="1:1" ht="15.75" customHeight="1">
      <c r="A39" s="27"/>
    </row>
    <row r="40" spans="1:1" ht="15.75" customHeight="1">
      <c r="A40" s="27"/>
    </row>
    <row r="41" spans="1:1" ht="15.75" customHeight="1">
      <c r="A41" s="27"/>
    </row>
    <row r="42" spans="1:1" ht="15.75" customHeight="1">
      <c r="A42" s="27"/>
    </row>
    <row r="43" spans="1:1" ht="15.75" customHeight="1">
      <c r="A43" s="27"/>
    </row>
    <row r="44" spans="1:1" ht="15.75" customHeight="1">
      <c r="A44" s="27"/>
    </row>
    <row r="45" spans="1:1" ht="15.75" customHeight="1">
      <c r="A45" s="27"/>
    </row>
    <row r="46" spans="1:1" ht="15.75" customHeight="1">
      <c r="A46" s="27"/>
    </row>
    <row r="47" spans="1:1" ht="15.75" customHeight="1">
      <c r="A47" s="27"/>
    </row>
    <row r="48" spans="1:1" ht="15.75" customHeight="1">
      <c r="A48" s="27"/>
    </row>
    <row r="49" spans="1:1" ht="15.75" customHeight="1">
      <c r="A49" s="27"/>
    </row>
    <row r="50" spans="1:1" ht="15.75" customHeight="1">
      <c r="A50" s="27"/>
    </row>
    <row r="51" spans="1:1" ht="15.75" customHeight="1">
      <c r="A51" s="27"/>
    </row>
    <row r="52" spans="1:1" ht="15.75" customHeight="1">
      <c r="A52" s="27"/>
    </row>
    <row r="53" spans="1:1" ht="15.75" customHeight="1">
      <c r="A53" s="27"/>
    </row>
    <row r="54" spans="1:1" ht="15.75" customHeight="1">
      <c r="A54" s="27"/>
    </row>
    <row r="55" spans="1:1" ht="15.75" customHeight="1">
      <c r="A55" s="27"/>
    </row>
    <row r="56" spans="1:1" ht="15.75" customHeight="1">
      <c r="A56" s="27"/>
    </row>
    <row r="57" spans="1:1" ht="15.75" customHeight="1">
      <c r="A57" s="27"/>
    </row>
    <row r="58" spans="1:1" ht="15.75" customHeight="1">
      <c r="A58" s="27"/>
    </row>
    <row r="59" spans="1:1" ht="15.75" customHeight="1">
      <c r="A59" s="27"/>
    </row>
    <row r="60" spans="1:1" ht="15.75" customHeight="1">
      <c r="A60" s="27"/>
    </row>
    <row r="61" spans="1:1" ht="15.75" customHeight="1">
      <c r="A61" s="27"/>
    </row>
    <row r="62" spans="1:1" ht="15.75" customHeight="1">
      <c r="A62" s="27"/>
    </row>
    <row r="63" spans="1:1" ht="15.75" customHeight="1">
      <c r="A63" s="27"/>
    </row>
    <row r="64" spans="1:1" ht="15.75" customHeight="1">
      <c r="A64" s="27"/>
    </row>
    <row r="65" spans="1:1" ht="15.75" customHeight="1">
      <c r="A65" s="27"/>
    </row>
    <row r="66" spans="1:1" ht="15.75" customHeight="1">
      <c r="A66" s="27"/>
    </row>
    <row r="67" spans="1:1" ht="15.75" customHeight="1">
      <c r="A67" s="27"/>
    </row>
    <row r="68" spans="1:1" ht="15.75" customHeight="1">
      <c r="A68" s="27"/>
    </row>
    <row r="69" spans="1:1" ht="15.75" customHeight="1">
      <c r="A69" s="27"/>
    </row>
    <row r="70" spans="1:1" ht="15.75" customHeight="1">
      <c r="A70" s="27"/>
    </row>
    <row r="71" spans="1:1" ht="15.75" customHeight="1">
      <c r="A71" s="27"/>
    </row>
    <row r="72" spans="1:1" ht="15.75" customHeight="1">
      <c r="A72" s="27"/>
    </row>
    <row r="73" spans="1:1" ht="15.75" customHeight="1">
      <c r="A73" s="27"/>
    </row>
    <row r="74" spans="1:1" ht="15.75" customHeight="1">
      <c r="A74" s="27"/>
    </row>
    <row r="75" spans="1:1" ht="15.75" customHeight="1">
      <c r="A75" s="27"/>
    </row>
    <row r="76" spans="1:1" ht="15.75" customHeight="1">
      <c r="A76" s="27"/>
    </row>
    <row r="77" spans="1:1" ht="15.75" customHeight="1">
      <c r="A77" s="27"/>
    </row>
    <row r="78" spans="1:1" ht="15.75" customHeight="1">
      <c r="A78" s="27"/>
    </row>
    <row r="79" spans="1:1" ht="15.75" customHeight="1">
      <c r="A79" s="27"/>
    </row>
    <row r="80" spans="1:1" ht="15.75" customHeight="1">
      <c r="A80" s="27"/>
    </row>
    <row r="81" spans="1:1" ht="15.75" customHeight="1">
      <c r="A81" s="27"/>
    </row>
    <row r="82" spans="1:1" ht="15.75" customHeight="1">
      <c r="A82" s="27"/>
    </row>
    <row r="83" spans="1:1" ht="15.75" customHeight="1">
      <c r="A83" s="27"/>
    </row>
    <row r="84" spans="1:1" ht="15.75" customHeight="1">
      <c r="A84" s="27"/>
    </row>
    <row r="85" spans="1:1" ht="15.75" customHeight="1">
      <c r="A85" s="27"/>
    </row>
    <row r="86" spans="1:1" ht="15.75" customHeight="1">
      <c r="A86" s="27"/>
    </row>
    <row r="87" spans="1:1" ht="15.75" customHeight="1">
      <c r="A87" s="27"/>
    </row>
    <row r="88" spans="1:1" ht="15.75" customHeight="1">
      <c r="A88" s="27"/>
    </row>
    <row r="89" spans="1:1" ht="15.75" customHeight="1">
      <c r="A89" s="27"/>
    </row>
    <row r="90" spans="1:1" ht="15.75" customHeight="1">
      <c r="A90" s="27"/>
    </row>
    <row r="91" spans="1:1" ht="15.75" customHeight="1">
      <c r="A91" s="27"/>
    </row>
    <row r="92" spans="1:1" ht="15.75" customHeight="1">
      <c r="A92" s="27"/>
    </row>
    <row r="93" spans="1:1" ht="15.75" customHeight="1">
      <c r="A93" s="27"/>
    </row>
    <row r="94" spans="1:1" ht="15.75" customHeight="1">
      <c r="A94" s="27"/>
    </row>
    <row r="95" spans="1:1" ht="15.75" customHeight="1">
      <c r="A95" s="27"/>
    </row>
    <row r="96" spans="1:1" ht="15.75" customHeight="1">
      <c r="A96" s="27"/>
    </row>
    <row r="97" spans="1:1" ht="15.75" customHeight="1">
      <c r="A97" s="27"/>
    </row>
    <row r="98" spans="1:1" ht="15.75" customHeight="1">
      <c r="A98" s="27"/>
    </row>
    <row r="99" spans="1:1" ht="15.75" customHeight="1">
      <c r="A99" s="27"/>
    </row>
    <row r="100" spans="1:1" ht="15.75" customHeight="1">
      <c r="A100" s="27"/>
    </row>
    <row r="101" spans="1:1" ht="15.75" customHeight="1">
      <c r="A101" s="27"/>
    </row>
    <row r="102" spans="1:1" ht="15.75" customHeight="1">
      <c r="A102" s="27"/>
    </row>
    <row r="103" spans="1:1" ht="15.75" customHeight="1">
      <c r="A103" s="27"/>
    </row>
    <row r="104" spans="1:1" ht="15.75" customHeight="1">
      <c r="A104" s="27"/>
    </row>
    <row r="105" spans="1:1" ht="15.75" customHeight="1">
      <c r="A105" s="27"/>
    </row>
    <row r="106" spans="1:1" ht="15.75" customHeight="1">
      <c r="A106" s="27"/>
    </row>
    <row r="107" spans="1:1" ht="15.75" customHeight="1">
      <c r="A107" s="27"/>
    </row>
    <row r="108" spans="1:1" ht="15.75" customHeight="1">
      <c r="A108" s="27"/>
    </row>
    <row r="109" spans="1:1" ht="15.75" customHeight="1">
      <c r="A109" s="27"/>
    </row>
    <row r="110" spans="1:1" ht="15.75" customHeight="1">
      <c r="A110" s="27"/>
    </row>
    <row r="111" spans="1:1" ht="15.75" customHeight="1">
      <c r="A111" s="27"/>
    </row>
    <row r="112" spans="1:1" ht="15.75" customHeight="1">
      <c r="A112" s="27"/>
    </row>
    <row r="113" spans="1:1" ht="15.75" customHeight="1">
      <c r="A113" s="27"/>
    </row>
    <row r="114" spans="1:1" ht="15.75" customHeight="1">
      <c r="A114" s="27"/>
    </row>
    <row r="115" spans="1:1" ht="15.75" customHeight="1">
      <c r="A115" s="27"/>
    </row>
    <row r="116" spans="1:1" ht="15.75" customHeight="1">
      <c r="A116" s="27"/>
    </row>
    <row r="117" spans="1:1" ht="15.75" customHeight="1">
      <c r="A117" s="27"/>
    </row>
    <row r="118" spans="1:1" ht="15.75" customHeight="1">
      <c r="A118" s="27"/>
    </row>
    <row r="119" spans="1:1" ht="15.75" customHeight="1">
      <c r="A119" s="27"/>
    </row>
    <row r="120" spans="1:1" ht="15.75" customHeight="1">
      <c r="A120" s="27"/>
    </row>
    <row r="121" spans="1:1" ht="15.75" customHeight="1">
      <c r="A121" s="27"/>
    </row>
    <row r="122" spans="1:1" ht="15.75" customHeight="1">
      <c r="A122" s="27"/>
    </row>
    <row r="123" spans="1:1" ht="15.75" customHeight="1">
      <c r="A123" s="27"/>
    </row>
    <row r="124" spans="1:1" ht="15.75" customHeight="1">
      <c r="A124" s="27"/>
    </row>
    <row r="125" spans="1:1" ht="15.75" customHeight="1">
      <c r="A125" s="27"/>
    </row>
    <row r="126" spans="1:1" ht="15.75" customHeight="1">
      <c r="A126" s="27"/>
    </row>
    <row r="127" spans="1:1" ht="15.75" customHeight="1">
      <c r="A127" s="27"/>
    </row>
    <row r="128" spans="1:1" ht="15.75" customHeight="1">
      <c r="A128" s="27"/>
    </row>
    <row r="129" spans="1:1" ht="15.75" customHeight="1">
      <c r="A129" s="27"/>
    </row>
    <row r="130" spans="1:1" ht="15.75" customHeight="1">
      <c r="A130" s="27"/>
    </row>
    <row r="131" spans="1:1" ht="15.75" customHeight="1">
      <c r="A131" s="27"/>
    </row>
    <row r="132" spans="1:1" ht="15.75" customHeight="1">
      <c r="A132" s="27"/>
    </row>
    <row r="133" spans="1:1" ht="15.75" customHeight="1">
      <c r="A133" s="27"/>
    </row>
    <row r="134" spans="1:1" ht="15.75" customHeight="1">
      <c r="A134" s="27"/>
    </row>
    <row r="135" spans="1:1" ht="15.75" customHeight="1">
      <c r="A135" s="27"/>
    </row>
    <row r="136" spans="1:1" ht="15.75" customHeight="1">
      <c r="A136" s="27"/>
    </row>
    <row r="137" spans="1:1" ht="15.75" customHeight="1">
      <c r="A137" s="27"/>
    </row>
    <row r="138" spans="1:1" ht="15.75" customHeight="1">
      <c r="A138" s="27"/>
    </row>
    <row r="139" spans="1:1" ht="15.75" customHeight="1">
      <c r="A139" s="27"/>
    </row>
    <row r="140" spans="1:1" ht="15.75" customHeight="1">
      <c r="A140" s="27"/>
    </row>
    <row r="141" spans="1:1" ht="15.75" customHeight="1">
      <c r="A141" s="27"/>
    </row>
    <row r="142" spans="1:1" ht="15.75" customHeight="1">
      <c r="A142" s="27"/>
    </row>
    <row r="143" spans="1:1" ht="15.75" customHeight="1">
      <c r="A143" s="27"/>
    </row>
    <row r="144" spans="1:1" ht="15.75" customHeight="1">
      <c r="A144" s="27"/>
    </row>
    <row r="145" spans="1:1" ht="15.75" customHeight="1">
      <c r="A145" s="27"/>
    </row>
    <row r="146" spans="1:1" ht="15.75" customHeight="1">
      <c r="A146" s="27"/>
    </row>
    <row r="147" spans="1:1" ht="15.75" customHeight="1">
      <c r="A147" s="27"/>
    </row>
    <row r="148" spans="1:1" ht="15.75" customHeight="1">
      <c r="A148" s="27"/>
    </row>
    <row r="149" spans="1:1" ht="15.75" customHeight="1">
      <c r="A149" s="27"/>
    </row>
    <row r="150" spans="1:1" ht="15.75" customHeight="1">
      <c r="A150" s="27"/>
    </row>
    <row r="151" spans="1:1" ht="15.75" customHeight="1">
      <c r="A151" s="27"/>
    </row>
    <row r="152" spans="1:1" ht="15.75" customHeight="1">
      <c r="A152" s="27"/>
    </row>
    <row r="153" spans="1:1" ht="15.75" customHeight="1">
      <c r="A153" s="27"/>
    </row>
    <row r="154" spans="1:1" ht="15.75" customHeight="1">
      <c r="A154" s="27"/>
    </row>
    <row r="155" spans="1:1" ht="15.75" customHeight="1">
      <c r="A155" s="27"/>
    </row>
    <row r="156" spans="1:1" ht="15.75" customHeight="1">
      <c r="A156" s="27"/>
    </row>
    <row r="157" spans="1:1" ht="15.75" customHeight="1">
      <c r="A157" s="27"/>
    </row>
    <row r="158" spans="1:1" ht="15.75" customHeight="1">
      <c r="A158" s="27"/>
    </row>
    <row r="159" spans="1:1" ht="15.75" customHeight="1">
      <c r="A159" s="27"/>
    </row>
    <row r="160" spans="1:1" ht="15.75" customHeight="1">
      <c r="A160" s="27"/>
    </row>
    <row r="161" spans="1:1" ht="15.75" customHeight="1">
      <c r="A161" s="27"/>
    </row>
    <row r="162" spans="1:1" ht="15.75" customHeight="1">
      <c r="A162" s="27"/>
    </row>
    <row r="163" spans="1:1" ht="15.75" customHeight="1">
      <c r="A163" s="27"/>
    </row>
    <row r="164" spans="1:1" ht="15.75" customHeight="1">
      <c r="A164" s="27"/>
    </row>
    <row r="165" spans="1:1" ht="15.75" customHeight="1">
      <c r="A165" s="27"/>
    </row>
    <row r="166" spans="1:1" ht="15.75" customHeight="1">
      <c r="A166" s="27"/>
    </row>
    <row r="167" spans="1:1" ht="15.75" customHeight="1">
      <c r="A167" s="27"/>
    </row>
    <row r="168" spans="1:1" ht="15.75" customHeight="1">
      <c r="A168" s="27"/>
    </row>
    <row r="169" spans="1:1" ht="15.75" customHeight="1">
      <c r="A169" s="27"/>
    </row>
    <row r="170" spans="1:1" ht="15.75" customHeight="1">
      <c r="A170" s="27"/>
    </row>
    <row r="171" spans="1:1" ht="15.75" customHeight="1">
      <c r="A171" s="27"/>
    </row>
    <row r="172" spans="1:1" ht="15.75" customHeight="1">
      <c r="A172" s="27"/>
    </row>
    <row r="173" spans="1:1" ht="15.75" customHeight="1">
      <c r="A173" s="27"/>
    </row>
    <row r="174" spans="1:1" ht="15.75" customHeight="1">
      <c r="A174" s="27"/>
    </row>
    <row r="175" spans="1:1" ht="15.75" customHeight="1">
      <c r="A175" s="27"/>
    </row>
    <row r="176" spans="1:1" ht="15.75" customHeight="1">
      <c r="A176" s="27"/>
    </row>
    <row r="177" spans="1:1" ht="15.75" customHeight="1">
      <c r="A177" s="27"/>
    </row>
    <row r="178" spans="1:1" ht="15.75" customHeight="1">
      <c r="A178" s="27"/>
    </row>
    <row r="179" spans="1:1" ht="15.75" customHeight="1">
      <c r="A179" s="27"/>
    </row>
    <row r="180" spans="1:1" ht="15.75" customHeight="1">
      <c r="A180" s="27"/>
    </row>
    <row r="181" spans="1:1" ht="15.75" customHeight="1">
      <c r="A181" s="27"/>
    </row>
    <row r="182" spans="1:1" ht="15.75" customHeight="1">
      <c r="A182" s="27"/>
    </row>
    <row r="183" spans="1:1" ht="15.75" customHeight="1">
      <c r="A183" s="27"/>
    </row>
    <row r="184" spans="1:1" ht="15.75" customHeight="1">
      <c r="A184" s="27"/>
    </row>
    <row r="185" spans="1:1" ht="15.75" customHeight="1">
      <c r="A185" s="27"/>
    </row>
    <row r="186" spans="1:1" ht="15.75" customHeight="1">
      <c r="A186" s="27"/>
    </row>
    <row r="187" spans="1:1" ht="15.75" customHeight="1">
      <c r="A187" s="27"/>
    </row>
    <row r="188" spans="1:1" ht="15.75" customHeight="1">
      <c r="A188" s="27"/>
    </row>
    <row r="189" spans="1:1" ht="15.75" customHeight="1">
      <c r="A189" s="27"/>
    </row>
    <row r="190" spans="1:1" ht="15.75" customHeight="1">
      <c r="A190" s="27"/>
    </row>
    <row r="191" spans="1:1" ht="15.75" customHeight="1">
      <c r="A191" s="27"/>
    </row>
    <row r="192" spans="1:1" ht="15.75" customHeight="1">
      <c r="A192" s="27"/>
    </row>
    <row r="193" spans="1:1" ht="15.75" customHeight="1">
      <c r="A193" s="27"/>
    </row>
    <row r="194" spans="1:1" ht="15.75" customHeight="1">
      <c r="A194" s="27"/>
    </row>
    <row r="195" spans="1:1" ht="15.75" customHeight="1">
      <c r="A195" s="27"/>
    </row>
    <row r="196" spans="1:1" ht="15.75" customHeight="1">
      <c r="A196" s="27"/>
    </row>
    <row r="197" spans="1:1" ht="15.75" customHeight="1">
      <c r="A197" s="27"/>
    </row>
    <row r="198" spans="1:1" ht="15.75" customHeight="1">
      <c r="A198" s="27"/>
    </row>
    <row r="199" spans="1:1" ht="15.75" customHeight="1">
      <c r="A199" s="27"/>
    </row>
    <row r="200" spans="1:1" ht="15.75" customHeight="1">
      <c r="A200" s="27"/>
    </row>
    <row r="201" spans="1:1" ht="15.75" customHeight="1">
      <c r="A201" s="27"/>
    </row>
    <row r="202" spans="1:1" ht="15.75" customHeight="1">
      <c r="A202" s="27"/>
    </row>
    <row r="203" spans="1:1" ht="15.75" customHeight="1">
      <c r="A203" s="27"/>
    </row>
    <row r="204" spans="1:1" ht="15.75" customHeight="1">
      <c r="A204" s="27"/>
    </row>
    <row r="205" spans="1:1" ht="15.75" customHeight="1">
      <c r="A205" s="27"/>
    </row>
    <row r="206" spans="1:1" ht="15.75" customHeight="1">
      <c r="A206" s="27"/>
    </row>
    <row r="207" spans="1:1" ht="15.75" customHeight="1">
      <c r="A207" s="27"/>
    </row>
    <row r="208" spans="1:1" ht="15.75" customHeight="1">
      <c r="A208" s="27"/>
    </row>
    <row r="209" spans="1:1" ht="15.75" customHeight="1">
      <c r="A209" s="27"/>
    </row>
    <row r="210" spans="1:1" ht="15.75" customHeight="1">
      <c r="A210" s="27"/>
    </row>
    <row r="211" spans="1:1" ht="15.75" customHeight="1">
      <c r="A211" s="27"/>
    </row>
    <row r="212" spans="1:1" ht="15.75" customHeight="1">
      <c r="A212" s="27"/>
    </row>
    <row r="213" spans="1:1" ht="15.75" customHeight="1">
      <c r="A213" s="27"/>
    </row>
    <row r="214" spans="1:1" ht="15.75" customHeight="1">
      <c r="A214" s="27"/>
    </row>
    <row r="215" spans="1:1" ht="15.75" customHeight="1">
      <c r="A215" s="27"/>
    </row>
    <row r="216" spans="1:1" ht="15.75" customHeight="1">
      <c r="A216" s="27"/>
    </row>
    <row r="217" spans="1:1" ht="15.75" customHeight="1">
      <c r="A217" s="27"/>
    </row>
    <row r="218" spans="1:1" ht="15.75" customHeight="1">
      <c r="A218" s="27"/>
    </row>
    <row r="219" spans="1:1" ht="15.75" customHeight="1">
      <c r="A219" s="27"/>
    </row>
    <row r="220" spans="1:1" ht="15.75" customHeight="1">
      <c r="A220" s="27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" zoomScale="50" zoomScaleNormal="70" workbookViewId="0">
      <selection activeCell="F2" sqref="F2:F6"/>
    </sheetView>
  </sheetViews>
  <sheetFormatPr baseColWidth="10" defaultColWidth="10.140625" defaultRowHeight="15" customHeight="1"/>
  <cols>
    <col min="1" max="1" width="11.42578125" customWidth="1"/>
    <col min="2" max="13" width="20.5703125" customWidth="1"/>
    <col min="14" max="26" width="11.42578125" customWidth="1"/>
  </cols>
  <sheetData>
    <row r="1" spans="1:26" ht="60.75" customHeight="1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>
      <c r="A2" s="27" t="s">
        <v>39</v>
      </c>
      <c r="B2" s="28" t="s">
        <v>176</v>
      </c>
      <c r="C2" s="29" t="s">
        <v>184</v>
      </c>
      <c r="D2" s="28" t="s">
        <v>192</v>
      </c>
      <c r="E2" s="29" t="s">
        <v>200</v>
      </c>
      <c r="F2" s="28" t="s">
        <v>208</v>
      </c>
      <c r="G2" s="29"/>
      <c r="H2" s="28"/>
      <c r="I2" s="29"/>
      <c r="J2" s="28"/>
      <c r="K2" s="29"/>
      <c r="L2" s="28"/>
      <c r="M2" s="29"/>
    </row>
    <row r="3" spans="1:26" ht="99.75" customHeight="1">
      <c r="A3" s="27" t="s">
        <v>40</v>
      </c>
      <c r="B3" s="29" t="s">
        <v>177</v>
      </c>
      <c r="C3" s="28" t="s">
        <v>185</v>
      </c>
      <c r="D3" s="29" t="s">
        <v>193</v>
      </c>
      <c r="E3" s="28" t="s">
        <v>201</v>
      </c>
      <c r="F3" s="29" t="s">
        <v>209</v>
      </c>
      <c r="G3" s="28"/>
      <c r="H3" s="29"/>
      <c r="I3" s="28"/>
      <c r="J3" s="29"/>
      <c r="K3" s="28"/>
      <c r="L3" s="29"/>
      <c r="M3" s="28"/>
    </row>
    <row r="4" spans="1:26" ht="99.75" customHeight="1">
      <c r="A4" s="27" t="s">
        <v>41</v>
      </c>
      <c r="B4" s="28" t="s">
        <v>178</v>
      </c>
      <c r="C4" s="29" t="s">
        <v>186</v>
      </c>
      <c r="D4" s="28" t="s">
        <v>194</v>
      </c>
      <c r="E4" s="29" t="s">
        <v>202</v>
      </c>
      <c r="F4" s="28" t="s">
        <v>210</v>
      </c>
      <c r="G4" s="29"/>
      <c r="H4" s="28"/>
      <c r="I4" s="29"/>
      <c r="J4" s="28"/>
      <c r="K4" s="29"/>
      <c r="L4" s="28"/>
      <c r="M4" s="29"/>
    </row>
    <row r="5" spans="1:26" ht="99.75" customHeight="1">
      <c r="A5" s="27" t="s">
        <v>42</v>
      </c>
      <c r="B5" s="29" t="s">
        <v>179</v>
      </c>
      <c r="C5" s="28" t="s">
        <v>187</v>
      </c>
      <c r="D5" s="29" t="s">
        <v>195</v>
      </c>
      <c r="E5" s="28" t="s">
        <v>203</v>
      </c>
      <c r="F5" s="29" t="s">
        <v>211</v>
      </c>
      <c r="G5" s="28"/>
      <c r="H5" s="29"/>
      <c r="I5" s="28"/>
      <c r="J5" s="29"/>
      <c r="K5" s="28"/>
      <c r="L5" s="29"/>
      <c r="M5" s="28"/>
    </row>
    <row r="6" spans="1:26" ht="99.75" customHeight="1">
      <c r="A6" s="27" t="s">
        <v>43</v>
      </c>
      <c r="B6" s="28" t="s">
        <v>180</v>
      </c>
      <c r="C6" s="29" t="s">
        <v>188</v>
      </c>
      <c r="D6" s="28" t="s">
        <v>196</v>
      </c>
      <c r="E6" s="29" t="s">
        <v>204</v>
      </c>
      <c r="F6" s="28" t="s">
        <v>212</v>
      </c>
      <c r="G6" s="29"/>
      <c r="H6" s="28"/>
      <c r="I6" s="29"/>
      <c r="J6" s="28"/>
      <c r="K6" s="29"/>
      <c r="L6" s="28"/>
      <c r="M6" s="29"/>
    </row>
    <row r="7" spans="1:26" ht="99.75" customHeight="1">
      <c r="A7" s="27" t="s">
        <v>44</v>
      </c>
      <c r="B7" s="29" t="s">
        <v>181</v>
      </c>
      <c r="C7" s="28" t="s">
        <v>189</v>
      </c>
      <c r="D7" s="29" t="s">
        <v>197</v>
      </c>
      <c r="E7" s="28" t="s">
        <v>205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>
      <c r="A8" s="27" t="s">
        <v>45</v>
      </c>
      <c r="B8" s="28" t="s">
        <v>182</v>
      </c>
      <c r="C8" s="29" t="s">
        <v>190</v>
      </c>
      <c r="D8" s="28" t="s">
        <v>198</v>
      </c>
      <c r="E8" s="29" t="s">
        <v>206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>
      <c r="A9" s="27" t="s">
        <v>46</v>
      </c>
      <c r="B9" s="29" t="s">
        <v>183</v>
      </c>
      <c r="C9" s="28" t="s">
        <v>191</v>
      </c>
      <c r="D9" s="29" t="s">
        <v>199</v>
      </c>
      <c r="E9" s="28" t="s">
        <v>207</v>
      </c>
      <c r="F9" s="29"/>
      <c r="G9" s="28"/>
      <c r="H9" s="29"/>
      <c r="I9" s="28"/>
      <c r="J9" s="29"/>
      <c r="K9" s="28"/>
      <c r="L9" s="29"/>
      <c r="M9" s="28"/>
    </row>
    <row r="10" spans="1:26" ht="31">
      <c r="A10" s="27"/>
    </row>
    <row r="11" spans="1:26" ht="31">
      <c r="A11" s="27"/>
    </row>
    <row r="12" spans="1:26" ht="31">
      <c r="A12" s="27"/>
    </row>
    <row r="13" spans="1:26" ht="31">
      <c r="A13" s="27"/>
    </row>
    <row r="14" spans="1:26" ht="15.75" customHeight="1">
      <c r="A14" s="27"/>
    </row>
    <row r="15" spans="1:26" ht="15.75" customHeight="1">
      <c r="A15" s="27"/>
    </row>
    <row r="16" spans="1:26" ht="15.75" customHeight="1">
      <c r="A16" s="27"/>
    </row>
    <row r="17" spans="1:1" ht="15.75" customHeight="1">
      <c r="A17" s="27"/>
    </row>
    <row r="18" spans="1:1" ht="15.75" customHeight="1">
      <c r="A18" s="27"/>
    </row>
    <row r="19" spans="1:1" ht="15.75" customHeight="1">
      <c r="A19" s="27"/>
    </row>
    <row r="20" spans="1:1" ht="15.75" customHeight="1">
      <c r="A20" s="27"/>
    </row>
    <row r="21" spans="1:1" ht="15.75" customHeight="1">
      <c r="A21" s="27"/>
    </row>
    <row r="22" spans="1:1" ht="15.75" customHeight="1">
      <c r="A22" s="27"/>
    </row>
    <row r="23" spans="1:1" ht="15.75" customHeight="1">
      <c r="A23" s="27"/>
    </row>
    <row r="24" spans="1:1" ht="15.75" customHeight="1">
      <c r="A24" s="27"/>
    </row>
    <row r="25" spans="1:1" ht="15.75" customHeight="1">
      <c r="A25" s="27"/>
    </row>
    <row r="26" spans="1:1" ht="15.75" customHeight="1">
      <c r="A26" s="27"/>
    </row>
    <row r="27" spans="1:1" ht="15.75" customHeight="1">
      <c r="A27" s="27"/>
    </row>
    <row r="28" spans="1:1" ht="15.75" customHeight="1">
      <c r="A28" s="27"/>
    </row>
    <row r="29" spans="1:1" ht="15.75" customHeight="1">
      <c r="A29" s="27"/>
    </row>
    <row r="30" spans="1:1" ht="15.75" customHeight="1">
      <c r="A30" s="27"/>
    </row>
    <row r="31" spans="1:1" ht="15.75" customHeight="1">
      <c r="A31" s="27"/>
    </row>
    <row r="32" spans="1:1" ht="15.75" customHeight="1">
      <c r="A32" s="27"/>
    </row>
    <row r="33" spans="1:1" ht="15.75" customHeight="1">
      <c r="A33" s="27"/>
    </row>
    <row r="34" spans="1:1" ht="15.75" customHeight="1">
      <c r="A34" s="27"/>
    </row>
    <row r="35" spans="1:1" ht="15.75" customHeight="1">
      <c r="A35" s="27"/>
    </row>
    <row r="36" spans="1:1" ht="15.75" customHeight="1">
      <c r="A36" s="27"/>
    </row>
    <row r="37" spans="1:1" ht="15.75" customHeight="1">
      <c r="A37" s="27"/>
    </row>
    <row r="38" spans="1:1" ht="15.75" customHeight="1">
      <c r="A38" s="27"/>
    </row>
    <row r="39" spans="1:1" ht="15.75" customHeight="1">
      <c r="A39" s="27"/>
    </row>
    <row r="40" spans="1:1" ht="15.75" customHeight="1">
      <c r="A40" s="27"/>
    </row>
    <row r="41" spans="1:1" ht="15.75" customHeight="1">
      <c r="A41" s="27"/>
    </row>
    <row r="42" spans="1:1" ht="15.75" customHeight="1">
      <c r="A42" s="27"/>
    </row>
    <row r="43" spans="1:1" ht="15.75" customHeight="1">
      <c r="A43" s="27"/>
    </row>
    <row r="44" spans="1:1" ht="15.75" customHeight="1">
      <c r="A44" s="27"/>
    </row>
    <row r="45" spans="1:1" ht="15.75" customHeight="1">
      <c r="A45" s="27"/>
    </row>
    <row r="46" spans="1:1" ht="15.75" customHeight="1">
      <c r="A46" s="27"/>
    </row>
    <row r="47" spans="1:1" ht="15.75" customHeight="1">
      <c r="A47" s="27"/>
    </row>
    <row r="48" spans="1:1" ht="15.75" customHeight="1">
      <c r="A48" s="27"/>
    </row>
    <row r="49" spans="1:1" ht="15.75" customHeight="1">
      <c r="A49" s="27"/>
    </row>
    <row r="50" spans="1:1" ht="15.75" customHeight="1">
      <c r="A50" s="27"/>
    </row>
    <row r="51" spans="1:1" ht="15.75" customHeight="1">
      <c r="A51" s="27"/>
    </row>
    <row r="52" spans="1:1" ht="15.75" customHeight="1">
      <c r="A52" s="27"/>
    </row>
    <row r="53" spans="1:1" ht="15.75" customHeight="1">
      <c r="A53" s="27"/>
    </row>
    <row r="54" spans="1:1" ht="15.75" customHeight="1">
      <c r="A54" s="27"/>
    </row>
    <row r="55" spans="1:1" ht="15.75" customHeight="1">
      <c r="A55" s="27"/>
    </row>
    <row r="56" spans="1:1" ht="15.75" customHeight="1">
      <c r="A56" s="27"/>
    </row>
    <row r="57" spans="1:1" ht="15.75" customHeight="1">
      <c r="A57" s="27"/>
    </row>
    <row r="58" spans="1:1" ht="15.75" customHeight="1">
      <c r="A58" s="27"/>
    </row>
    <row r="59" spans="1:1" ht="15.75" customHeight="1">
      <c r="A59" s="27"/>
    </row>
    <row r="60" spans="1:1" ht="15.75" customHeight="1">
      <c r="A60" s="27"/>
    </row>
    <row r="61" spans="1:1" ht="15.75" customHeight="1">
      <c r="A61" s="27"/>
    </row>
    <row r="62" spans="1:1" ht="15.75" customHeight="1">
      <c r="A62" s="27"/>
    </row>
    <row r="63" spans="1:1" ht="15.75" customHeight="1">
      <c r="A63" s="27"/>
    </row>
    <row r="64" spans="1:1" ht="15.75" customHeight="1">
      <c r="A64" s="27"/>
    </row>
    <row r="65" spans="1:1" ht="15.75" customHeight="1">
      <c r="A65" s="27"/>
    </row>
    <row r="66" spans="1:1" ht="15.75" customHeight="1">
      <c r="A66" s="27"/>
    </row>
    <row r="67" spans="1:1" ht="15.75" customHeight="1">
      <c r="A67" s="27"/>
    </row>
    <row r="68" spans="1:1" ht="15.75" customHeight="1">
      <c r="A68" s="27"/>
    </row>
    <row r="69" spans="1:1" ht="15.75" customHeight="1">
      <c r="A69" s="27"/>
    </row>
    <row r="70" spans="1:1" ht="15.75" customHeight="1">
      <c r="A70" s="27"/>
    </row>
    <row r="71" spans="1:1" ht="15.75" customHeight="1">
      <c r="A71" s="27"/>
    </row>
    <row r="72" spans="1:1" ht="15.75" customHeight="1">
      <c r="A72" s="27"/>
    </row>
    <row r="73" spans="1:1" ht="15.75" customHeight="1">
      <c r="A73" s="27"/>
    </row>
    <row r="74" spans="1:1" ht="15.75" customHeight="1">
      <c r="A74" s="27"/>
    </row>
    <row r="75" spans="1:1" ht="15.75" customHeight="1">
      <c r="A75" s="27"/>
    </row>
    <row r="76" spans="1:1" ht="15.75" customHeight="1">
      <c r="A76" s="27"/>
    </row>
    <row r="77" spans="1:1" ht="15.75" customHeight="1">
      <c r="A77" s="27"/>
    </row>
    <row r="78" spans="1:1" ht="15.75" customHeight="1">
      <c r="A78" s="27"/>
    </row>
    <row r="79" spans="1:1" ht="15.75" customHeight="1">
      <c r="A79" s="27"/>
    </row>
    <row r="80" spans="1:1" ht="15.75" customHeight="1">
      <c r="A80" s="27"/>
    </row>
    <row r="81" spans="1:1" ht="15.75" customHeight="1">
      <c r="A81" s="27"/>
    </row>
    <row r="82" spans="1:1" ht="15.75" customHeight="1">
      <c r="A82" s="27"/>
    </row>
    <row r="83" spans="1:1" ht="15.75" customHeight="1">
      <c r="A83" s="27"/>
    </row>
    <row r="84" spans="1:1" ht="15.75" customHeight="1">
      <c r="A84" s="27"/>
    </row>
    <row r="85" spans="1:1" ht="15.75" customHeight="1">
      <c r="A85" s="27"/>
    </row>
    <row r="86" spans="1:1" ht="15.75" customHeight="1">
      <c r="A86" s="27"/>
    </row>
    <row r="87" spans="1:1" ht="15.75" customHeight="1">
      <c r="A87" s="27"/>
    </row>
    <row r="88" spans="1:1" ht="15.75" customHeight="1">
      <c r="A88" s="27"/>
    </row>
    <row r="89" spans="1:1" ht="15.75" customHeight="1">
      <c r="A89" s="27"/>
    </row>
    <row r="90" spans="1:1" ht="15.75" customHeight="1">
      <c r="A90" s="27"/>
    </row>
    <row r="91" spans="1:1" ht="15.75" customHeight="1">
      <c r="A91" s="27"/>
    </row>
    <row r="92" spans="1:1" ht="15.75" customHeight="1">
      <c r="A92" s="27"/>
    </row>
    <row r="93" spans="1:1" ht="15.75" customHeight="1">
      <c r="A93" s="27"/>
    </row>
    <row r="94" spans="1:1" ht="15.75" customHeight="1">
      <c r="A94" s="27"/>
    </row>
    <row r="95" spans="1:1" ht="15.75" customHeight="1">
      <c r="A95" s="27"/>
    </row>
    <row r="96" spans="1:1" ht="15.75" customHeight="1">
      <c r="A96" s="27"/>
    </row>
    <row r="97" spans="1:1" ht="15.75" customHeight="1">
      <c r="A97" s="27"/>
    </row>
    <row r="98" spans="1:1" ht="15.75" customHeight="1">
      <c r="A98" s="27"/>
    </row>
    <row r="99" spans="1:1" ht="15.75" customHeight="1">
      <c r="A99" s="27"/>
    </row>
    <row r="100" spans="1:1" ht="15.75" customHeight="1">
      <c r="A100" s="27"/>
    </row>
    <row r="101" spans="1:1" ht="15.75" customHeight="1">
      <c r="A101" s="27"/>
    </row>
    <row r="102" spans="1:1" ht="15.75" customHeight="1">
      <c r="A102" s="27"/>
    </row>
    <row r="103" spans="1:1" ht="15.75" customHeight="1">
      <c r="A103" s="27"/>
    </row>
    <row r="104" spans="1:1" ht="15.75" customHeight="1">
      <c r="A104" s="27"/>
    </row>
    <row r="105" spans="1:1" ht="15.75" customHeight="1">
      <c r="A105" s="27"/>
    </row>
    <row r="106" spans="1:1" ht="15.75" customHeight="1">
      <c r="A106" s="27"/>
    </row>
    <row r="107" spans="1:1" ht="15.75" customHeight="1">
      <c r="A107" s="27"/>
    </row>
    <row r="108" spans="1:1" ht="15.75" customHeight="1">
      <c r="A108" s="27"/>
    </row>
    <row r="109" spans="1:1" ht="15.75" customHeight="1">
      <c r="A109" s="27"/>
    </row>
    <row r="110" spans="1:1" ht="15.75" customHeight="1">
      <c r="A110" s="27"/>
    </row>
    <row r="111" spans="1:1" ht="15.75" customHeight="1">
      <c r="A111" s="27"/>
    </row>
    <row r="112" spans="1:1" ht="15.75" customHeight="1">
      <c r="A112" s="27"/>
    </row>
    <row r="113" spans="1:1" ht="15.75" customHeight="1">
      <c r="A113" s="27"/>
    </row>
    <row r="114" spans="1:1" ht="15.75" customHeight="1">
      <c r="A114" s="27"/>
    </row>
    <row r="115" spans="1:1" ht="15.75" customHeight="1">
      <c r="A115" s="27"/>
    </row>
    <row r="116" spans="1:1" ht="15.75" customHeight="1">
      <c r="A116" s="27"/>
    </row>
    <row r="117" spans="1:1" ht="15.75" customHeight="1">
      <c r="A117" s="27"/>
    </row>
    <row r="118" spans="1:1" ht="15.75" customHeight="1">
      <c r="A118" s="27"/>
    </row>
    <row r="119" spans="1:1" ht="15.75" customHeight="1">
      <c r="A119" s="27"/>
    </row>
    <row r="120" spans="1:1" ht="15.75" customHeight="1">
      <c r="A120" s="27"/>
    </row>
    <row r="121" spans="1:1" ht="15.75" customHeight="1">
      <c r="A121" s="27"/>
    </row>
    <row r="122" spans="1:1" ht="15.75" customHeight="1">
      <c r="A122" s="27"/>
    </row>
    <row r="123" spans="1:1" ht="15.75" customHeight="1">
      <c r="A123" s="27"/>
    </row>
    <row r="124" spans="1:1" ht="15.75" customHeight="1">
      <c r="A124" s="27"/>
    </row>
    <row r="125" spans="1:1" ht="15.75" customHeight="1">
      <c r="A125" s="27"/>
    </row>
    <row r="126" spans="1:1" ht="15.75" customHeight="1">
      <c r="A126" s="27"/>
    </row>
    <row r="127" spans="1:1" ht="15.75" customHeight="1">
      <c r="A127" s="27"/>
    </row>
    <row r="128" spans="1:1" ht="15.75" customHeight="1">
      <c r="A128" s="27"/>
    </row>
    <row r="129" spans="1:1" ht="15.75" customHeight="1">
      <c r="A129" s="27"/>
    </row>
    <row r="130" spans="1:1" ht="15.75" customHeight="1">
      <c r="A130" s="27"/>
    </row>
    <row r="131" spans="1:1" ht="15.75" customHeight="1">
      <c r="A131" s="27"/>
    </row>
    <row r="132" spans="1:1" ht="15.75" customHeight="1">
      <c r="A132" s="27"/>
    </row>
    <row r="133" spans="1:1" ht="15.75" customHeight="1">
      <c r="A133" s="27"/>
    </row>
    <row r="134" spans="1:1" ht="15.75" customHeight="1">
      <c r="A134" s="27"/>
    </row>
    <row r="135" spans="1:1" ht="15.75" customHeight="1">
      <c r="A135" s="27"/>
    </row>
    <row r="136" spans="1:1" ht="15.75" customHeight="1">
      <c r="A136" s="27"/>
    </row>
    <row r="137" spans="1:1" ht="15.75" customHeight="1">
      <c r="A137" s="27"/>
    </row>
    <row r="138" spans="1:1" ht="15.75" customHeight="1">
      <c r="A138" s="27"/>
    </row>
    <row r="139" spans="1:1" ht="15.75" customHeight="1">
      <c r="A139" s="27"/>
    </row>
    <row r="140" spans="1:1" ht="15.75" customHeight="1">
      <c r="A140" s="27"/>
    </row>
    <row r="141" spans="1:1" ht="15.75" customHeight="1">
      <c r="A141" s="27"/>
    </row>
    <row r="142" spans="1:1" ht="15.75" customHeight="1">
      <c r="A142" s="27"/>
    </row>
    <row r="143" spans="1:1" ht="15.75" customHeight="1">
      <c r="A143" s="27"/>
    </row>
    <row r="144" spans="1:1" ht="15.75" customHeight="1">
      <c r="A144" s="27"/>
    </row>
    <row r="145" spans="1:1" ht="15.75" customHeight="1">
      <c r="A145" s="27"/>
    </row>
    <row r="146" spans="1:1" ht="15.75" customHeight="1">
      <c r="A146" s="27"/>
    </row>
    <row r="147" spans="1:1" ht="15.75" customHeight="1">
      <c r="A147" s="27"/>
    </row>
    <row r="148" spans="1:1" ht="15.75" customHeight="1">
      <c r="A148" s="27"/>
    </row>
    <row r="149" spans="1:1" ht="15.75" customHeight="1">
      <c r="A149" s="27"/>
    </row>
    <row r="150" spans="1:1" ht="15.75" customHeight="1">
      <c r="A150" s="27"/>
    </row>
    <row r="151" spans="1:1" ht="15.75" customHeight="1">
      <c r="A151" s="27"/>
    </row>
    <row r="152" spans="1:1" ht="15.75" customHeight="1">
      <c r="A152" s="27"/>
    </row>
    <row r="153" spans="1:1" ht="15.75" customHeight="1">
      <c r="A153" s="27"/>
    </row>
    <row r="154" spans="1:1" ht="15.75" customHeight="1">
      <c r="A154" s="27"/>
    </row>
    <row r="155" spans="1:1" ht="15.75" customHeight="1">
      <c r="A155" s="27"/>
    </row>
    <row r="156" spans="1:1" ht="15.75" customHeight="1">
      <c r="A156" s="27"/>
    </row>
    <row r="157" spans="1:1" ht="15.75" customHeight="1">
      <c r="A157" s="27"/>
    </row>
    <row r="158" spans="1:1" ht="15.75" customHeight="1">
      <c r="A158" s="27"/>
    </row>
    <row r="159" spans="1:1" ht="15.75" customHeight="1">
      <c r="A159" s="27"/>
    </row>
    <row r="160" spans="1:1" ht="15.75" customHeight="1">
      <c r="A160" s="27"/>
    </row>
    <row r="161" spans="1:1" ht="15.75" customHeight="1">
      <c r="A161" s="27"/>
    </row>
    <row r="162" spans="1:1" ht="15.75" customHeight="1">
      <c r="A162" s="27"/>
    </row>
    <row r="163" spans="1:1" ht="15.75" customHeight="1">
      <c r="A163" s="27"/>
    </row>
    <row r="164" spans="1:1" ht="15.75" customHeight="1">
      <c r="A164" s="27"/>
    </row>
    <row r="165" spans="1:1" ht="15.75" customHeight="1">
      <c r="A165" s="27"/>
    </row>
    <row r="166" spans="1:1" ht="15.75" customHeight="1">
      <c r="A166" s="27"/>
    </row>
    <row r="167" spans="1:1" ht="15.75" customHeight="1">
      <c r="A167" s="27"/>
    </row>
    <row r="168" spans="1:1" ht="15.75" customHeight="1">
      <c r="A168" s="27"/>
    </row>
    <row r="169" spans="1:1" ht="15.75" customHeight="1">
      <c r="A169" s="27"/>
    </row>
    <row r="170" spans="1:1" ht="15.75" customHeight="1">
      <c r="A170" s="27"/>
    </row>
    <row r="171" spans="1:1" ht="15.75" customHeight="1">
      <c r="A171" s="27"/>
    </row>
    <row r="172" spans="1:1" ht="15.75" customHeight="1">
      <c r="A172" s="27"/>
    </row>
    <row r="173" spans="1:1" ht="15.75" customHeight="1">
      <c r="A173" s="27"/>
    </row>
    <row r="174" spans="1:1" ht="15.75" customHeight="1">
      <c r="A174" s="27"/>
    </row>
    <row r="175" spans="1:1" ht="15.75" customHeight="1">
      <c r="A175" s="27"/>
    </row>
    <row r="176" spans="1:1" ht="15.75" customHeight="1">
      <c r="A176" s="27"/>
    </row>
    <row r="177" spans="1:1" ht="15.75" customHeight="1">
      <c r="A177" s="27"/>
    </row>
    <row r="178" spans="1:1" ht="15.75" customHeight="1">
      <c r="A178" s="27"/>
    </row>
    <row r="179" spans="1:1" ht="15.75" customHeight="1">
      <c r="A179" s="27"/>
    </row>
    <row r="180" spans="1:1" ht="15.75" customHeight="1">
      <c r="A180" s="27"/>
    </row>
    <row r="181" spans="1:1" ht="15.75" customHeight="1">
      <c r="A181" s="27"/>
    </row>
    <row r="182" spans="1:1" ht="15.75" customHeight="1">
      <c r="A182" s="27"/>
    </row>
    <row r="183" spans="1:1" ht="15.75" customHeight="1">
      <c r="A183" s="27"/>
    </row>
    <row r="184" spans="1:1" ht="15.75" customHeight="1">
      <c r="A184" s="27"/>
    </row>
    <row r="185" spans="1:1" ht="15.75" customHeight="1">
      <c r="A185" s="27"/>
    </row>
    <row r="186" spans="1:1" ht="15.75" customHeight="1">
      <c r="A186" s="27"/>
    </row>
    <row r="187" spans="1:1" ht="15.75" customHeight="1">
      <c r="A187" s="27"/>
    </row>
    <row r="188" spans="1:1" ht="15.75" customHeight="1">
      <c r="A188" s="27"/>
    </row>
    <row r="189" spans="1:1" ht="15.75" customHeight="1">
      <c r="A189" s="27"/>
    </row>
    <row r="190" spans="1:1" ht="15.75" customHeight="1">
      <c r="A190" s="27"/>
    </row>
    <row r="191" spans="1:1" ht="15.75" customHeight="1">
      <c r="A191" s="27"/>
    </row>
    <row r="192" spans="1:1" ht="15.75" customHeight="1">
      <c r="A192" s="27"/>
    </row>
    <row r="193" spans="1:1" ht="15.75" customHeight="1">
      <c r="A193" s="27"/>
    </row>
    <row r="194" spans="1:1" ht="15.75" customHeight="1">
      <c r="A194" s="27"/>
    </row>
    <row r="195" spans="1:1" ht="15.75" customHeight="1">
      <c r="A195" s="27"/>
    </row>
    <row r="196" spans="1:1" ht="15.75" customHeight="1">
      <c r="A196" s="27"/>
    </row>
    <row r="197" spans="1:1" ht="15.75" customHeight="1">
      <c r="A197" s="27"/>
    </row>
    <row r="198" spans="1:1" ht="15.75" customHeight="1">
      <c r="A198" s="27"/>
    </row>
    <row r="199" spans="1:1" ht="15.75" customHeight="1">
      <c r="A199" s="27"/>
    </row>
    <row r="200" spans="1:1" ht="15.75" customHeight="1">
      <c r="A200" s="27"/>
    </row>
    <row r="201" spans="1:1" ht="15.75" customHeight="1">
      <c r="A201" s="27"/>
    </row>
    <row r="202" spans="1:1" ht="15.75" customHeight="1">
      <c r="A202" s="27"/>
    </row>
    <row r="203" spans="1:1" ht="15.75" customHeight="1">
      <c r="A203" s="27"/>
    </row>
    <row r="204" spans="1:1" ht="15.75" customHeight="1">
      <c r="A204" s="27"/>
    </row>
    <row r="205" spans="1:1" ht="15.75" customHeight="1">
      <c r="A205" s="27"/>
    </row>
    <row r="206" spans="1:1" ht="15.75" customHeight="1">
      <c r="A206" s="27"/>
    </row>
    <row r="207" spans="1:1" ht="15.75" customHeight="1">
      <c r="A207" s="27"/>
    </row>
    <row r="208" spans="1:1" ht="15.75" customHeight="1">
      <c r="A208" s="27"/>
    </row>
    <row r="209" spans="1:1" ht="15.75" customHeight="1">
      <c r="A209" s="27"/>
    </row>
    <row r="210" spans="1:1" ht="15.75" customHeight="1">
      <c r="A210" s="27"/>
    </row>
    <row r="211" spans="1:1" ht="15.75" customHeight="1">
      <c r="A211" s="27"/>
    </row>
    <row r="212" spans="1:1" ht="15.75" customHeight="1">
      <c r="A212" s="27"/>
    </row>
    <row r="213" spans="1:1" ht="15.75" customHeight="1">
      <c r="A213" s="27"/>
    </row>
    <row r="214" spans="1:1" ht="15.75" customHeight="1">
      <c r="A214" s="27"/>
    </row>
    <row r="215" spans="1:1" ht="15.75" customHeight="1">
      <c r="A215" s="27"/>
    </row>
    <row r="216" spans="1:1" ht="15.75" customHeight="1">
      <c r="A216" s="27"/>
    </row>
    <row r="217" spans="1:1" ht="15.75" customHeight="1">
      <c r="A217" s="27"/>
    </row>
    <row r="218" spans="1:1" ht="15.75" customHeight="1">
      <c r="A218" s="27"/>
    </row>
    <row r="219" spans="1:1" ht="15.75" customHeight="1">
      <c r="A219" s="27"/>
    </row>
    <row r="220" spans="1:1" ht="15.75" customHeight="1">
      <c r="A220" s="27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16" activePane="bottomLeft" state="frozen"/>
      <selection pane="bottomLeft" activeCell="B25" sqref="B25"/>
    </sheetView>
  </sheetViews>
  <sheetFormatPr baseColWidth="10" defaultColWidth="10.140625" defaultRowHeight="15" customHeight="1"/>
  <cols>
    <col min="1" max="1" width="38" customWidth="1"/>
    <col min="2" max="26" width="10.5703125" customWidth="1"/>
  </cols>
  <sheetData>
    <row r="1" spans="1:19" ht="45.75" customHeight="1">
      <c r="A1" s="84" t="s">
        <v>47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6"/>
      <c r="R1" s="30"/>
      <c r="S1" s="30"/>
    </row>
    <row r="2" spans="1:19" ht="31.5" customHeight="1">
      <c r="A2" s="87" t="s">
        <v>48</v>
      </c>
      <c r="B2" s="85"/>
      <c r="C2" s="85"/>
      <c r="D2" s="85"/>
      <c r="E2" s="85"/>
      <c r="F2" s="85"/>
      <c r="G2" s="85"/>
      <c r="H2" s="85"/>
      <c r="I2" s="86"/>
      <c r="L2" s="30"/>
      <c r="M2" s="30"/>
      <c r="N2" s="30"/>
      <c r="O2" s="30"/>
      <c r="P2" s="30"/>
      <c r="Q2" s="30"/>
      <c r="R2" s="30"/>
      <c r="S2" s="30"/>
    </row>
    <row r="3" spans="1:19" ht="27" customHeight="1">
      <c r="A3" s="88" t="s">
        <v>49</v>
      </c>
      <c r="B3" s="80"/>
      <c r="C3" s="80"/>
      <c r="D3" s="80"/>
      <c r="E3" s="80"/>
      <c r="F3" s="80"/>
      <c r="G3" s="80"/>
      <c r="H3" s="80"/>
      <c r="I3" s="81"/>
      <c r="L3" s="31"/>
      <c r="M3" s="31"/>
      <c r="N3" s="31"/>
      <c r="O3" s="31"/>
      <c r="P3" s="31"/>
      <c r="Q3" s="31"/>
      <c r="R3" s="32"/>
      <c r="S3" s="32"/>
    </row>
    <row r="4" spans="1:19" ht="21.75" customHeight="1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>
      <c r="A6" s="36" t="s">
        <v>52</v>
      </c>
      <c r="B6" s="37">
        <v>16.5</v>
      </c>
      <c r="C6" s="89" t="s">
        <v>53</v>
      </c>
      <c r="D6" s="90"/>
      <c r="E6" s="90"/>
      <c r="F6" s="35"/>
      <c r="G6" s="35"/>
      <c r="H6" s="35"/>
      <c r="I6" s="35"/>
      <c r="J6" s="35"/>
      <c r="K6" s="35"/>
      <c r="L6" s="35"/>
    </row>
    <row r="7" spans="1:19" ht="22.5" customHeight="1">
      <c r="A7" s="36" t="s">
        <v>54</v>
      </c>
      <c r="B7" s="37">
        <v>5.5</v>
      </c>
      <c r="C7" s="90"/>
      <c r="D7" s="90"/>
      <c r="E7" s="90"/>
      <c r="F7" s="35"/>
      <c r="G7" s="35"/>
      <c r="H7" s="35"/>
      <c r="I7" s="35"/>
      <c r="J7" s="35"/>
      <c r="K7" s="35"/>
      <c r="L7" s="35"/>
    </row>
    <row r="8" spans="1:19" ht="22.5" customHeight="1">
      <c r="A8" s="36" t="s">
        <v>55</v>
      </c>
      <c r="B8" s="37">
        <f>SUM(B6:B7)</f>
        <v>22</v>
      </c>
      <c r="C8" s="90"/>
      <c r="D8" s="90"/>
      <c r="E8" s="90"/>
      <c r="F8" s="35"/>
      <c r="G8" s="35"/>
      <c r="H8" s="35"/>
      <c r="I8" s="35"/>
      <c r="J8" s="35"/>
      <c r="K8" s="35"/>
      <c r="L8" s="35"/>
    </row>
    <row r="9" spans="1:19" ht="22.5" customHeight="1">
      <c r="A9" s="36" t="s">
        <v>56</v>
      </c>
      <c r="B9" s="37">
        <v>20</v>
      </c>
      <c r="C9" s="90"/>
      <c r="D9" s="90"/>
      <c r="E9" s="90"/>
      <c r="F9" s="35"/>
      <c r="G9" s="35"/>
      <c r="H9" s="35"/>
      <c r="I9" s="35"/>
      <c r="J9" s="35"/>
      <c r="K9" s="35"/>
      <c r="L9" s="35"/>
    </row>
    <row r="10" spans="1:19" ht="30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>
      <c r="A11" s="91" t="s">
        <v>57</v>
      </c>
      <c r="B11" s="85"/>
      <c r="C11" s="85"/>
      <c r="D11" s="86"/>
      <c r="E11" s="39"/>
      <c r="F11" s="35"/>
      <c r="G11" s="35"/>
      <c r="H11" s="35"/>
      <c r="I11" s="35"/>
      <c r="J11" s="35"/>
      <c r="K11" s="35"/>
      <c r="L11" s="35"/>
    </row>
    <row r="12" spans="1:19" ht="15.75" customHeight="1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>
      <c r="A15" s="42" t="s">
        <v>64</v>
      </c>
      <c r="B15" s="44">
        <v>94</v>
      </c>
      <c r="C15" s="44">
        <v>0.5</v>
      </c>
      <c r="D15" s="92">
        <v>40</v>
      </c>
    </row>
    <row r="16" spans="1:19" ht="15.75" customHeight="1">
      <c r="A16" s="42" t="s">
        <v>65</v>
      </c>
      <c r="B16" s="44">
        <v>55</v>
      </c>
      <c r="C16" s="44">
        <v>1</v>
      </c>
      <c r="D16" s="93"/>
    </row>
    <row r="17" spans="1:26" ht="15.75" customHeight="1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>
      <c r="A18" s="45"/>
      <c r="B18" s="39"/>
      <c r="C18" s="39"/>
      <c r="D18" s="39"/>
    </row>
    <row r="19" spans="1:26" ht="27" customHeight="1">
      <c r="A19" s="79" t="s">
        <v>67</v>
      </c>
      <c r="B19" s="80"/>
      <c r="C19" s="80"/>
      <c r="D19" s="81"/>
    </row>
    <row r="20" spans="1:26" ht="15.75" customHeight="1">
      <c r="A20" s="46" t="s">
        <v>68</v>
      </c>
      <c r="B20" s="44" t="s">
        <v>69</v>
      </c>
      <c r="C20" s="47"/>
      <c r="D20" s="47"/>
    </row>
    <row r="21" spans="1:26" ht="15.75" customHeight="1">
      <c r="A21" s="46" t="s">
        <v>70</v>
      </c>
      <c r="B21" s="44" t="s">
        <v>71</v>
      </c>
      <c r="C21" s="47"/>
      <c r="D21" s="47"/>
    </row>
    <row r="22" spans="1:26" ht="15.75" customHeight="1">
      <c r="A22" s="46" t="s">
        <v>72</v>
      </c>
      <c r="B22" s="44" t="s">
        <v>73</v>
      </c>
      <c r="C22" s="47"/>
      <c r="D22" s="47"/>
    </row>
    <row r="23" spans="1:26" ht="51" customHeight="1"/>
    <row r="24" spans="1:26" ht="31.5" customHeight="1">
      <c r="A24" s="48" t="s">
        <v>74</v>
      </c>
      <c r="B24" s="49">
        <f>COUNTIF('Sample IDs'!B2:M9,"&lt;&gt;"&amp;"")</f>
        <v>18</v>
      </c>
      <c r="C24" s="89" t="s">
        <v>75</v>
      </c>
      <c r="D24" s="90"/>
      <c r="E24" s="90"/>
      <c r="F24" s="90"/>
      <c r="G24" s="90"/>
      <c r="H24" s="90"/>
      <c r="I24" s="90"/>
      <c r="J24" s="90"/>
      <c r="K24" s="90"/>
      <c r="L24" s="90"/>
    </row>
    <row r="25" spans="1:26" ht="30" customHeight="1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>
      <c r="A27" s="82" t="s">
        <v>78</v>
      </c>
      <c r="B27" s="83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>
      <c r="A28" s="55" t="s">
        <v>79</v>
      </c>
      <c r="B28" s="56">
        <f>ROUNDUP(B33-B29-B30-B31-($B$5*B32),0)</f>
        <v>131</v>
      </c>
      <c r="C28" s="57"/>
      <c r="D28" s="57"/>
      <c r="E28" s="35"/>
      <c r="F28" s="35"/>
      <c r="L28" s="35"/>
    </row>
    <row r="29" spans="1:26" ht="15.75" customHeight="1">
      <c r="A29" s="55" t="s">
        <v>80</v>
      </c>
      <c r="B29" s="56">
        <f>ROUNDUP(5.5*($B$24*B25),0)</f>
        <v>109</v>
      </c>
      <c r="C29" s="58" t="s">
        <v>81</v>
      </c>
      <c r="D29" s="57"/>
      <c r="E29" s="35"/>
      <c r="F29" s="35"/>
      <c r="L29" s="35"/>
    </row>
    <row r="30" spans="1:26" ht="15.75" customHeight="1">
      <c r="A30" s="55" t="s">
        <v>82</v>
      </c>
      <c r="B30" s="56">
        <f>ROUNDUP(2.2*($B$24*B25),1)</f>
        <v>43.6</v>
      </c>
      <c r="C30" s="58" t="s">
        <v>81</v>
      </c>
      <c r="D30" s="57"/>
      <c r="E30" s="35"/>
      <c r="F30" s="35"/>
      <c r="L30" s="35"/>
    </row>
    <row r="31" spans="1:26" ht="15.75" customHeight="1">
      <c r="A31" s="55" t="s">
        <v>83</v>
      </c>
      <c r="B31" s="56">
        <f>ROUNDUP(1.1*$B$24*B25,1)</f>
        <v>21.8</v>
      </c>
      <c r="C31" s="58" t="s">
        <v>81</v>
      </c>
      <c r="D31" s="57"/>
      <c r="E31" s="35"/>
      <c r="F31" s="35"/>
      <c r="L31" s="35"/>
    </row>
    <row r="32" spans="1:26" ht="15.75" customHeight="1">
      <c r="A32" s="55" t="s">
        <v>84</v>
      </c>
      <c r="B32" s="56">
        <f>ROUNDUP(1.1*$B$24*B25,1)</f>
        <v>21.8</v>
      </c>
      <c r="C32" s="58" t="s">
        <v>81</v>
      </c>
      <c r="D32" s="57"/>
      <c r="E32" s="35"/>
      <c r="F32" s="35"/>
      <c r="L32" s="35"/>
    </row>
    <row r="33" spans="1:12" ht="15.75" customHeight="1">
      <c r="A33" s="59" t="s">
        <v>85</v>
      </c>
      <c r="B33" s="60">
        <f>ROUNDUP(B25*$B$24*16.5,0)</f>
        <v>327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/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topLeftCell="H3" workbookViewId="0">
      <selection activeCell="B24" sqref="B24"/>
    </sheetView>
  </sheetViews>
  <sheetFormatPr baseColWidth="10" defaultColWidth="10.140625" defaultRowHeight="15" customHeight="1"/>
  <cols>
    <col min="1" max="1" width="13" customWidth="1"/>
    <col min="2" max="2" width="42.140625" customWidth="1"/>
    <col min="3" max="3" width="25.5703125" customWidth="1"/>
    <col min="4" max="4" width="21.28515625" customWidth="1"/>
    <col min="5" max="5" width="28.140625" bestFit="1" customWidth="1"/>
    <col min="6" max="6" width="19.5703125" customWidth="1"/>
    <col min="7" max="7" width="13.42578125" customWidth="1"/>
    <col min="8" max="8" width="44.7109375" customWidth="1"/>
    <col min="9" max="9" width="30.85546875" bestFit="1" customWidth="1"/>
    <col min="10" max="10" width="116.140625" bestFit="1" customWidth="1"/>
    <col min="11" max="11" width="24.140625" style="71" customWidth="1"/>
    <col min="12" max="12" width="21.85546875" customWidth="1"/>
    <col min="13" max="25" width="10.5703125" customWidth="1"/>
  </cols>
  <sheetData>
    <row r="1" spans="1:13" ht="15.75" customHeight="1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171</v>
      </c>
      <c r="L1" s="66" t="s">
        <v>97</v>
      </c>
      <c r="M1" s="63"/>
    </row>
    <row r="2" spans="1:13" ht="15.75" customHeight="1">
      <c r="A2" s="25" t="s">
        <v>6</v>
      </c>
      <c r="B2" s="25" t="s">
        <v>138</v>
      </c>
      <c r="C2" s="25" t="s">
        <v>99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148</v>
      </c>
      <c r="J2" s="77" t="s">
        <v>163</v>
      </c>
      <c r="K2" s="72">
        <v>2</v>
      </c>
      <c r="L2" s="25" t="s">
        <v>26</v>
      </c>
      <c r="M2" s="25"/>
    </row>
    <row r="3" spans="1:13" ht="15.75" customHeight="1">
      <c r="A3" s="25" t="s">
        <v>98</v>
      </c>
      <c r="B3" s="25" t="s">
        <v>136</v>
      </c>
      <c r="C3" s="25" t="s">
        <v>104</v>
      </c>
      <c r="D3" s="25" t="s">
        <v>100</v>
      </c>
      <c r="E3" s="25" t="s">
        <v>152</v>
      </c>
      <c r="F3" s="25" t="s">
        <v>31</v>
      </c>
      <c r="G3" s="25" t="s">
        <v>38</v>
      </c>
      <c r="H3" s="25" t="s">
        <v>101</v>
      </c>
      <c r="I3" s="25" t="s">
        <v>149</v>
      </c>
      <c r="J3" s="25" t="s">
        <v>117</v>
      </c>
      <c r="K3" s="69">
        <v>1.2</v>
      </c>
      <c r="L3" s="25" t="s">
        <v>116</v>
      </c>
      <c r="M3" s="25"/>
    </row>
    <row r="4" spans="1:13" ht="15.75" customHeight="1">
      <c r="A4" s="25" t="s">
        <v>119</v>
      </c>
      <c r="B4" s="25" t="s">
        <v>137</v>
      </c>
      <c r="C4" s="25" t="s">
        <v>107</v>
      </c>
      <c r="D4" s="25" t="s">
        <v>21</v>
      </c>
      <c r="E4" s="25" t="s">
        <v>19</v>
      </c>
      <c r="F4" s="25" t="s">
        <v>103</v>
      </c>
      <c r="G4" s="25" t="s">
        <v>105</v>
      </c>
      <c r="H4" s="64" t="s">
        <v>120</v>
      </c>
      <c r="I4" s="25" t="s">
        <v>102</v>
      </c>
      <c r="J4" s="25" t="s">
        <v>118</v>
      </c>
      <c r="K4" s="70"/>
      <c r="L4" s="25" t="s">
        <v>106</v>
      </c>
      <c r="M4" s="25"/>
    </row>
    <row r="5" spans="1:13" ht="15.75" customHeight="1">
      <c r="A5" s="25" t="s">
        <v>103</v>
      </c>
      <c r="B5" s="25" t="s">
        <v>147</v>
      </c>
      <c r="C5" s="25" t="s">
        <v>103</v>
      </c>
      <c r="D5" s="25" t="s">
        <v>108</v>
      </c>
      <c r="E5" s="25" t="s">
        <v>33</v>
      </c>
      <c r="G5" s="25" t="s">
        <v>109</v>
      </c>
      <c r="H5" s="67" t="s">
        <v>122</v>
      </c>
      <c r="I5" s="25" t="s">
        <v>103</v>
      </c>
      <c r="J5" s="25" t="s">
        <v>121</v>
      </c>
      <c r="K5" s="70"/>
      <c r="L5" s="25" t="s">
        <v>110</v>
      </c>
      <c r="M5" s="25"/>
    </row>
    <row r="6" spans="1:13" ht="15.75" customHeight="1">
      <c r="A6" s="25"/>
      <c r="B6" s="75" t="s">
        <v>142</v>
      </c>
      <c r="D6" s="25" t="s">
        <v>103</v>
      </c>
      <c r="E6" s="25" t="s">
        <v>153</v>
      </c>
      <c r="F6" s="25"/>
      <c r="G6" s="25" t="s">
        <v>111</v>
      </c>
      <c r="H6" s="64" t="s">
        <v>120</v>
      </c>
      <c r="J6" s="25" t="s">
        <v>123</v>
      </c>
      <c r="K6" s="70"/>
      <c r="L6" s="25" t="s">
        <v>112</v>
      </c>
      <c r="M6" s="25"/>
    </row>
    <row r="7" spans="1:13" ht="15.75" customHeight="1">
      <c r="A7" s="25"/>
      <c r="B7" s="75" t="s">
        <v>143</v>
      </c>
      <c r="C7" s="25"/>
      <c r="D7" s="25"/>
      <c r="E7" s="25" t="s">
        <v>154</v>
      </c>
      <c r="F7" s="25"/>
      <c r="G7" s="25" t="s">
        <v>114</v>
      </c>
      <c r="H7" s="25" t="s">
        <v>103</v>
      </c>
      <c r="I7" s="25"/>
      <c r="J7" s="25" t="s">
        <v>124</v>
      </c>
      <c r="K7" s="70"/>
      <c r="L7" s="25" t="s">
        <v>103</v>
      </c>
      <c r="M7" s="25"/>
    </row>
    <row r="8" spans="1:13" ht="15.75" customHeight="1">
      <c r="A8" s="25"/>
      <c r="B8" s="25" t="s">
        <v>139</v>
      </c>
      <c r="C8" s="25"/>
      <c r="D8" s="25"/>
      <c r="E8" s="25" t="s">
        <v>113</v>
      </c>
      <c r="F8" s="25"/>
      <c r="G8" s="25" t="s">
        <v>37</v>
      </c>
      <c r="H8" s="25"/>
      <c r="I8" s="25"/>
      <c r="J8" s="64" t="s">
        <v>120</v>
      </c>
      <c r="K8" s="70"/>
    </row>
    <row r="9" spans="1:13" ht="15.75" customHeight="1">
      <c r="A9" s="25"/>
      <c r="B9" s="25" t="s">
        <v>140</v>
      </c>
      <c r="C9" s="25"/>
      <c r="D9" s="25"/>
      <c r="E9" s="25" t="s">
        <v>146</v>
      </c>
      <c r="F9" s="25"/>
      <c r="G9" s="25" t="s">
        <v>115</v>
      </c>
      <c r="H9" s="25"/>
      <c r="I9" s="25"/>
      <c r="J9" s="25" t="s">
        <v>125</v>
      </c>
      <c r="K9" s="70"/>
    </row>
    <row r="10" spans="1:13" ht="15.75" customHeight="1">
      <c r="A10" s="25"/>
      <c r="B10" s="25" t="s">
        <v>161</v>
      </c>
      <c r="C10" s="25"/>
      <c r="D10" s="25"/>
      <c r="E10" s="25" t="s">
        <v>103</v>
      </c>
      <c r="F10" s="25"/>
      <c r="G10" s="25"/>
      <c r="H10" s="25"/>
      <c r="I10" s="25"/>
      <c r="J10" s="25" t="s">
        <v>126</v>
      </c>
      <c r="K10" s="70"/>
    </row>
    <row r="11" spans="1:13" ht="15.75" customHeight="1">
      <c r="A11" s="25"/>
      <c r="B11" s="25" t="s">
        <v>170</v>
      </c>
      <c r="C11" s="25"/>
      <c r="D11" s="25"/>
      <c r="E11" s="25"/>
      <c r="F11" s="25"/>
      <c r="G11" s="25"/>
      <c r="H11" s="25"/>
      <c r="I11" s="25"/>
      <c r="J11" s="25" t="s">
        <v>127</v>
      </c>
      <c r="K11" s="70"/>
    </row>
    <row r="12" spans="1:13" ht="15.75" customHeight="1">
      <c r="A12" s="25"/>
      <c r="B12" s="25" t="s">
        <v>159</v>
      </c>
      <c r="C12" s="25"/>
      <c r="D12" s="25"/>
      <c r="E12" s="25"/>
      <c r="F12" s="25"/>
      <c r="G12" s="25"/>
      <c r="H12" s="25"/>
      <c r="I12" s="25"/>
      <c r="J12" s="25" t="s">
        <v>128</v>
      </c>
      <c r="K12" s="70"/>
    </row>
    <row r="13" spans="1:13" ht="15.75" customHeight="1">
      <c r="A13" s="25"/>
      <c r="B13" s="25" t="s">
        <v>160</v>
      </c>
      <c r="C13" s="25"/>
      <c r="D13" s="25"/>
      <c r="E13" s="25"/>
      <c r="F13" s="25"/>
      <c r="G13" s="25"/>
      <c r="H13" s="25"/>
      <c r="I13" s="25"/>
      <c r="J13" s="25" t="s">
        <v>129</v>
      </c>
      <c r="K13" s="70"/>
    </row>
    <row r="14" spans="1:13" ht="15.75" customHeight="1">
      <c r="A14" s="25"/>
      <c r="B14" s="25" t="s">
        <v>144</v>
      </c>
      <c r="C14" s="25"/>
      <c r="D14" s="25"/>
      <c r="E14" s="25"/>
      <c r="F14" s="25"/>
      <c r="G14" s="25"/>
      <c r="H14" s="25"/>
      <c r="I14" s="25"/>
      <c r="J14" s="25" t="s">
        <v>130</v>
      </c>
      <c r="K14" s="70"/>
    </row>
    <row r="15" spans="1:13" ht="15.75" customHeight="1">
      <c r="A15" s="25"/>
      <c r="B15" s="25" t="s">
        <v>150</v>
      </c>
      <c r="C15" s="25"/>
      <c r="D15" s="25"/>
      <c r="E15" s="25"/>
      <c r="F15" s="25"/>
      <c r="G15" s="25"/>
      <c r="H15" s="25"/>
      <c r="I15" s="25"/>
      <c r="J15" s="25" t="s">
        <v>131</v>
      </c>
      <c r="K15" s="70"/>
    </row>
    <row r="16" spans="1:13" ht="15.75" customHeight="1">
      <c r="A16" s="25"/>
      <c r="B16" s="25" t="s">
        <v>151</v>
      </c>
      <c r="C16" s="25"/>
      <c r="D16" s="25"/>
      <c r="E16" s="25"/>
      <c r="F16" s="25"/>
      <c r="G16" s="25"/>
      <c r="H16" s="25"/>
      <c r="I16" s="25"/>
      <c r="J16" s="25" t="s">
        <v>132</v>
      </c>
      <c r="K16" s="70"/>
    </row>
    <row r="17" spans="1:11" ht="15.75" customHeight="1">
      <c r="A17" s="25"/>
      <c r="B17" s="75" t="s">
        <v>145</v>
      </c>
      <c r="C17" s="25"/>
      <c r="D17" s="25"/>
      <c r="E17" s="25"/>
      <c r="F17" s="25"/>
      <c r="G17" s="25"/>
      <c r="H17" s="25"/>
      <c r="I17" s="25"/>
      <c r="J17" s="78" t="s">
        <v>164</v>
      </c>
      <c r="K17" s="70"/>
    </row>
    <row r="18" spans="1:11" ht="15.75" customHeight="1">
      <c r="A18" s="25"/>
      <c r="B18" s="25" t="s">
        <v>172</v>
      </c>
      <c r="C18" s="25"/>
      <c r="D18" s="25"/>
      <c r="E18" s="25"/>
      <c r="F18" s="25"/>
      <c r="G18" s="25"/>
      <c r="H18" s="25"/>
      <c r="I18" s="25"/>
      <c r="J18" s="25" t="s">
        <v>168</v>
      </c>
      <c r="K18" s="70"/>
    </row>
    <row r="19" spans="1:11" ht="15.75" customHeight="1">
      <c r="A19" s="25"/>
      <c r="B19" s="25" t="s">
        <v>146</v>
      </c>
      <c r="C19" s="25"/>
      <c r="D19" s="25"/>
      <c r="E19" s="25"/>
      <c r="F19" s="25"/>
      <c r="G19" s="25"/>
      <c r="H19" s="25"/>
      <c r="I19" s="25"/>
      <c r="J19" s="76" t="s">
        <v>162</v>
      </c>
      <c r="K19" s="70"/>
    </row>
    <row r="20" spans="1:11" ht="15.75" customHeight="1">
      <c r="A20" s="25"/>
      <c r="B20" s="25" t="s">
        <v>141</v>
      </c>
      <c r="C20" s="25"/>
      <c r="D20" s="25"/>
      <c r="E20" s="25"/>
      <c r="F20" s="25"/>
      <c r="G20" s="25"/>
      <c r="H20" s="25"/>
      <c r="I20" s="25"/>
      <c r="J20" s="25" t="s">
        <v>134</v>
      </c>
      <c r="K20" s="70"/>
    </row>
    <row r="21" spans="1:11" ht="15.75" customHeight="1">
      <c r="A21" s="25"/>
      <c r="B21" s="25" t="s">
        <v>103</v>
      </c>
      <c r="C21" s="25"/>
      <c r="D21" s="25"/>
      <c r="E21" s="25"/>
      <c r="F21" s="25"/>
      <c r="G21" s="25"/>
      <c r="H21" s="25"/>
      <c r="I21" s="25"/>
      <c r="J21" s="25" t="s">
        <v>165</v>
      </c>
      <c r="K21" s="70"/>
    </row>
    <row r="22" spans="1:11" ht="15.75" customHeight="1">
      <c r="A22" s="25"/>
      <c r="C22" s="25"/>
      <c r="D22" s="25"/>
      <c r="E22" s="25"/>
      <c r="F22" s="25"/>
      <c r="G22" s="25"/>
      <c r="H22" s="25"/>
      <c r="I22" s="25"/>
      <c r="J22" s="76" t="s">
        <v>169</v>
      </c>
      <c r="K22" s="70"/>
    </row>
    <row r="23" spans="1:11" ht="15.75" customHeight="1">
      <c r="A23" s="25"/>
      <c r="C23" s="25"/>
      <c r="D23" s="25"/>
      <c r="E23" s="25"/>
      <c r="F23" s="25"/>
      <c r="G23" s="25"/>
      <c r="H23" s="25"/>
      <c r="I23" s="25"/>
      <c r="J23" s="25" t="s">
        <v>167</v>
      </c>
      <c r="K23" s="70"/>
    </row>
    <row r="24" spans="1:11" ht="15.75" customHeight="1">
      <c r="A24" s="25"/>
      <c r="B24" s="65"/>
      <c r="C24" s="25"/>
      <c r="D24" s="25"/>
      <c r="E24" s="25"/>
      <c r="F24" s="25"/>
      <c r="G24" s="25"/>
      <c r="H24" s="25"/>
      <c r="I24" s="25"/>
      <c r="J24" s="25" t="s">
        <v>166</v>
      </c>
      <c r="K24" s="70"/>
    </row>
    <row r="25" spans="1:11" ht="15.75" customHeight="1">
      <c r="A25" s="25"/>
      <c r="C25" s="25"/>
      <c r="D25" s="25"/>
      <c r="E25" s="25"/>
      <c r="F25" s="25"/>
      <c r="G25" s="25"/>
      <c r="H25" s="25"/>
      <c r="I25" s="25"/>
      <c r="J25" s="25" t="s">
        <v>133</v>
      </c>
      <c r="K25" s="70"/>
    </row>
    <row r="26" spans="1:11" ht="15.75" customHeight="1">
      <c r="B26" s="65"/>
      <c r="H26" s="25"/>
    </row>
    <row r="27" spans="1:11" ht="15.75" customHeight="1">
      <c r="B27" s="65"/>
    </row>
    <row r="28" spans="1:11" ht="15.75" customHeight="1">
      <c r="B28" s="65"/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Timothy Driscoll</cp:lastModifiedBy>
  <dcterms:created xsi:type="dcterms:W3CDTF">2021-08-03T22:14:55Z</dcterms:created>
  <dcterms:modified xsi:type="dcterms:W3CDTF">2026-10-16T16:59:31Z</dcterms:modified>
</cp:coreProperties>
</file>