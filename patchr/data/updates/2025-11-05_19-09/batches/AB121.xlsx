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56CFB543-B53B-4847-82ED-60D421F1368C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<sst xmlns="http://schemas.openxmlformats.org/spreadsheetml/2006/main" count="466" uniqueCount="271">
  <si>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</si>
  <si>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</si>
  <si>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</si>
  <si>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</si>
  <si>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</si>
  <si>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</si>
  <si>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</si>
  <si>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</si>
  <si>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</si>
  <si>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</si>
  <si>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</si>
  <si>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</si>
  <si>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</si>
  <si>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</si>
  <si>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</si>
  <si>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</si>
  <si>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</si>
  <si>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</si>
  <si>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</si>
  <si>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</si>
  <si>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</si>
  <si>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</si>
  <si>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</si>
  <si>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</si>
  <si>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</si>
  <si>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</si>
  <si>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</si>
  <si>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</si>
  <si>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</si>
  <si>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</si>
  <si>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</si>
  <si>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</si>
  <si>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</si>
  <si>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</si>
  <si>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</si>
  <si>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</si>
  <si>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</si>
  <si>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</si>
  <si>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</si>
  <si>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</si>
  <si>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</si>
  <si>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</si>
  <si>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</si>
  <si>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</si>
  <si>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</si>
  <si>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</si>
  <si>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</si>
  <si>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</si>
  <si>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</si>
  <si>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</si>
  <si>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</si>
  <si>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</si>
  <si>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</si>
  <si>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</si>
  <si>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</si>
  <si>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</si>
  <si>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</si>
  <si>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</si>
  <si>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</si>
  <si>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</si>
  <si>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</si>
  <si>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</si>
  <si>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</si>
  <si>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</si>
  <si>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</si>
  <si>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</si>
  <si>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</si>
  <si>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</si>
  <si>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</si>
  <si>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</si>
  <si>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</si>
  <si>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</si>
  <si>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</si>
  <si>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</si>
  <si>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</si>
  <si>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</si>
  <si>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</si>
  <si>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</si>
  <si>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</si>
  <si>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</si>
  <si>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</si>
  <si>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</si>
  <si>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</si>
  <si>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</si>
  <si>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</si>
  <si>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</si>
  <si>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</si>
  <si>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</si>
  <si>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</si>
  <si>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</si>
  <si>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</si>
  <si>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</si>
  <si>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</si>
  <si>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</si>
  <si>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</si>
  <si>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</si>
  <si>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</si>
  <si>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</si>
  <si>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</si>
  <si>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</si>
  <si>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</si>
  <si>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</si>
  <si>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</si>
  <si>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</si>
  <si>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</si>
  <si>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</si>
  <si>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</si>
  <si>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</si>
  <si>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</si>
  <si>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</si>
  <si>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</si>
  <si>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</si>
  <si>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</si>
  <si>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</si>
  <si>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</si>
  <si>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</si>
  <si>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</si>
  <si>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</si>
  <si>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</si>
  <si>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</si>
  <si>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</si>
  <si>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</si>
  <si>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</si>
  <si>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</si>
  <si>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</si>
  <si>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</si>
  <si>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</si>
  <si>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</si>
  <si>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</si>
  <si>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</si>
  <si>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</si>
  <si>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</si>
  <si>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</si>
  <si>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</si>
  <si>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</si>
  <si>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</si>
  <si>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</si>
  <si>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</si>
  <si>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</si>
  <si>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</si>
  <si>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</si>
  <si>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</si>
  <si>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</si>
  <si>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</si>
  <si>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</si>
  <si>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</si>
  <si>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</si>
  <si>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</si>
  <si>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</si>
  <si>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</si>
  <si>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</si>
  <si>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</si>
  <si>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</si>
  <si>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</si>
  <si>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</si>
  <si>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</si>
  <si>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</si>
  <si>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</si>
  <si>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</si>
  <si>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</si>
  <si>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</si>
  <si>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</si>
  <si>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</si>
  <si>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</si>
  <si>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</si>
  <si>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</si>
  <si>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</si>
  <si>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</si>
  <si>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</si>
  <si>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</si>
  <si>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</si>
  <si>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</si>
  <si>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</si>
  <si>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</si>
  <si>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</si>
  <si>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</si>
  <si>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</si>
  <si>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</si>
  <si>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</si>
  <si>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</si>
  <si>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</si>
  <si>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</si>
  <si>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</si>
  <si>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</si>
  <si>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</si>
  <si>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</si>
  <si>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</si>
  <si>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</si>
  <si>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</si>
  <si>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</si>
  <si>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</si>
  <si>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</si>
  <si>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</si>
  <si>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</si>
  <si>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</si>
  <si>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</si>
  <si>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</si>
  <si>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</si>
  <si>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</si>
  <si>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</si>
  <si>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</si>
  <si>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</si>
  <si>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A01-1385</t>
  </si>
  <si>
    <t>A01-1386</t>
  </si>
  <si>
    <t>A01-1387</t>
  </si>
  <si>
    <t>A01-1388</t>
  </si>
  <si>
    <t>A01-1389</t>
  </si>
  <si>
    <t>A01-1392</t>
  </si>
  <si>
    <t>A02-1394</t>
  </si>
  <si>
    <t>A02-1395</t>
  </si>
  <si>
    <t>A02-1396</t>
  </si>
  <si>
    <t>A02-1397</t>
  </si>
  <si>
    <t>C01-1016</t>
  </si>
  <si>
    <t>C01-1017</t>
  </si>
  <si>
    <t>C01-1018</t>
  </si>
  <si>
    <t>C01-1019</t>
  </si>
  <si>
    <t>C01-1020</t>
  </si>
  <si>
    <t>K01-0552</t>
  </si>
  <si>
    <t>H01-1004</t>
  </si>
  <si>
    <t>D01-0616</t>
  </si>
  <si>
    <t>Q01-0636</t>
  </si>
  <si>
    <t>A04-0677</t>
  </si>
  <si>
    <t>A04-0682</t>
  </si>
  <si>
    <t>R02-0557</t>
  </si>
  <si>
    <t>F01-0149</t>
  </si>
  <si>
    <t>U01-0167</t>
  </si>
  <si>
    <t>J01-0557</t>
  </si>
  <si>
    <t>G01-0641</t>
  </si>
  <si>
    <t>L01-0656</t>
  </si>
  <si>
    <t>M03-0530</t>
  </si>
  <si>
    <t>N02-0573</t>
  </si>
  <si>
    <t>P01-1000</t>
  </si>
  <si>
    <t>O01-0584</t>
  </si>
  <si>
    <t>Q01-0638</t>
  </si>
  <si>
    <t>ntc</t>
  </si>
  <si>
    <t>NAB 158 D1</t>
  </si>
  <si>
    <t>E1</t>
  </si>
  <si>
    <t>F1</t>
  </si>
  <si>
    <t>G1</t>
  </si>
  <si>
    <t>D2</t>
  </si>
  <si>
    <t>E2</t>
  </si>
  <si>
    <t>F2</t>
  </si>
  <si>
    <t>G2</t>
  </si>
  <si>
    <t>D3</t>
  </si>
  <si>
    <t>E3</t>
  </si>
  <si>
    <t>F3</t>
  </si>
  <si>
    <t>G3</t>
  </si>
  <si>
    <t>D4</t>
  </si>
  <si>
    <t>E4</t>
  </si>
  <si>
    <t>F4</t>
  </si>
  <si>
    <t>G4</t>
  </si>
  <si>
    <t>D5</t>
  </si>
  <si>
    <t>E5</t>
  </si>
  <si>
    <t>F5</t>
  </si>
  <si>
    <t>G5</t>
  </si>
  <si>
    <t>D6</t>
  </si>
  <si>
    <t>E6</t>
  </si>
  <si>
    <t>F6</t>
  </si>
  <si>
    <t>G6</t>
  </si>
  <si>
    <t>D7</t>
  </si>
  <si>
    <t>E7</t>
  </si>
  <si>
    <t>F7</t>
  </si>
  <si>
    <t>G7</t>
  </si>
  <si>
    <t>D8</t>
  </si>
  <si>
    <t>E8</t>
  </si>
  <si>
    <t>F8</t>
  </si>
  <si>
    <t>G8</t>
  </si>
  <si>
    <t>buffer</t>
  </si>
  <si>
    <t>JL</t>
  </si>
  <si>
    <t>AB121</t>
  </si>
  <si>
    <t>A05,B05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</si>
</sst>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zoomScale="89" zoomScaleNormal="70" workbookViewId="0">
      <selection activeCell="B13" sqref="B13"/>
    </sheetView>
  </sheetViews>
  <sheetFormatPr defaultColWidth="11.453125" defaultRowHeight="15" customHeight="1" x14ac:dyDescent="0.35"/>
  <cols>
    <col min="1" max="1" width="51.54296875" style="43" customWidth="1"/>
    <col min="2" max="2" width="113.81640625" style="43" bestFit="1" customWidth="1"/>
    <col min="3" max="3" width="93.81640625" style="43" customWidth="1"/>
    <col min="4" max="26" width="26" style="43" customWidth="1"/>
    <col min="27" max="16384" width="11.453125" style="43"/>
  </cols>
  <sheetData>
    <row r="1" spans="1:26" ht="31.95" customHeight="1" x14ac:dyDescent="0.35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1.95" customHeight="1" thickBot="1" x14ac:dyDescent="0.4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35">
      <c r="A3" s="46" t="s">
        <v>1</v>
      </c>
      <c r="B3" s="47">
        <v>45964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35">
      <c r="A4" s="42" t="s">
        <v>2</v>
      </c>
      <c r="B4" s="42" t="s">
        <v>268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35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35">
      <c r="A6" s="49" t="s">
        <v>120</v>
      </c>
      <c r="B6" s="49" t="s">
        <v>269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35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35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35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35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35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35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35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35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35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4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.05" customHeight="1" x14ac:dyDescent="0.35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.05" customHeight="1" x14ac:dyDescent="0.35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.05" customHeight="1" x14ac:dyDescent="0.35">
      <c r="A19" s="51" t="s">
        <v>113</v>
      </c>
      <c r="B19" s="52" t="s">
        <v>197</v>
      </c>
      <c r="C19"/>
    </row>
    <row r="20" spans="1:26" ht="25.05" customHeight="1" x14ac:dyDescent="0.35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.05" customHeight="1" x14ac:dyDescent="0.35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.05" customHeight="1" x14ac:dyDescent="0.35">
      <c r="A22" s="53" t="s">
        <v>79</v>
      </c>
      <c r="B22" s="54" t="s">
        <v>89</v>
      </c>
      <c r="C22"/>
    </row>
    <row r="23" spans="1:26" ht="25.05" customHeight="1" x14ac:dyDescent="0.35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.05" customHeight="1" x14ac:dyDescent="0.35">
      <c r="A24" s="53" t="s">
        <v>75</v>
      </c>
      <c r="B24" s="54" t="s">
        <v>130</v>
      </c>
      <c r="C24"/>
    </row>
    <row r="25" spans="1:26" ht="25.05" customHeight="1" x14ac:dyDescent="0.35">
      <c r="A25" s="56" t="s">
        <v>116</v>
      </c>
      <c r="B25" s="55" t="s">
        <v>270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.05" customHeight="1" x14ac:dyDescent="0.35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.05" customHeight="1" x14ac:dyDescent="0.35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.05" customHeight="1" x14ac:dyDescent="0.35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.05" customHeight="1" x14ac:dyDescent="0.35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.05" customHeight="1" x14ac:dyDescent="0.35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.05" customHeight="1" thickBot="1" x14ac:dyDescent="0.4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35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35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35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35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35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35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35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35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35">
      <c r="A40" s="56" t="s">
        <v>116</v>
      </c>
      <c r="B40" s="55" t="s">
        <v>270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35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35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35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35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35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4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35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35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35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35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35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35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35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35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35">
      <c r="A55" s="56" t="s">
        <v>116</v>
      </c>
      <c r="B55" s="55" t="s">
        <v>270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35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35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35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35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35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4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35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35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35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35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35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35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35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35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35">
      <c r="A70" s="56" t="s">
        <v>116</v>
      </c>
      <c r="B70" s="55" t="s">
        <v>270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35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35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35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35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35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4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35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35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35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35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35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35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35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35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35">
      <c r="A85" s="56" t="s">
        <v>116</v>
      </c>
      <c r="B85" s="55" t="s">
        <v>270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35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35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35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35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35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4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3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3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3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3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3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3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3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3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3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3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3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3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3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3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3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3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3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3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3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3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3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3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3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3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3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3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3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3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3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3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3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3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3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3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3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3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3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3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3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3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3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3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3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3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3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3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3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3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3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3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3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3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3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3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3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3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3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3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3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3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3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3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3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3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3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3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3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3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3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3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3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3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3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3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3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3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3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3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3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3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3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3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3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3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3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3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3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3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3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3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3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3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3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3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3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3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3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3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3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3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3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3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3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3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3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3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3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3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3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3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3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3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3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3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3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3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3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3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3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3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3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3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3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3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3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3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3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3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3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3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3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3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3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3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3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3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3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3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3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3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3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3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3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3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3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3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3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3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3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3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3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3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3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3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3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3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3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3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3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3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3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3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3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3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3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3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3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3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3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3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3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3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3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3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3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3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3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3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3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3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3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3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3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3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3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3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3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3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3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3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3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3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3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3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3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3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3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3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3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3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3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3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3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3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3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3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3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3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3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3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3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3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3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3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3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3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3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3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3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3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3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3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3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3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3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3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3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3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3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3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3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3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3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3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3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3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3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3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3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3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3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3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3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3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3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3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3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3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3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3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3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3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3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3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3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3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3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3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3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3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3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3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3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3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3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3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3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3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3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3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3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3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3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3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3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3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3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3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3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3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3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3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3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3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3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3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3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3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3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3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3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3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3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3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3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3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3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3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3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3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3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3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3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3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3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3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3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3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3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3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3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3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3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3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3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3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3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3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3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3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3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3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3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3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3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3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3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3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3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3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3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3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3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3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3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3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3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3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3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3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3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3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3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3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3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3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3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3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3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3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3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3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3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3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3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3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3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3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3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3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3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3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3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3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3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3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3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3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3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3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3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3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3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3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3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3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3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3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3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3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3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3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3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3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3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3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3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3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3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3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3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3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3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3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3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3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3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3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3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3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3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3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3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3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3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3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3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3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3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3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3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3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3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3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3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3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3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3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3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3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3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3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3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3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3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3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3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3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3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3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3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3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3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3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3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3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3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3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3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3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3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3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3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3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3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3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3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3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3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3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3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3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3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3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3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3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3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3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3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3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3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3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3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3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3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3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3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3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3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3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3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3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3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3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3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3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3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3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3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3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3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3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3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3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3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3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3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3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3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3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3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3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3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3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3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3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3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3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3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3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3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3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3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3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3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3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3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3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3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3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3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3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3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3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3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3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3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3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3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3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3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3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3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3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3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3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3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3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3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3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3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3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3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3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3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3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3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3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3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3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3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3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3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3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3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3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3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3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3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3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3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3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3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3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3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3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3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3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3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3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3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3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3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3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3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3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3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3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3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3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3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3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3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3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3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3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3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3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3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3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3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3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3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3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3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3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3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3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3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3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3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3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3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3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3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3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3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3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3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3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3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3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3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3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3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3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3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3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3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3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3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3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3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3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3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3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3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3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3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3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3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3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3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3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3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3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3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3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3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3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3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3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3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3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3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3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3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3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3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3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3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3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3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3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3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3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3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3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3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3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3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3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3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3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3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3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3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3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3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3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3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3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3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3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3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3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3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3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3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3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3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3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3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3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3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3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3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3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3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3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3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3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3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3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3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3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3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3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3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3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3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3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3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3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3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3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3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3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3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3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3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3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3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3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3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3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3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3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3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3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3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3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3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3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3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3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3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3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3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3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3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3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3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3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3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3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3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3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3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3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3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3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3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3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3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3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3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3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3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3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3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3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3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3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3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3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3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3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3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3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3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3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3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3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3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3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3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3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3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3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3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3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3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3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3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3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3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3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3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3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3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3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3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3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3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3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3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3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3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3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3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3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3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3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3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3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3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3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3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3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3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3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3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3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3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3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3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3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3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3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3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3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3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3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3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3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3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3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3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3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3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3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3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3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3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50" zoomScaleNormal="50" workbookViewId="0">
      <selection activeCell="F4" sqref="F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 t="s">
        <v>202</v>
      </c>
      <c r="C2" s="37" t="s">
        <v>210</v>
      </c>
      <c r="D2" s="36" t="s">
        <v>218</v>
      </c>
      <c r="E2" s="37" t="s">
        <v>226</v>
      </c>
      <c r="F2" s="36" t="s">
        <v>234</v>
      </c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 t="s">
        <v>203</v>
      </c>
      <c r="C3" s="36" t="s">
        <v>211</v>
      </c>
      <c r="D3" s="37" t="s">
        <v>219</v>
      </c>
      <c r="E3" s="36" t="s">
        <v>227</v>
      </c>
      <c r="F3" s="37" t="s">
        <v>234</v>
      </c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 t="s">
        <v>204</v>
      </c>
      <c r="C4" s="37" t="s">
        <v>212</v>
      </c>
      <c r="D4" s="36" t="s">
        <v>220</v>
      </c>
      <c r="E4" s="37" t="s">
        <v>228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 t="s">
        <v>205</v>
      </c>
      <c r="C5" s="36" t="s">
        <v>213</v>
      </c>
      <c r="D5" s="37" t="s">
        <v>221</v>
      </c>
      <c r="E5" s="36" t="s">
        <v>229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 t="s">
        <v>206</v>
      </c>
      <c r="C6" s="37" t="s">
        <v>214</v>
      </c>
      <c r="D6" s="36" t="s">
        <v>222</v>
      </c>
      <c r="E6" s="37" t="s">
        <v>230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 t="s">
        <v>207</v>
      </c>
      <c r="C7" s="36" t="s">
        <v>215</v>
      </c>
      <c r="D7" s="37" t="s">
        <v>223</v>
      </c>
      <c r="E7" s="36" t="s">
        <v>231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 t="s">
        <v>208</v>
      </c>
      <c r="C8" s="37" t="s">
        <v>216</v>
      </c>
      <c r="D8" s="36" t="s">
        <v>224</v>
      </c>
      <c r="E8" s="37" t="s">
        <v>232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 t="s">
        <v>209</v>
      </c>
      <c r="C9" s="36" t="s">
        <v>217</v>
      </c>
      <c r="D9" s="37" t="s">
        <v>225</v>
      </c>
      <c r="E9" s="36" t="s">
        <v>233</v>
      </c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tabSelected="1" zoomScale="50" zoomScaleNormal="50" workbookViewId="0">
      <selection activeCell="H9" sqref="H9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 t="s">
        <v>235</v>
      </c>
      <c r="C2" s="37" t="s">
        <v>236</v>
      </c>
      <c r="D2" s="36" t="s">
        <v>237</v>
      </c>
      <c r="E2" s="37" t="s">
        <v>238</v>
      </c>
      <c r="F2" s="36" t="s">
        <v>234</v>
      </c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 t="s">
        <v>239</v>
      </c>
      <c r="C3" s="36" t="s">
        <v>240</v>
      </c>
      <c r="D3" s="37" t="s">
        <v>241</v>
      </c>
      <c r="E3" s="36" t="s">
        <v>242</v>
      </c>
      <c r="F3" s="37" t="s">
        <v>234</v>
      </c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 t="s">
        <v>243</v>
      </c>
      <c r="C4" s="37" t="s">
        <v>244</v>
      </c>
      <c r="D4" s="36" t="s">
        <v>245</v>
      </c>
      <c r="E4" s="37" t="s">
        <v>246</v>
      </c>
      <c r="F4" s="36" t="s">
        <v>267</v>
      </c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 t="s">
        <v>247</v>
      </c>
      <c r="C5" s="36" t="s">
        <v>248</v>
      </c>
      <c r="D5" s="37" t="s">
        <v>249</v>
      </c>
      <c r="E5" s="36" t="s">
        <v>250</v>
      </c>
      <c r="F5" s="37" t="s">
        <v>267</v>
      </c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 t="s">
        <v>251</v>
      </c>
      <c r="C6" s="37" t="s">
        <v>252</v>
      </c>
      <c r="D6" s="36" t="s">
        <v>253</v>
      </c>
      <c r="E6" s="37" t="s">
        <v>254</v>
      </c>
      <c r="F6" s="36" t="s">
        <v>267</v>
      </c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 t="s">
        <v>255</v>
      </c>
      <c r="C7" s="36" t="s">
        <v>256</v>
      </c>
      <c r="D7" s="37" t="s">
        <v>257</v>
      </c>
      <c r="E7" s="36" t="s">
        <v>258</v>
      </c>
      <c r="F7" s="37" t="s">
        <v>267</v>
      </c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 t="s">
        <v>259</v>
      </c>
      <c r="C8" s="37" t="s">
        <v>260</v>
      </c>
      <c r="D8" s="36" t="s">
        <v>261</v>
      </c>
      <c r="E8" s="37" t="s">
        <v>262</v>
      </c>
      <c r="F8" s="36" t="s">
        <v>267</v>
      </c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 t="s">
        <v>263</v>
      </c>
      <c r="C9" s="36" t="s">
        <v>264</v>
      </c>
      <c r="D9" s="37" t="s">
        <v>265</v>
      </c>
      <c r="E9" s="36" t="s">
        <v>266</v>
      </c>
      <c r="F9" s="37" t="s">
        <v>267</v>
      </c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3" activePane="bottomLeft" state="frozen"/>
      <selection pane="bottomLeft" activeCell="G7" sqref="G7"/>
    </sheetView>
  </sheetViews>
  <sheetFormatPr defaultColWidth="11.45312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5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5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5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5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5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5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5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5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5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3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5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5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5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5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5">
      <c r="A18" s="18"/>
      <c r="B18" s="12"/>
      <c r="C18" s="12"/>
      <c r="D18" s="12"/>
    </row>
    <row r="19" spans="1:26" ht="27" customHeight="1" x14ac:dyDescent="0.25">
      <c r="A19" s="75" t="s">
        <v>24</v>
      </c>
      <c r="B19" s="76"/>
      <c r="C19" s="76"/>
      <c r="D19" s="77"/>
    </row>
    <row r="20" spans="1:26" ht="15.75" customHeight="1" x14ac:dyDescent="0.35">
      <c r="A20" s="19" t="s">
        <v>25</v>
      </c>
      <c r="B20" s="17" t="s">
        <v>26</v>
      </c>
      <c r="C20" s="20"/>
      <c r="D20" s="20"/>
    </row>
    <row r="21" spans="1:26" ht="15.75" customHeight="1" x14ac:dyDescent="0.35">
      <c r="A21" s="19" t="s">
        <v>27</v>
      </c>
      <c r="B21" s="17" t="s">
        <v>28</v>
      </c>
      <c r="C21" s="20"/>
      <c r="D21" s="20"/>
    </row>
    <row r="22" spans="1:26" ht="15.75" customHeight="1" x14ac:dyDescent="0.35">
      <c r="A22" s="19" t="s">
        <v>29</v>
      </c>
      <c r="B22" s="17" t="s">
        <v>30</v>
      </c>
      <c r="C22" s="20"/>
      <c r="D22" s="20"/>
    </row>
    <row r="23" spans="1:26" ht="51" customHeight="1" x14ac:dyDescent="0.25"/>
    <row r="24" spans="1:26" ht="31.5" customHeight="1" x14ac:dyDescent="0.25">
      <c r="A24" s="21" t="s">
        <v>31</v>
      </c>
      <c r="B24" s="22">
        <f>COUNTIF('Sample IDs'!B2:M9,"&lt;&gt;"&amp;"")</f>
        <v>34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5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5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5">
      <c r="A28" s="27" t="s">
        <v>36</v>
      </c>
      <c r="B28" s="28">
        <f>ROUNDUP(B33-B29-B30-B31-($B$5*B32),0)</f>
        <v>248</v>
      </c>
      <c r="C28" s="29"/>
      <c r="D28" s="29"/>
      <c r="E28" s="8"/>
      <c r="F28" s="8"/>
      <c r="L28" s="8"/>
    </row>
    <row r="29" spans="1:26" ht="15.75" customHeight="1" x14ac:dyDescent="0.35">
      <c r="A29" s="27" t="s">
        <v>37</v>
      </c>
      <c r="B29" s="28">
        <f>ROUNDUP(5.5*($B$24*B25),0)</f>
        <v>206</v>
      </c>
      <c r="C29" s="30" t="s">
        <v>38</v>
      </c>
      <c r="D29" s="29"/>
      <c r="E29" s="8"/>
      <c r="F29" s="8"/>
      <c r="L29" s="8"/>
    </row>
    <row r="30" spans="1:26" ht="15.75" customHeight="1" x14ac:dyDescent="0.35">
      <c r="A30" s="27" t="s">
        <v>39</v>
      </c>
      <c r="B30" s="28">
        <f>ROUNDUP(2.2*($B$24*B25),1)</f>
        <v>82.3</v>
      </c>
      <c r="C30" s="30" t="s">
        <v>38</v>
      </c>
      <c r="D30" s="29"/>
      <c r="E30" s="8"/>
      <c r="F30" s="8"/>
      <c r="L30" s="8"/>
    </row>
    <row r="31" spans="1:26" ht="15.75" customHeight="1" x14ac:dyDescent="0.35">
      <c r="A31" s="27" t="s">
        <v>40</v>
      </c>
      <c r="B31" s="28">
        <f>ROUNDUP(1.1*$B$24*B25,1)</f>
        <v>41.2</v>
      </c>
      <c r="C31" s="30" t="s">
        <v>38</v>
      </c>
      <c r="D31" s="29"/>
      <c r="E31" s="8"/>
      <c r="F31" s="8"/>
      <c r="L31" s="8"/>
    </row>
    <row r="32" spans="1:26" ht="15.75" customHeight="1" x14ac:dyDescent="0.35">
      <c r="A32" s="27" t="s">
        <v>41</v>
      </c>
      <c r="B32" s="28">
        <f>ROUNDUP(1.1*$B$24*B25,1)</f>
        <v>41.2</v>
      </c>
      <c r="C32" s="30" t="s">
        <v>38</v>
      </c>
      <c r="D32" s="29"/>
      <c r="E32" s="8"/>
      <c r="F32" s="8"/>
      <c r="L32" s="8"/>
    </row>
    <row r="33" spans="1:12" ht="15.75" customHeight="1" x14ac:dyDescent="0.35">
      <c r="A33" s="31" t="s">
        <v>42</v>
      </c>
      <c r="B33" s="32">
        <f>ROUNDUP(B25*$B$24*16.5,0)</f>
        <v>618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defaultColWidth="11.453125" defaultRowHeight="15" customHeight="1" x14ac:dyDescent="0.25"/>
  <cols>
    <col min="1" max="1" width="13" customWidth="1"/>
    <col min="2" max="2" width="42.1796875" bestFit="1" customWidth="1"/>
    <col min="3" max="3" width="25.54296875" customWidth="1"/>
    <col min="4" max="4" width="17.1796875" customWidth="1"/>
    <col min="5" max="5" width="21.26953125" customWidth="1"/>
    <col min="6" max="6" width="17.453125" customWidth="1"/>
    <col min="7" max="7" width="19.54296875" customWidth="1"/>
    <col min="8" max="8" width="13.453125" customWidth="1"/>
    <col min="9" max="9" width="44.7265625" customWidth="1"/>
    <col min="10" max="10" width="18.453125" customWidth="1"/>
    <col min="11" max="11" width="21.54296875" customWidth="1"/>
    <col min="12" max="12" width="86.453125" bestFit="1" customWidth="1"/>
    <col min="13" max="13" width="20.1796875" customWidth="1"/>
    <col min="14" max="14" width="12.7265625" customWidth="1"/>
    <col min="15" max="29" width="10.54296875" customWidth="1"/>
  </cols>
  <sheetData>
    <row r="1" spans="1:14" ht="15.75" customHeight="1" x14ac:dyDescent="0.3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5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5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5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5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5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5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5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5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5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5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5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5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5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5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5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5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5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5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5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5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5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5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5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5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5">
      <c r="B26" s="73" t="s">
        <v>144</v>
      </c>
      <c r="D26" s="63" t="s">
        <v>106</v>
      </c>
    </row>
    <row r="27" spans="1:13" ht="15.75" customHeight="1" x14ac:dyDescent="0.25">
      <c r="B27" s="63" t="s">
        <v>70</v>
      </c>
      <c r="D27" s="63" t="s">
        <v>105</v>
      </c>
    </row>
    <row r="28" spans="1:13" ht="15.75" customHeight="1" x14ac:dyDescent="0.25">
      <c r="B28" s="63" t="s">
        <v>68</v>
      </c>
      <c r="D28" s="63" t="s">
        <v>149</v>
      </c>
    </row>
    <row r="29" spans="1:13" ht="15.75" customHeight="1" x14ac:dyDescent="0.25">
      <c r="D29" s="63" t="s">
        <v>68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2025-11-03T18:08:58Z</dcterms:modified>
</cp:coreProperties>
</file>