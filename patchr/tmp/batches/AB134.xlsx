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github/watch-wv/patchr/tmp/batches/"/>
    </mc:Choice>
  </mc:AlternateContent>
  <xr:revisionPtr revIDLastSave="0" documentId="13_ncr:1_{DB635780-A0D2-434F-A9C4-551966EA8BA6}" xr6:coauthVersionLast="47" xr6:coauthVersionMax="47" xr10:uidLastSave="{00000000-0000-0000-0000-000000000000}"/>
  <bookViews>
    <workbookView xWindow="54060" yWindow="3660" windowWidth="28220" windowHeight="21600" activeTab="6" xr2:uid="{00000000-000D-0000-FFFF-FFFF00000000}"/>
  </bookViews>
  <sheets>
    <sheet name="Metadata" sheetId="1" r:id="rId1"/>
    <sheet name="Sample IDs" sheetId="2" r:id="rId2"/>
    <sheet name="Comments" sheetId="3" r:id="rId3"/>
    <sheet name="Volume Overrides" sheetId="4" r:id="rId4"/>
    <sheet name="Storage Locations" sheetId="5" r:id="rId5"/>
    <sheet name="Run Setup" sheetId="6" r:id="rId6"/>
    <sheet name="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b7NkkVgXzkMExx5ZTk8rqdKkg5cCM3Jfl8krX2EVCE="/>
    </ext>
  </extLst>
</workbook>
</file>

<file path=xl/calcChain.xml><?xml version="1.0" encoding="utf-8"?>
<calcChain xmlns="http://schemas.openxmlformats.org/spreadsheetml/2006/main">
  <c r="B24" i="6" l="1"/>
  <c r="B8" i="6"/>
  <c r="B33" i="6" l="1"/>
  <c r="B32" i="6"/>
  <c r="B30" i="6"/>
  <c r="B31" i="6"/>
  <c r="B29" i="6"/>
  <c r="B28" i="6" l="1"/>
</calcChain>
</file>

<file path=xl/sharedStrings.xml><?xml version="1.0" encoding="utf-8"?>
<sst xmlns="http://schemas.openxmlformats.org/spreadsheetml/2006/main" count="337" uniqueCount="217">
  <si>
    <t>Batch Type</t>
  </si>
  <si>
    <t>Assay</t>
  </si>
  <si>
    <t>Batch Record Version</t>
  </si>
  <si>
    <t>2.0.3</t>
  </si>
  <si>
    <t>Date</t>
  </si>
  <si>
    <t>Run by</t>
  </si>
  <si>
    <t>JL</t>
  </si>
  <si>
    <t>Machine</t>
  </si>
  <si>
    <t>Zoo QX600</t>
  </si>
  <si>
    <t>Batch ID</t>
  </si>
  <si>
    <t>AB134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</si>
  <si>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</si>
  <si>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</si>
  <si>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</si>
  <si>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</si>
  <si>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Amplification Method</t>
  </si>
  <si>
    <t>Bio-Rad OneStep RT-ddPCR Advanced Kit for Probes</t>
  </si>
  <si>
    <t>Amplification Method Lot ID</t>
  </si>
  <si>
    <t>Quantification Type</t>
  </si>
  <si>
    <t>Direct Quantification (dPCR; ddPCR)</t>
  </si>
  <si>
    <t>Assay Method</t>
  </si>
  <si>
    <t>GTM GT-Digital Flu;SC2;RSV Wastewater Surveillance Panel v1.0 for the Bio-Rad QX600 (100735)</t>
  </si>
  <si>
    <t>Assay Method Lot ID</t>
  </si>
  <si>
    <t>Batch Comment</t>
  </si>
  <si>
    <t>None</t>
  </si>
  <si>
    <t>Target Fluorophore</t>
  </si>
  <si>
    <t>FAM</t>
  </si>
  <si>
    <t>Target</t>
  </si>
  <si>
    <t>Influenza Virus A (M)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</si>
  <si>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</si>
  <si>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</si>
  <si>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</si>
  <si>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</si>
  <si>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</si>
  <si>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</si>
  <si>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Control 1 Macromolecule</t>
  </si>
  <si>
    <t>Control 1 Well</t>
  </si>
  <si>
    <t>D04,E04,F04,G04,H04</t>
  </si>
  <si>
    <t>Control 1 Predicted Copies Per uL Reaction</t>
  </si>
  <si>
    <t>HEX</t>
  </si>
  <si>
    <t>Respiratory Syncitial Virus, Bovine</t>
  </si>
  <si>
    <t>Cy5</t>
  </si>
  <si>
    <t>Respiratory Syncitial Virus, Human (G)</t>
  </si>
  <si>
    <t>Cy5.5</t>
  </si>
  <si>
    <t>Influenza Virus B (NEP/NS1)</t>
  </si>
  <si>
    <t>ROX</t>
  </si>
  <si>
    <t>SARS-CoV-2 (SC2)</t>
  </si>
  <si>
    <t>A</t>
  </si>
  <si>
    <t>A01-1476</t>
  </si>
  <si>
    <t>C01-1170</t>
  </si>
  <si>
    <t>Q01-1011</t>
  </si>
  <si>
    <t>N02-0583</t>
  </si>
  <si>
    <t>B</t>
  </si>
  <si>
    <t>A01-1477</t>
  </si>
  <si>
    <t>C01-1171</t>
  </si>
  <si>
    <t>U01-0109</t>
  </si>
  <si>
    <t>J01-1012</t>
  </si>
  <si>
    <t>C</t>
  </si>
  <si>
    <t>A01-1478</t>
  </si>
  <si>
    <t>C01-1172</t>
  </si>
  <si>
    <t>Q01-1012</t>
  </si>
  <si>
    <t>H01-1018</t>
  </si>
  <si>
    <t>D</t>
  </si>
  <si>
    <t>A01-1479</t>
  </si>
  <si>
    <t>R02-1012</t>
  </si>
  <si>
    <t>O01-0577</t>
  </si>
  <si>
    <t>ntc</t>
  </si>
  <si>
    <t>E</t>
  </si>
  <si>
    <t>A01-1480</t>
  </si>
  <si>
    <t>D01-1010</t>
  </si>
  <si>
    <t>M04-0433</t>
  </si>
  <si>
    <t>F</t>
  </si>
  <si>
    <t>A01-1481</t>
  </si>
  <si>
    <t>K01-0464</t>
  </si>
  <si>
    <t>M03-1007</t>
  </si>
  <si>
    <t>G</t>
  </si>
  <si>
    <t>C01-1168</t>
  </si>
  <si>
    <t>A10-0001</t>
  </si>
  <si>
    <t>M03-1008</t>
  </si>
  <si>
    <t>H</t>
  </si>
  <si>
    <t>C01-1169</t>
  </si>
  <si>
    <t>A04-0595</t>
  </si>
  <si>
    <t>P01-1008</t>
  </si>
  <si>
    <t>NAB-162 L1</t>
  </si>
  <si>
    <t>NAB-163 A1</t>
  </si>
  <si>
    <t>B1</t>
  </si>
  <si>
    <t>C1</t>
  </si>
  <si>
    <t>L2</t>
  </si>
  <si>
    <t>A2</t>
  </si>
  <si>
    <t>B2</t>
  </si>
  <si>
    <t>C2</t>
  </si>
  <si>
    <t>L3</t>
  </si>
  <si>
    <t>A3</t>
  </si>
  <si>
    <t>B3</t>
  </si>
  <si>
    <t>C3</t>
  </si>
  <si>
    <t>L4</t>
  </si>
  <si>
    <t>A4</t>
  </si>
  <si>
    <t>B4</t>
  </si>
  <si>
    <t>L5</t>
  </si>
  <si>
    <t>A5</t>
  </si>
  <si>
    <t>B5</t>
  </si>
  <si>
    <t>L6</t>
  </si>
  <si>
    <t>A6</t>
  </si>
  <si>
    <t>B6</t>
  </si>
  <si>
    <t>L7</t>
  </si>
  <si>
    <t>A7</t>
  </si>
  <si>
    <t>B7</t>
  </si>
  <si>
    <t>L8</t>
  </si>
  <si>
    <t>A8</t>
  </si>
  <si>
    <t>B8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</si>
  <si>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</si>
  <si>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</si>
  <si>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</si>
  <si>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</si>
  <si>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</si>
  <si>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</si>
  <si>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</si>
  <si>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</si>
  <si>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</si>
  <si>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</si>
  <si>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</si>
  <si>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</si>
  <si>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</si>
  <si>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</si>
  <si>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</si>
  <si>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</si>
  <si>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</si>
  <si>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</si>
  <si>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</si>
  <si>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</si>
  <si>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</si>
  <si>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</si>
  <si>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</si>
  <si>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</si>
  <si>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</si>
  <si>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</si>
  <si>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</si>
  <si>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</si>
  <si>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</si>
  <si>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</si>
  <si>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</si>
  <si>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</si>
  <si>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</si>
  <si>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</si>
  <si>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</si>
  <si>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</si>
  <si>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</si>
  <si>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</si>
  <si>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</si>
  <si>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</si>
  <si>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</si>
  <si>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</si>
  <si>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</si>
  <si>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</si>
  <si>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</si>
  <si>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</si>
  <si>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</si>
  <si>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</si>
  <si>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</si>
  <si>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</si>
  <si>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</si>
  <si>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</si>
  <si>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QX200</t>
  </si>
  <si>
    <t>Pathogen</t>
  </si>
  <si>
    <t>NA</t>
  </si>
  <si>
    <t>SARS-CoV-2 (N1)</t>
  </si>
  <si>
    <t>Gene or Genomic Region</t>
  </si>
  <si>
    <t>DNA</t>
  </si>
  <si>
    <t>Oligomer</t>
  </si>
  <si>
    <t>PCR Positive</t>
  </si>
  <si>
    <t>Bio-Rad ddPCR Supermix for Probes</t>
  </si>
  <si>
    <t>Indirect Quantification (real-time PCR)</t>
  </si>
  <si>
    <t>GTM GT-Digital MeV WT Wastewater Surveillance Assay v1.0 for the QX200/QX600 (100840)</t>
  </si>
  <si>
    <t>Human</t>
  </si>
  <si>
    <t>Zoo Qiacuity 1</t>
  </si>
  <si>
    <t>SARS-CoV-2 (N2)</t>
  </si>
  <si>
    <t>Internal Control</t>
  </si>
  <si>
    <t>SARS-CoV-2</t>
  </si>
  <si>
    <t>Other</t>
  </si>
  <si>
    <t>-----------------------------</t>
  </si>
  <si>
    <t>Rare Mutation Detection</t>
  </si>
  <si>
    <t>GTM dPCR NVO;Mpox Assay Kit v1.0 for the QX200-BETA (100458)</t>
  </si>
  <si>
    <t>Avian</t>
  </si>
  <si>
    <t>Human (RNase P)</t>
  </si>
  <si>
    <t>Protein</t>
  </si>
  <si>
    <t>LV-SARS_N</t>
  </si>
  <si>
    <t>QIAcuity OneStep Advanced Probe Kit</t>
  </si>
  <si>
    <t>GTM dPCR NVO;Mpox Assay Kit v1.0 for the QX200-BETA (100458) plus GT-Digitial Mpox Clade I OPG210 ROX Add-On for the QX600 (100865)</t>
  </si>
  <si>
    <t>Swine</t>
  </si>
  <si>
    <t>Human Immunodeficiency Virus 1</t>
  </si>
  <si>
    <t>Influenza A</t>
  </si>
  <si>
    <t>GTM dPCR Norovirus GI;GII Assay Kit for the Bio-Rad QX200 (100468)</t>
  </si>
  <si>
    <t>Multiple</t>
  </si>
  <si>
    <t>Human Immunodeficiency Virus 2</t>
  </si>
  <si>
    <t>Influenza B</t>
  </si>
  <si>
    <t>ATTO 590</t>
  </si>
  <si>
    <t>PMMoV</t>
  </si>
  <si>
    <t>FAM/HEX</t>
  </si>
  <si>
    <t>Bio-Rad Influenza A (M), B (NEP/NS1), Human (RNAse P) Triplex (dEXD84844642)</t>
  </si>
  <si>
    <t>Cy5/Cy5.5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</si>
  <si>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</si>
  <si>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</si>
  <si>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</si>
  <si>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</si>
  <si>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Non-Variola Orthopoxviruses</t>
  </si>
  <si>
    <t>Bio-Rad SARS-CoV-2 (N1) (dEXD54243734)</t>
  </si>
  <si>
    <t>Norovirus GI, Human (ORF1_2)</t>
  </si>
  <si>
    <t>Bio-Rad SARS-CoV-2 (N2) (dEXD28513507)</t>
  </si>
  <si>
    <t>Norovirus GII, Human (ORF1_2)</t>
  </si>
  <si>
    <t>Bio-Rad Variant SARS-CoV-2 Multiplex (dEXD15841942)</t>
  </si>
  <si>
    <t>Pepper Mild Mottle Virus</t>
  </si>
  <si>
    <t>GTM GT-Digital infA;infB Assay Kit v1.1 for the QIAcuity-BETA (100519-1.1)</t>
  </si>
  <si>
    <t>GTM GT-Digital MeV WT M Gene WW Surveillance Assay v1.0 for the Qiacuity-BETA (101035)</t>
  </si>
  <si>
    <t>Custom Design</t>
  </si>
  <si>
    <t>Measles Virus, Wild-Type (N)</t>
  </si>
  <si>
    <t>Mpox Virus Clade I (F3L)</t>
  </si>
  <si>
    <t>Mpox Virus Clade II (F3L)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</si>
</sst>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9" borderId="5" xfId="0" applyFont="1" applyFill="1" applyBorder="1" applyAlignment="1">
      <alignment horizontal="right" vertical="center"/>
    </xf>
    <xf numFmtId="0" fontId="11" fillId="9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12" fillId="5" borderId="5" xfId="0" applyFont="1" applyFill="1" applyBorder="1"/>
    <xf numFmtId="0" fontId="11" fillId="8" borderId="19" xfId="0" applyFont="1" applyFill="1" applyBorder="1" applyAlignment="1">
      <alignment horizontal="right" vertical="center"/>
    </xf>
    <xf numFmtId="0" fontId="11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18" fillId="4" borderId="5" xfId="0" applyFont="1" applyFill="1" applyBorder="1" applyAlignment="1">
      <alignment horizontal="left" vertical="center"/>
    </xf>
    <xf numFmtId="0" fontId="12" fillId="0" borderId="0" xfId="0" applyFont="1"/>
    <xf numFmtId="16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quotePrefix="1" applyFont="1"/>
    <xf numFmtId="0" fontId="19" fillId="0" borderId="0" xfId="0" applyFont="1"/>
    <xf numFmtId="0" fontId="14" fillId="5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8" fillId="0" borderId="22" xfId="0" applyFont="1" applyBorder="1"/>
    <xf numFmtId="0" fontId="6" fillId="4" borderId="10" xfId="0" applyFont="1" applyFill="1" applyBorder="1" applyAlignment="1">
      <alignment horizontal="left" vertical="center"/>
    </xf>
    <xf numFmtId="0" fontId="8" fillId="0" borderId="11" xfId="0" applyFont="1" applyBorder="1"/>
    <xf numFmtId="0" fontId="8" fillId="0" borderId="12" xfId="0" applyFont="1" applyBorder="1"/>
    <xf numFmtId="0" fontId="9" fillId="5" borderId="10" xfId="0" applyFont="1" applyFill="1" applyBorder="1" applyAlignment="1">
      <alignment horizontal="left" vertical="center"/>
    </xf>
    <xf numFmtId="0" fontId="9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8" fillId="0" borderId="18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workbookViewId="0"/>
  </sheetViews>
  <sheetFormatPr baseColWidth="10" defaultColWidth="10.140625" defaultRowHeight="15" customHeight="1" x14ac:dyDescent="0.2"/>
  <cols>
    <col min="1" max="1" width="51.42578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4</v>
      </c>
      <c r="B3" s="8">
        <v>46071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5</v>
      </c>
      <c r="B4" s="4" t="s">
        <v>6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11</v>
      </c>
      <c r="B7" s="11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12</v>
      </c>
      <c r="B8" s="4">
        <v>5</v>
      </c>
      <c r="C8" s="12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14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</v>
      </c>
      <c r="B10" s="4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17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18</v>
      </c>
      <c r="B12" s="7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20</v>
      </c>
      <c r="B13" s="4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22</v>
      </c>
      <c r="B14" s="7">
        <v>22184</v>
      </c>
      <c r="C14" s="1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4" t="s">
        <v>23</v>
      </c>
      <c r="B15" s="15" t="s">
        <v>24</v>
      </c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6" t="s">
        <v>25</v>
      </c>
      <c r="B16" s="16" t="s">
        <v>26</v>
      </c>
      <c r="D16" s="1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8" t="s">
        <v>27</v>
      </c>
      <c r="B17" s="18" t="s">
        <v>28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8" t="s">
        <v>29</v>
      </c>
      <c r="B18" s="18" t="s">
        <v>30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8" t="s">
        <v>31</v>
      </c>
      <c r="B19" s="18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9" t="s">
        <v>32</v>
      </c>
      <c r="B20" s="20" t="s">
        <v>33</v>
      </c>
      <c r="C20" s="2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4.75" customHeight="1" x14ac:dyDescent="0.2">
      <c r="A21" s="19" t="s">
        <v>34</v>
      </c>
      <c r="B21" s="19" t="s">
        <v>24</v>
      </c>
      <c r="C21" s="21"/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9" t="s">
        <v>35</v>
      </c>
      <c r="B22" s="20" t="s">
        <v>24</v>
      </c>
      <c r="C22" s="2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4.75" customHeight="1" x14ac:dyDescent="0.2">
      <c r="A23" s="19" t="s">
        <v>36</v>
      </c>
      <c r="B23" s="19" t="s">
        <v>37</v>
      </c>
      <c r="C23" s="21"/>
      <c r="D23" s="1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9" t="s">
        <v>38</v>
      </c>
      <c r="B24" s="19">
        <v>0</v>
      </c>
      <c r="C24" s="21"/>
      <c r="D24" s="1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2"/>
      <c r="B25" s="23"/>
      <c r="C25" s="2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2"/>
      <c r="B26" s="2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2"/>
      <c r="B27" s="23"/>
      <c r="C27" s="2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2"/>
      <c r="B28" s="2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x14ac:dyDescent="0.2">
      <c r="A29" s="24"/>
      <c r="B29" s="24"/>
      <c r="C29" s="2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6" t="s">
        <v>25</v>
      </c>
      <c r="B30" s="16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8" t="s">
        <v>27</v>
      </c>
      <c r="B31" s="18" t="s">
        <v>40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8" t="s">
        <v>29</v>
      </c>
      <c r="B32" s="18" t="s">
        <v>30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8" t="s">
        <v>31</v>
      </c>
      <c r="B33" s="18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9" t="s">
        <v>32</v>
      </c>
      <c r="B34" s="20" t="s">
        <v>33</v>
      </c>
      <c r="C34" s="1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9" t="s">
        <v>34</v>
      </c>
      <c r="B35" s="19" t="s">
        <v>24</v>
      </c>
      <c r="C35" s="1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9" t="s">
        <v>35</v>
      </c>
      <c r="B36" s="20" t="s">
        <v>24</v>
      </c>
      <c r="C36" s="1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9" t="s">
        <v>36</v>
      </c>
      <c r="B37" s="19" t="s">
        <v>37</v>
      </c>
      <c r="C37" s="1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9" t="s">
        <v>38</v>
      </c>
      <c r="B38" s="19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2"/>
      <c r="B39" s="2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2"/>
      <c r="B40" s="2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2"/>
      <c r="B41" s="2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2"/>
      <c r="B42" s="2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24"/>
      <c r="B43" s="24"/>
      <c r="C43" s="2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6" t="s">
        <v>25</v>
      </c>
      <c r="B44" s="16" t="s">
        <v>41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8" t="s">
        <v>27</v>
      </c>
      <c r="B45" s="18" t="s">
        <v>42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8" t="s">
        <v>29</v>
      </c>
      <c r="B46" s="18" t="s">
        <v>30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8" t="s">
        <v>31</v>
      </c>
      <c r="B47" s="18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9" t="s">
        <v>32</v>
      </c>
      <c r="B48" s="20" t="s">
        <v>33</v>
      </c>
      <c r="C48" s="1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9" t="s">
        <v>34</v>
      </c>
      <c r="B49" s="19" t="s">
        <v>24</v>
      </c>
      <c r="C49" s="1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9" t="s">
        <v>35</v>
      </c>
      <c r="B50" s="20" t="s">
        <v>24</v>
      </c>
      <c r="C50" s="1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9" t="s">
        <v>36</v>
      </c>
      <c r="B51" s="19" t="s">
        <v>37</v>
      </c>
      <c r="C51" s="1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9" t="s">
        <v>38</v>
      </c>
      <c r="B52" s="19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2"/>
      <c r="B53" s="2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2"/>
      <c r="B54" s="2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2"/>
      <c r="B55" s="2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2"/>
      <c r="B56" s="2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24"/>
      <c r="B57" s="24"/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6" t="s">
        <v>25</v>
      </c>
      <c r="B58" s="16" t="s">
        <v>43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8" t="s">
        <v>27</v>
      </c>
      <c r="B59" s="18" t="s">
        <v>44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8" t="s">
        <v>29</v>
      </c>
      <c r="B60" s="18" t="s">
        <v>30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8" t="s">
        <v>31</v>
      </c>
      <c r="B61" s="18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9" t="s">
        <v>32</v>
      </c>
      <c r="B62" s="20" t="s">
        <v>33</v>
      </c>
      <c r="C62" s="1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9" t="s">
        <v>34</v>
      </c>
      <c r="B63" s="19" t="s">
        <v>24</v>
      </c>
      <c r="C63" s="1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9" t="s">
        <v>35</v>
      </c>
      <c r="B64" s="20" t="s">
        <v>24</v>
      </c>
      <c r="C64" s="1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9" t="s">
        <v>36</v>
      </c>
      <c r="B65" s="19" t="s">
        <v>37</v>
      </c>
      <c r="C65" s="1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9" t="s">
        <v>38</v>
      </c>
      <c r="B66" s="19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2"/>
      <c r="B67" s="2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2"/>
      <c r="B68" s="2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2"/>
      <c r="B69" s="2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2"/>
      <c r="B70" s="2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24"/>
      <c r="B71" s="2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6" t="s">
        <v>25</v>
      </c>
      <c r="B72" s="16" t="s">
        <v>45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8" t="s">
        <v>27</v>
      </c>
      <c r="B73" s="18" t="s">
        <v>46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8" t="s">
        <v>29</v>
      </c>
      <c r="B74" s="18" t="s">
        <v>30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8" t="s">
        <v>31</v>
      </c>
      <c r="B75" s="18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9" t="s">
        <v>32</v>
      </c>
      <c r="B76" s="20" t="s">
        <v>33</v>
      </c>
      <c r="C76" s="1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9" t="s">
        <v>34</v>
      </c>
      <c r="B77" s="19" t="s">
        <v>24</v>
      </c>
      <c r="C77" s="1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9" t="s">
        <v>35</v>
      </c>
      <c r="B78" s="20" t="s">
        <v>24</v>
      </c>
      <c r="C78" s="1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9" t="s">
        <v>36</v>
      </c>
      <c r="B79" s="19" t="s">
        <v>37</v>
      </c>
      <c r="C79" s="1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9" t="s">
        <v>38</v>
      </c>
      <c r="B80" s="19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2"/>
      <c r="B81" s="2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2"/>
      <c r="B82" s="2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2"/>
      <c r="B83" s="2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2"/>
      <c r="B84" s="2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24"/>
      <c r="B85" s="2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Lists!$D$3:$D$6</xm:f>
          </x14:formula1>
          <xm:sqref>B18 B27 B32 B41 B46 B55 B60 B69 B74 B83</xm:sqref>
        </x14:dataValidation>
        <x14:dataValidation type="list" allowBlank="1" showErrorMessage="1" xr:uid="{00000000-0002-0000-0000-000001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300000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4000000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00000000-0002-0000-0000-000006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7000000}">
          <x14:formula1>
            <xm:f>Lists!$F$2:$F$4</xm:f>
          </x14:formula1>
          <xm:sqref>B20 B25 B34 B39 B48 B53 B62 B67 B76 B81</xm:sqref>
        </x14:dataValidation>
        <x14:dataValidation type="list" allowBlank="1" showErrorMessage="1" xr:uid="{00000000-0002-0000-0000-000008000000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9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A000000}">
          <x14:formula1>
            <xm:f>Lists!$G$2:$G$9</xm:f>
          </x14:formula1>
          <xm:sqref>B16 B30 B44 B58 B72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0.42578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47</v>
      </c>
      <c r="B2" s="28" t="s">
        <v>48</v>
      </c>
      <c r="C2" s="29" t="s">
        <v>49</v>
      </c>
      <c r="D2" s="28" t="s">
        <v>50</v>
      </c>
      <c r="E2" s="29" t="s">
        <v>51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52</v>
      </c>
      <c r="B3" s="29" t="s">
        <v>53</v>
      </c>
      <c r="C3" s="28" t="s">
        <v>54</v>
      </c>
      <c r="D3" s="29" t="s">
        <v>55</v>
      </c>
      <c r="E3" s="28" t="s">
        <v>56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57</v>
      </c>
      <c r="B4" s="28" t="s">
        <v>58</v>
      </c>
      <c r="C4" s="29" t="s">
        <v>59</v>
      </c>
      <c r="D4" s="28" t="s">
        <v>60</v>
      </c>
      <c r="E4" s="29" t="s">
        <v>61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62</v>
      </c>
      <c r="B5" s="29" t="s">
        <v>63</v>
      </c>
      <c r="C5" s="28" t="s">
        <v>64</v>
      </c>
      <c r="D5" s="29" t="s">
        <v>65</v>
      </c>
      <c r="E5" s="28" t="s">
        <v>66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67</v>
      </c>
      <c r="B6" s="28" t="s">
        <v>68</v>
      </c>
      <c r="C6" s="29" t="s">
        <v>69</v>
      </c>
      <c r="D6" s="28" t="s">
        <v>70</v>
      </c>
      <c r="E6" s="29" t="s">
        <v>66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71</v>
      </c>
      <c r="B7" s="29" t="s">
        <v>72</v>
      </c>
      <c r="C7" s="28" t="s">
        <v>73</v>
      </c>
      <c r="D7" s="29" t="s">
        <v>74</v>
      </c>
      <c r="E7" s="28" t="s">
        <v>66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75</v>
      </c>
      <c r="B8" s="28" t="s">
        <v>76</v>
      </c>
      <c r="C8" s="29" t="s">
        <v>77</v>
      </c>
      <c r="D8" s="28" t="s">
        <v>78</v>
      </c>
      <c r="E8" s="29" t="s">
        <v>66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79</v>
      </c>
      <c r="B9" s="29" t="s">
        <v>80</v>
      </c>
      <c r="C9" s="28" t="s">
        <v>81</v>
      </c>
      <c r="D9" s="29" t="s">
        <v>82</v>
      </c>
      <c r="E9" s="28" t="s">
        <v>66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47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52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57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62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67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71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75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79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47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52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57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62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67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71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75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79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42578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47</v>
      </c>
      <c r="B2" s="28" t="s">
        <v>83</v>
      </c>
      <c r="C2" s="29" t="s">
        <v>84</v>
      </c>
      <c r="D2" s="28" t="s">
        <v>85</v>
      </c>
      <c r="E2" s="29" t="s">
        <v>86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52</v>
      </c>
      <c r="B3" s="29" t="s">
        <v>87</v>
      </c>
      <c r="C3" s="28" t="s">
        <v>88</v>
      </c>
      <c r="D3" s="29" t="s">
        <v>89</v>
      </c>
      <c r="E3" s="28" t="s">
        <v>90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57</v>
      </c>
      <c r="B4" s="28" t="s">
        <v>91</v>
      </c>
      <c r="C4" s="29" t="s">
        <v>92</v>
      </c>
      <c r="D4" s="28" t="s">
        <v>93</v>
      </c>
      <c r="E4" s="29" t="s">
        <v>94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62</v>
      </c>
      <c r="B5" s="29" t="s">
        <v>95</v>
      </c>
      <c r="C5" s="28" t="s">
        <v>96</v>
      </c>
      <c r="D5" s="29" t="s">
        <v>97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67</v>
      </c>
      <c r="B6" s="28" t="s">
        <v>98</v>
      </c>
      <c r="C6" s="29" t="s">
        <v>99</v>
      </c>
      <c r="D6" s="28" t="s">
        <v>100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71</v>
      </c>
      <c r="B7" s="29" t="s">
        <v>101</v>
      </c>
      <c r="C7" s="28" t="s">
        <v>102</v>
      </c>
      <c r="D7" s="29" t="s">
        <v>103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75</v>
      </c>
      <c r="B8" s="28" t="s">
        <v>104</v>
      </c>
      <c r="C8" s="29" t="s">
        <v>105</v>
      </c>
      <c r="D8" s="28" t="s">
        <v>106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79</v>
      </c>
      <c r="B9" s="29" t="s">
        <v>107</v>
      </c>
      <c r="C9" s="28" t="s">
        <v>108</v>
      </c>
      <c r="D9" s="29" t="s">
        <v>109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0.140625" defaultRowHeight="15" customHeight="1" x14ac:dyDescent="0.2"/>
  <cols>
    <col min="1" max="1" width="38" customWidth="1"/>
    <col min="2" max="26" width="10.42578125" customWidth="1"/>
  </cols>
  <sheetData>
    <row r="1" spans="1:19" ht="45.75" customHeight="1" x14ac:dyDescent="0.2">
      <c r="A1" s="75" t="s">
        <v>110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7"/>
      <c r="R1" s="30"/>
      <c r="S1" s="30"/>
    </row>
    <row r="2" spans="1:19" ht="31.5" customHeight="1" x14ac:dyDescent="0.2">
      <c r="A2" s="78" t="s">
        <v>111</v>
      </c>
      <c r="B2" s="76"/>
      <c r="C2" s="76"/>
      <c r="D2" s="76"/>
      <c r="E2" s="76"/>
      <c r="F2" s="76"/>
      <c r="G2" s="76"/>
      <c r="H2" s="76"/>
      <c r="I2" s="77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79" t="s">
        <v>112</v>
      </c>
      <c r="B3" s="71"/>
      <c r="C3" s="71"/>
      <c r="D3" s="71"/>
      <c r="E3" s="71"/>
      <c r="F3" s="71"/>
      <c r="G3" s="71"/>
      <c r="H3" s="71"/>
      <c r="I3" s="72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113</v>
      </c>
      <c r="B5" s="34">
        <v>1</v>
      </c>
      <c r="C5" s="12" t="s">
        <v>114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115</v>
      </c>
      <c r="B6" s="37">
        <v>16.5</v>
      </c>
      <c r="C6" s="80" t="s">
        <v>116</v>
      </c>
      <c r="D6" s="81"/>
      <c r="E6" s="81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117</v>
      </c>
      <c r="B7" s="37">
        <v>5.5</v>
      </c>
      <c r="C7" s="81"/>
      <c r="D7" s="81"/>
      <c r="E7" s="81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118</v>
      </c>
      <c r="B8" s="37">
        <f>SUM(B6:B7)</f>
        <v>22</v>
      </c>
      <c r="C8" s="81"/>
      <c r="D8" s="81"/>
      <c r="E8" s="81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119</v>
      </c>
      <c r="B9" s="37">
        <v>20</v>
      </c>
      <c r="C9" s="81"/>
      <c r="D9" s="81"/>
      <c r="E9" s="81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82" t="s">
        <v>120</v>
      </c>
      <c r="B11" s="76"/>
      <c r="C11" s="76"/>
      <c r="D11" s="77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121</v>
      </c>
      <c r="B12" s="41" t="s">
        <v>122</v>
      </c>
      <c r="C12" s="41" t="s">
        <v>123</v>
      </c>
      <c r="D12" s="41" t="s">
        <v>124</v>
      </c>
      <c r="E12" s="35"/>
    </row>
    <row r="13" spans="1:19" ht="15.75" customHeight="1" x14ac:dyDescent="0.25">
      <c r="A13" s="42" t="s">
        <v>125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126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127</v>
      </c>
      <c r="B15" s="44">
        <v>94</v>
      </c>
      <c r="C15" s="44">
        <v>0.5</v>
      </c>
      <c r="D15" s="83">
        <v>40</v>
      </c>
    </row>
    <row r="16" spans="1:19" ht="15.75" customHeight="1" x14ac:dyDescent="0.2">
      <c r="A16" s="42" t="s">
        <v>128</v>
      </c>
      <c r="B16" s="44">
        <v>55</v>
      </c>
      <c r="C16" s="44">
        <v>1</v>
      </c>
      <c r="D16" s="84"/>
    </row>
    <row r="17" spans="1:26" ht="15.75" customHeight="1" x14ac:dyDescent="0.2">
      <c r="A17" s="42" t="s">
        <v>129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0" t="s">
        <v>130</v>
      </c>
      <c r="B19" s="71"/>
      <c r="C19" s="71"/>
      <c r="D19" s="72"/>
    </row>
    <row r="20" spans="1:26" ht="15.75" customHeight="1" x14ac:dyDescent="0.25">
      <c r="A20" s="46" t="s">
        <v>131</v>
      </c>
      <c r="B20" s="44" t="s">
        <v>132</v>
      </c>
      <c r="C20" s="47"/>
      <c r="D20" s="47"/>
    </row>
    <row r="21" spans="1:26" ht="15.75" customHeight="1" x14ac:dyDescent="0.25">
      <c r="A21" s="46" t="s">
        <v>133</v>
      </c>
      <c r="B21" s="44" t="s">
        <v>134</v>
      </c>
      <c r="C21" s="47"/>
      <c r="D21" s="47"/>
    </row>
    <row r="22" spans="1:26" ht="15.75" customHeight="1" x14ac:dyDescent="0.25">
      <c r="A22" s="46" t="s">
        <v>135</v>
      </c>
      <c r="B22" s="44" t="s">
        <v>136</v>
      </c>
      <c r="C22" s="47"/>
      <c r="D22" s="47"/>
    </row>
    <row r="23" spans="1:26" ht="51" customHeight="1" x14ac:dyDescent="0.2"/>
    <row r="24" spans="1:26" ht="31.5" customHeight="1" x14ac:dyDescent="0.2">
      <c r="A24" s="48" t="s">
        <v>137</v>
      </c>
      <c r="B24" s="49">
        <f>COUNTIF('Sample IDs'!B2:M9,"&lt;&gt;"&amp;"")</f>
        <v>32</v>
      </c>
      <c r="C24" s="80" t="s">
        <v>138</v>
      </c>
      <c r="D24" s="81"/>
      <c r="E24" s="81"/>
      <c r="F24" s="81"/>
      <c r="G24" s="81"/>
      <c r="H24" s="81"/>
      <c r="I24" s="81"/>
      <c r="J24" s="81"/>
      <c r="K24" s="81"/>
      <c r="L24" s="81"/>
    </row>
    <row r="25" spans="1:26" ht="30" customHeight="1" x14ac:dyDescent="0.2">
      <c r="A25" s="50" t="s">
        <v>139</v>
      </c>
      <c r="B25" s="51">
        <v>1.1000000000000001</v>
      </c>
      <c r="C25" s="52" t="s">
        <v>140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73" t="s">
        <v>141</v>
      </c>
      <c r="B27" s="74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142</v>
      </c>
      <c r="B28" s="56">
        <f>ROUNDUP(B33-B29-B30-B31-($B$5*B32),0)</f>
        <v>232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143</v>
      </c>
      <c r="B29" s="56">
        <f>ROUNDUP(5.5*($B$24*B25),0)</f>
        <v>194</v>
      </c>
      <c r="C29" s="58" t="s">
        <v>144</v>
      </c>
      <c r="D29" s="57"/>
      <c r="E29" s="35"/>
      <c r="F29" s="35"/>
      <c r="L29" s="35"/>
    </row>
    <row r="30" spans="1:26" ht="15.75" customHeight="1" x14ac:dyDescent="0.25">
      <c r="A30" s="55" t="s">
        <v>145</v>
      </c>
      <c r="B30" s="56">
        <f>ROUNDUP(2.2*($B$24*B25),1)</f>
        <v>77.5</v>
      </c>
      <c r="C30" s="58" t="s">
        <v>144</v>
      </c>
      <c r="D30" s="57"/>
      <c r="E30" s="35"/>
      <c r="F30" s="35"/>
      <c r="L30" s="35"/>
    </row>
    <row r="31" spans="1:26" ht="15.75" customHeight="1" x14ac:dyDescent="0.25">
      <c r="A31" s="55" t="s">
        <v>146</v>
      </c>
      <c r="B31" s="56">
        <f>ROUNDUP(1.1*$B$24*B25,1)</f>
        <v>38.800000000000004</v>
      </c>
      <c r="C31" s="58" t="s">
        <v>144</v>
      </c>
      <c r="D31" s="57"/>
      <c r="E31" s="35"/>
      <c r="F31" s="35"/>
      <c r="L31" s="35"/>
    </row>
    <row r="32" spans="1:26" ht="15.75" customHeight="1" x14ac:dyDescent="0.25">
      <c r="A32" s="55" t="s">
        <v>147</v>
      </c>
      <c r="B32" s="56">
        <f>ROUNDUP(1.1*$B$24*B25,1)</f>
        <v>38.800000000000004</v>
      </c>
      <c r="C32" s="58" t="s">
        <v>144</v>
      </c>
      <c r="D32" s="57"/>
      <c r="E32" s="35"/>
      <c r="F32" s="35"/>
      <c r="L32" s="35"/>
    </row>
    <row r="33" spans="1:12" ht="15.75" customHeight="1" x14ac:dyDescent="0.25">
      <c r="A33" s="59" t="s">
        <v>148</v>
      </c>
      <c r="B33" s="60">
        <f>ROUNDUP(B25*$B$24*16.5,0)</f>
        <v>581</v>
      </c>
      <c r="C33" s="58" t="s">
        <v>149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tabSelected="1" workbookViewId="0">
      <selection activeCell="B13" sqref="B13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42578125" customWidth="1"/>
    <col min="4" max="4" width="21.28515625" customWidth="1"/>
    <col min="5" max="5" width="28.140625" customWidth="1"/>
    <col min="6" max="6" width="19.42578125" customWidth="1"/>
    <col min="7" max="7" width="13.42578125" customWidth="1"/>
    <col min="8" max="8" width="44.7109375" customWidth="1"/>
    <col min="9" max="9" width="30.85546875" customWidth="1"/>
    <col min="10" max="10" width="116.140625" customWidth="1"/>
    <col min="11" max="11" width="20.42578125" customWidth="1"/>
    <col min="12" max="12" width="21.85546875" customWidth="1"/>
    <col min="13" max="25" width="10.42578125" customWidth="1"/>
    <col min="26" max="26" width="10.140625" customWidth="1"/>
  </cols>
  <sheetData>
    <row r="1" spans="1:13" ht="15.75" customHeight="1" x14ac:dyDescent="0.2">
      <c r="A1" s="63" t="s">
        <v>150</v>
      </c>
      <c r="B1" s="63" t="s">
        <v>151</v>
      </c>
      <c r="C1" s="63" t="s">
        <v>152</v>
      </c>
      <c r="D1" s="63" t="s">
        <v>153</v>
      </c>
      <c r="E1" s="63" t="s">
        <v>154</v>
      </c>
      <c r="F1" s="63" t="s">
        <v>155</v>
      </c>
      <c r="G1" s="63" t="s">
        <v>156</v>
      </c>
      <c r="H1" s="63" t="s">
        <v>157</v>
      </c>
      <c r="I1" s="63" t="s">
        <v>158</v>
      </c>
      <c r="J1" s="63" t="s">
        <v>159</v>
      </c>
      <c r="K1" s="64" t="s">
        <v>160</v>
      </c>
      <c r="L1" s="63" t="s">
        <v>161</v>
      </c>
      <c r="M1" s="63"/>
    </row>
    <row r="2" spans="1:13" ht="15.75" customHeight="1" x14ac:dyDescent="0.2">
      <c r="A2" s="65" t="s">
        <v>162</v>
      </c>
      <c r="B2" s="85" t="s">
        <v>46</v>
      </c>
      <c r="C2" s="65" t="s">
        <v>163</v>
      </c>
      <c r="D2" s="65" t="s">
        <v>24</v>
      </c>
      <c r="E2" s="65" t="s">
        <v>24</v>
      </c>
      <c r="F2" s="65" t="s">
        <v>33</v>
      </c>
      <c r="G2" s="65" t="s">
        <v>26</v>
      </c>
      <c r="H2" s="65" t="s">
        <v>16</v>
      </c>
      <c r="I2" s="65" t="s">
        <v>19</v>
      </c>
      <c r="J2" s="65" t="s">
        <v>21</v>
      </c>
      <c r="K2" s="66">
        <v>2</v>
      </c>
      <c r="L2" s="65" t="s">
        <v>164</v>
      </c>
      <c r="M2" s="65"/>
    </row>
    <row r="3" spans="1:13" ht="15.75" customHeight="1" x14ac:dyDescent="0.2">
      <c r="A3" s="65" t="s">
        <v>8</v>
      </c>
      <c r="B3" s="85" t="s">
        <v>165</v>
      </c>
      <c r="C3" s="65" t="s">
        <v>166</v>
      </c>
      <c r="D3" s="65" t="s">
        <v>167</v>
      </c>
      <c r="E3" s="65" t="s">
        <v>168</v>
      </c>
      <c r="F3" s="65" t="s">
        <v>169</v>
      </c>
      <c r="G3" s="65" t="s">
        <v>39</v>
      </c>
      <c r="H3" s="65" t="s">
        <v>170</v>
      </c>
      <c r="I3" s="65" t="s">
        <v>171</v>
      </c>
      <c r="J3" s="65" t="s">
        <v>172</v>
      </c>
      <c r="K3" s="67">
        <v>1.2</v>
      </c>
      <c r="L3" s="65" t="s">
        <v>173</v>
      </c>
      <c r="M3" s="65"/>
    </row>
    <row r="4" spans="1:13" ht="15.75" customHeight="1" x14ac:dyDescent="0.2">
      <c r="A4" s="65" t="s">
        <v>174</v>
      </c>
      <c r="B4" s="85" t="s">
        <v>175</v>
      </c>
      <c r="C4" s="65" t="s">
        <v>176</v>
      </c>
      <c r="D4" s="65" t="s">
        <v>30</v>
      </c>
      <c r="E4" s="65" t="s">
        <v>177</v>
      </c>
      <c r="F4" s="65" t="s">
        <v>178</v>
      </c>
      <c r="G4" s="65" t="s">
        <v>41</v>
      </c>
      <c r="H4" s="68" t="s">
        <v>179</v>
      </c>
      <c r="I4" s="65" t="s">
        <v>180</v>
      </c>
      <c r="J4" s="65" t="s">
        <v>181</v>
      </c>
      <c r="K4" s="67"/>
      <c r="L4" s="65" t="s">
        <v>182</v>
      </c>
      <c r="M4" s="65"/>
    </row>
    <row r="5" spans="1:13" ht="15.75" customHeight="1" x14ac:dyDescent="0.2">
      <c r="A5" s="65" t="s">
        <v>178</v>
      </c>
      <c r="B5" s="85" t="s">
        <v>183</v>
      </c>
      <c r="C5" s="65" t="s">
        <v>178</v>
      </c>
      <c r="D5" s="65" t="s">
        <v>184</v>
      </c>
      <c r="E5" s="65" t="s">
        <v>185</v>
      </c>
      <c r="G5" s="65" t="s">
        <v>43</v>
      </c>
      <c r="H5" s="47" t="s">
        <v>186</v>
      </c>
      <c r="I5" s="65" t="s">
        <v>178</v>
      </c>
      <c r="J5" s="65" t="s">
        <v>187</v>
      </c>
      <c r="K5" s="67"/>
      <c r="L5" s="65" t="s">
        <v>188</v>
      </c>
      <c r="M5" s="65"/>
    </row>
    <row r="6" spans="1:13" ht="15.75" customHeight="1" x14ac:dyDescent="0.2">
      <c r="A6" s="65"/>
      <c r="B6" s="85" t="s">
        <v>189</v>
      </c>
      <c r="D6" s="65" t="s">
        <v>178</v>
      </c>
      <c r="E6" s="65" t="s">
        <v>190</v>
      </c>
      <c r="F6" s="65"/>
      <c r="G6" s="65" t="s">
        <v>45</v>
      </c>
      <c r="H6" s="68" t="s">
        <v>179</v>
      </c>
      <c r="J6" s="65" t="s">
        <v>191</v>
      </c>
      <c r="K6" s="67"/>
      <c r="L6" s="65" t="s">
        <v>192</v>
      </c>
      <c r="M6" s="65"/>
    </row>
    <row r="7" spans="1:13" ht="15.75" customHeight="1" x14ac:dyDescent="0.2">
      <c r="A7" s="65"/>
      <c r="B7" s="85" t="s">
        <v>193</v>
      </c>
      <c r="C7" s="65"/>
      <c r="D7" s="65"/>
      <c r="E7" s="65" t="s">
        <v>194</v>
      </c>
      <c r="F7" s="65"/>
      <c r="G7" s="65" t="s">
        <v>195</v>
      </c>
      <c r="H7" s="65" t="s">
        <v>178</v>
      </c>
      <c r="I7" s="65"/>
      <c r="J7" s="68" t="s">
        <v>179</v>
      </c>
      <c r="K7" s="67"/>
      <c r="L7" s="65" t="s">
        <v>178</v>
      </c>
      <c r="M7" s="65"/>
    </row>
    <row r="8" spans="1:13" ht="15.75" customHeight="1" x14ac:dyDescent="0.2">
      <c r="A8" s="65"/>
      <c r="B8" s="85" t="s">
        <v>28</v>
      </c>
      <c r="C8" s="65"/>
      <c r="D8" s="65"/>
      <c r="E8" s="65" t="s">
        <v>196</v>
      </c>
      <c r="F8" s="65"/>
      <c r="G8" s="65" t="s">
        <v>197</v>
      </c>
      <c r="H8" s="65"/>
      <c r="I8" s="65"/>
      <c r="J8" s="65" t="s">
        <v>198</v>
      </c>
      <c r="K8" s="67"/>
    </row>
    <row r="9" spans="1:13" ht="15.75" customHeight="1" x14ac:dyDescent="0.2">
      <c r="A9" s="65"/>
      <c r="B9" s="85" t="s">
        <v>44</v>
      </c>
      <c r="C9" s="65"/>
      <c r="D9" s="65"/>
      <c r="E9" s="65" t="s">
        <v>40</v>
      </c>
      <c r="F9" s="65"/>
      <c r="G9" s="65" t="s">
        <v>199</v>
      </c>
      <c r="H9" s="65"/>
      <c r="I9" s="65"/>
      <c r="J9" s="65" t="s">
        <v>200</v>
      </c>
      <c r="K9" s="67"/>
    </row>
    <row r="10" spans="1:13" ht="15.75" customHeight="1" x14ac:dyDescent="0.2">
      <c r="A10" s="65"/>
      <c r="B10" s="85" t="s">
        <v>214</v>
      </c>
      <c r="C10" s="65"/>
      <c r="D10" s="65"/>
      <c r="E10" s="65" t="s">
        <v>178</v>
      </c>
      <c r="F10" s="65"/>
      <c r="G10" s="65"/>
      <c r="H10" s="65"/>
      <c r="I10" s="65"/>
      <c r="J10" s="65" t="s">
        <v>201</v>
      </c>
      <c r="K10" s="67"/>
    </row>
    <row r="11" spans="1:13" ht="15.75" customHeight="1" x14ac:dyDescent="0.2">
      <c r="A11" s="65"/>
      <c r="B11" s="85" t="s">
        <v>215</v>
      </c>
      <c r="C11" s="65"/>
      <c r="D11" s="65"/>
      <c r="E11" s="65"/>
      <c r="F11" s="65"/>
      <c r="G11" s="65"/>
      <c r="H11" s="65"/>
      <c r="I11" s="65"/>
      <c r="J11" s="65" t="s">
        <v>202</v>
      </c>
      <c r="K11" s="67"/>
    </row>
    <row r="12" spans="1:13" ht="15.75" customHeight="1" x14ac:dyDescent="0.2">
      <c r="A12" s="65"/>
      <c r="B12" s="85" t="s">
        <v>216</v>
      </c>
      <c r="C12" s="65"/>
      <c r="D12" s="65"/>
      <c r="E12" s="65"/>
      <c r="F12" s="65"/>
      <c r="G12" s="65"/>
      <c r="H12" s="65"/>
      <c r="I12" s="65"/>
      <c r="J12" s="65" t="s">
        <v>203</v>
      </c>
      <c r="K12" s="67"/>
    </row>
    <row r="13" spans="1:13" ht="15.75" customHeight="1" x14ac:dyDescent="0.2">
      <c r="A13" s="65"/>
      <c r="B13" s="85" t="s">
        <v>204</v>
      </c>
      <c r="C13" s="65"/>
      <c r="D13" s="65"/>
      <c r="E13" s="65"/>
      <c r="F13" s="65"/>
      <c r="G13" s="65"/>
      <c r="H13" s="65"/>
      <c r="I13" s="65"/>
      <c r="J13" s="65" t="s">
        <v>205</v>
      </c>
      <c r="K13" s="67"/>
    </row>
    <row r="14" spans="1:13" ht="15.75" customHeight="1" x14ac:dyDescent="0.2">
      <c r="A14" s="65"/>
      <c r="B14" s="85" t="s">
        <v>206</v>
      </c>
      <c r="C14" s="65"/>
      <c r="D14" s="65"/>
      <c r="E14" s="65"/>
      <c r="F14" s="65"/>
      <c r="G14" s="65"/>
      <c r="H14" s="65"/>
      <c r="I14" s="65"/>
      <c r="J14" s="65" t="s">
        <v>207</v>
      </c>
      <c r="K14" s="67"/>
    </row>
    <row r="15" spans="1:13" ht="15.75" customHeight="1" x14ac:dyDescent="0.2">
      <c r="A15" s="65"/>
      <c r="B15" s="85" t="s">
        <v>208</v>
      </c>
      <c r="C15" s="65"/>
      <c r="D15" s="65"/>
      <c r="E15" s="65"/>
      <c r="F15" s="65"/>
      <c r="G15" s="65"/>
      <c r="H15" s="65"/>
      <c r="I15" s="65"/>
      <c r="J15" s="65" t="s">
        <v>209</v>
      </c>
      <c r="K15" s="67"/>
    </row>
    <row r="16" spans="1:13" ht="15.75" customHeight="1" x14ac:dyDescent="0.2">
      <c r="A16" s="65"/>
      <c r="B16" s="85" t="s">
        <v>210</v>
      </c>
      <c r="C16" s="65"/>
      <c r="D16" s="65"/>
      <c r="E16" s="65"/>
      <c r="F16" s="65"/>
      <c r="G16" s="65"/>
      <c r="H16" s="65"/>
      <c r="I16" s="65"/>
      <c r="J16" s="68" t="s">
        <v>179</v>
      </c>
      <c r="K16" s="67"/>
    </row>
    <row r="17" spans="1:11" ht="15.75" customHeight="1" x14ac:dyDescent="0.2">
      <c r="A17" s="65"/>
      <c r="B17" s="85" t="s">
        <v>40</v>
      </c>
      <c r="C17" s="65"/>
      <c r="D17" s="65"/>
      <c r="E17" s="65"/>
      <c r="F17" s="65"/>
      <c r="G17" s="65"/>
      <c r="H17" s="65"/>
      <c r="I17" s="65"/>
      <c r="J17" s="47" t="s">
        <v>211</v>
      </c>
      <c r="K17" s="67"/>
    </row>
    <row r="18" spans="1:11" ht="15.75" customHeight="1" x14ac:dyDescent="0.2">
      <c r="A18" s="65"/>
      <c r="B18" s="85" t="s">
        <v>42</v>
      </c>
      <c r="C18" s="65"/>
      <c r="D18" s="65"/>
      <c r="E18" s="65"/>
      <c r="F18" s="65"/>
      <c r="G18" s="65"/>
      <c r="H18" s="65"/>
      <c r="I18" s="65"/>
      <c r="J18" s="47" t="s">
        <v>212</v>
      </c>
      <c r="K18" s="67"/>
    </row>
    <row r="19" spans="1:11" ht="15.75" customHeight="1" x14ac:dyDescent="0.2">
      <c r="A19" s="65"/>
      <c r="B19" s="85" t="s">
        <v>178</v>
      </c>
      <c r="C19" s="65"/>
      <c r="D19" s="65"/>
      <c r="E19" s="65"/>
      <c r="F19" s="65"/>
      <c r="G19" s="65"/>
      <c r="H19" s="65"/>
      <c r="I19" s="65"/>
      <c r="J19" s="68" t="s">
        <v>179</v>
      </c>
      <c r="K19" s="67"/>
    </row>
    <row r="20" spans="1:11" ht="15.75" customHeight="1" x14ac:dyDescent="0.2">
      <c r="A20" s="65"/>
      <c r="C20" s="65"/>
      <c r="D20" s="65"/>
      <c r="E20" s="65"/>
      <c r="F20" s="65"/>
      <c r="G20" s="65"/>
      <c r="H20" s="65"/>
      <c r="I20" s="65"/>
      <c r="J20" s="65" t="s">
        <v>213</v>
      </c>
      <c r="K20" s="67"/>
    </row>
    <row r="21" spans="1:11" ht="15.75" customHeight="1" x14ac:dyDescent="0.2">
      <c r="A21" s="65"/>
      <c r="C21" s="65"/>
      <c r="D21" s="65"/>
      <c r="E21" s="65"/>
      <c r="F21" s="65"/>
      <c r="G21" s="65"/>
      <c r="H21" s="65"/>
      <c r="I21" s="65"/>
      <c r="K21" s="67"/>
    </row>
    <row r="22" spans="1:11" ht="15.75" customHeight="1" x14ac:dyDescent="0.2">
      <c r="A22" s="65"/>
      <c r="C22" s="65"/>
      <c r="D22" s="65"/>
      <c r="E22" s="65"/>
      <c r="F22" s="65"/>
      <c r="G22" s="65"/>
      <c r="H22" s="65"/>
      <c r="I22" s="65"/>
      <c r="K22" s="67"/>
    </row>
    <row r="23" spans="1:11" ht="15.75" customHeight="1" x14ac:dyDescent="0.2">
      <c r="A23" s="65"/>
      <c r="C23" s="65"/>
      <c r="D23" s="65"/>
      <c r="E23" s="65"/>
      <c r="F23" s="65"/>
      <c r="G23" s="65"/>
      <c r="H23" s="65"/>
      <c r="I23" s="65"/>
      <c r="K23" s="67"/>
    </row>
    <row r="24" spans="1:11" ht="15.75" customHeight="1" x14ac:dyDescent="0.2">
      <c r="A24" s="65"/>
      <c r="B24" s="69"/>
      <c r="C24" s="65"/>
      <c r="D24" s="65"/>
      <c r="E24" s="65"/>
      <c r="F24" s="65"/>
      <c r="G24" s="65"/>
      <c r="H24" s="65"/>
      <c r="I24" s="65"/>
      <c r="J24" s="65"/>
      <c r="K24" s="67"/>
    </row>
    <row r="25" spans="1:11" ht="15.75" customHeight="1" x14ac:dyDescent="0.2">
      <c r="A25" s="65"/>
      <c r="B25" s="69"/>
      <c r="C25" s="65"/>
      <c r="D25" s="65"/>
      <c r="E25" s="65"/>
      <c r="F25" s="65"/>
      <c r="G25" s="65"/>
      <c r="H25" s="65"/>
      <c r="I25" s="65"/>
      <c r="J25" s="65"/>
      <c r="K25" s="67"/>
    </row>
    <row r="26" spans="1:11" ht="15.75" customHeight="1" x14ac:dyDescent="0.2">
      <c r="B26" s="69"/>
      <c r="H26" s="65"/>
      <c r="J26" s="65"/>
      <c r="K26" s="67"/>
    </row>
    <row r="27" spans="1:11" ht="15.75" customHeight="1" x14ac:dyDescent="0.2">
      <c r="B27" s="69"/>
      <c r="J27" s="65"/>
      <c r="K27" s="67"/>
    </row>
    <row r="28" spans="1:11" ht="15.75" customHeight="1" x14ac:dyDescent="0.2">
      <c r="B28" s="69"/>
      <c r="K28" s="67"/>
    </row>
    <row r="29" spans="1:11" ht="15.75" customHeight="1" x14ac:dyDescent="0.2">
      <c r="K29" s="67"/>
    </row>
    <row r="30" spans="1:11" ht="15.75" customHeight="1" x14ac:dyDescent="0.2">
      <c r="K30" s="67"/>
    </row>
    <row r="31" spans="1:11" ht="15.75" customHeight="1" x14ac:dyDescent="0.2">
      <c r="K31" s="67"/>
    </row>
    <row r="32" spans="1:11" ht="15.75" customHeight="1" x14ac:dyDescent="0.2">
      <c r="K32" s="67"/>
    </row>
    <row r="33" spans="11:11" ht="15.75" customHeight="1" x14ac:dyDescent="0.2">
      <c r="K33" s="67"/>
    </row>
    <row r="34" spans="11:11" ht="15.75" customHeight="1" x14ac:dyDescent="0.2">
      <c r="K34" s="67"/>
    </row>
    <row r="35" spans="11:11" ht="15.75" customHeight="1" x14ac:dyDescent="0.2">
      <c r="K35" s="67"/>
    </row>
    <row r="36" spans="11:11" ht="15.75" customHeight="1" x14ac:dyDescent="0.2">
      <c r="K36" s="67"/>
    </row>
    <row r="37" spans="11:11" ht="15.75" customHeight="1" x14ac:dyDescent="0.2">
      <c r="K37" s="67"/>
    </row>
    <row r="38" spans="11:11" ht="15.75" customHeight="1" x14ac:dyDescent="0.2">
      <c r="K38" s="67"/>
    </row>
    <row r="39" spans="11:11" ht="15.75" customHeight="1" x14ac:dyDescent="0.2">
      <c r="K39" s="67"/>
    </row>
    <row r="40" spans="11:11" ht="15.75" customHeight="1" x14ac:dyDescent="0.2">
      <c r="K40" s="67"/>
    </row>
    <row r="41" spans="11:11" ht="15.75" customHeight="1" x14ac:dyDescent="0.2">
      <c r="K41" s="67"/>
    </row>
    <row r="42" spans="11:11" ht="15.75" customHeight="1" x14ac:dyDescent="0.2">
      <c r="K42" s="67"/>
    </row>
    <row r="43" spans="11:11" ht="15.75" customHeight="1" x14ac:dyDescent="0.2">
      <c r="K43" s="67"/>
    </row>
    <row r="44" spans="11:11" ht="15.75" customHeight="1" x14ac:dyDescent="0.2">
      <c r="K44" s="67"/>
    </row>
    <row r="45" spans="11:11" ht="15.75" customHeight="1" x14ac:dyDescent="0.2">
      <c r="K45" s="67"/>
    </row>
    <row r="46" spans="11:11" ht="15.75" customHeight="1" x14ac:dyDescent="0.2">
      <c r="K46" s="67"/>
    </row>
    <row r="47" spans="11:11" ht="15.75" customHeight="1" x14ac:dyDescent="0.2">
      <c r="K47" s="67"/>
    </row>
    <row r="48" spans="11:11" ht="15.75" customHeight="1" x14ac:dyDescent="0.2">
      <c r="K48" s="67"/>
    </row>
    <row r="49" spans="11:11" ht="15.75" customHeight="1" x14ac:dyDescent="0.2">
      <c r="K49" s="67"/>
    </row>
    <row r="50" spans="11:11" ht="15.75" customHeight="1" x14ac:dyDescent="0.2">
      <c r="K50" s="67"/>
    </row>
    <row r="51" spans="11:11" ht="15.75" customHeight="1" x14ac:dyDescent="0.2">
      <c r="K51" s="67"/>
    </row>
    <row r="52" spans="11:11" ht="15.75" customHeight="1" x14ac:dyDescent="0.2">
      <c r="K52" s="67"/>
    </row>
    <row r="53" spans="11:11" ht="15.75" customHeight="1" x14ac:dyDescent="0.2">
      <c r="K53" s="67"/>
    </row>
    <row r="54" spans="11:11" ht="15.75" customHeight="1" x14ac:dyDescent="0.2">
      <c r="K54" s="67"/>
    </row>
    <row r="55" spans="11:11" ht="15.75" customHeight="1" x14ac:dyDescent="0.2">
      <c r="K55" s="67"/>
    </row>
    <row r="56" spans="11:11" ht="15.75" customHeight="1" x14ac:dyDescent="0.2">
      <c r="K56" s="67"/>
    </row>
    <row r="57" spans="11:11" ht="15.75" customHeight="1" x14ac:dyDescent="0.2">
      <c r="K57" s="67"/>
    </row>
    <row r="58" spans="11:11" ht="15.75" customHeight="1" x14ac:dyDescent="0.2">
      <c r="K58" s="67"/>
    </row>
    <row r="59" spans="11:11" ht="15.75" customHeight="1" x14ac:dyDescent="0.2">
      <c r="K59" s="67"/>
    </row>
    <row r="60" spans="11:11" ht="15.75" customHeight="1" x14ac:dyDescent="0.2">
      <c r="K60" s="67"/>
    </row>
    <row r="61" spans="11:11" ht="15.75" customHeight="1" x14ac:dyDescent="0.2">
      <c r="K61" s="67"/>
    </row>
    <row r="62" spans="11:11" ht="15.75" customHeight="1" x14ac:dyDescent="0.2">
      <c r="K62" s="67"/>
    </row>
    <row r="63" spans="11:11" ht="15.75" customHeight="1" x14ac:dyDescent="0.2">
      <c r="K63" s="67"/>
    </row>
    <row r="64" spans="11:11" ht="15.75" customHeight="1" x14ac:dyDescent="0.2">
      <c r="K64" s="67"/>
    </row>
    <row r="65" spans="11:11" ht="15.75" customHeight="1" x14ac:dyDescent="0.2">
      <c r="K65" s="67"/>
    </row>
    <row r="66" spans="11:11" ht="15.75" customHeight="1" x14ac:dyDescent="0.2">
      <c r="K66" s="67"/>
    </row>
    <row r="67" spans="11:11" ht="15.75" customHeight="1" x14ac:dyDescent="0.2">
      <c r="K67" s="67"/>
    </row>
    <row r="68" spans="11:11" ht="15.75" customHeight="1" x14ac:dyDescent="0.2">
      <c r="K68" s="67"/>
    </row>
    <row r="69" spans="11:11" ht="15.75" customHeight="1" x14ac:dyDescent="0.2">
      <c r="K69" s="67"/>
    </row>
    <row r="70" spans="11:11" ht="15.75" customHeight="1" x14ac:dyDescent="0.2">
      <c r="K70" s="67"/>
    </row>
    <row r="71" spans="11:11" ht="15.75" customHeight="1" x14ac:dyDescent="0.2">
      <c r="K71" s="67"/>
    </row>
    <row r="72" spans="11:11" ht="15.75" customHeight="1" x14ac:dyDescent="0.2">
      <c r="K72" s="67"/>
    </row>
    <row r="73" spans="11:11" ht="15.75" customHeight="1" x14ac:dyDescent="0.2">
      <c r="K73" s="67"/>
    </row>
    <row r="74" spans="11:11" ht="15.75" customHeight="1" x14ac:dyDescent="0.2">
      <c r="K74" s="67"/>
    </row>
    <row r="75" spans="11:11" ht="15.75" customHeight="1" x14ac:dyDescent="0.2">
      <c r="K75" s="67"/>
    </row>
    <row r="76" spans="11:11" ht="15.75" customHeight="1" x14ac:dyDescent="0.2">
      <c r="K76" s="67"/>
    </row>
    <row r="77" spans="11:11" ht="15.75" customHeight="1" x14ac:dyDescent="0.2">
      <c r="K77" s="67"/>
    </row>
    <row r="78" spans="11:11" ht="15.75" customHeight="1" x14ac:dyDescent="0.2">
      <c r="K78" s="67"/>
    </row>
    <row r="79" spans="11:11" ht="15.75" customHeight="1" x14ac:dyDescent="0.2">
      <c r="K79" s="67"/>
    </row>
    <row r="80" spans="11:11" ht="15.75" customHeight="1" x14ac:dyDescent="0.2">
      <c r="K80" s="67"/>
    </row>
    <row r="81" spans="11:11" ht="15.75" customHeight="1" x14ac:dyDescent="0.2">
      <c r="K81" s="67"/>
    </row>
    <row r="82" spans="11:11" ht="15.75" customHeight="1" x14ac:dyDescent="0.2">
      <c r="K82" s="67"/>
    </row>
    <row r="83" spans="11:11" ht="15.75" customHeight="1" x14ac:dyDescent="0.2">
      <c r="K83" s="67"/>
    </row>
    <row r="84" spans="11:11" ht="15.75" customHeight="1" x14ac:dyDescent="0.2">
      <c r="K84" s="67"/>
    </row>
    <row r="85" spans="11:11" ht="15.75" customHeight="1" x14ac:dyDescent="0.2">
      <c r="K85" s="67"/>
    </row>
    <row r="86" spans="11:11" ht="15.75" customHeight="1" x14ac:dyDescent="0.2">
      <c r="K86" s="67"/>
    </row>
    <row r="87" spans="11:11" ht="15.75" customHeight="1" x14ac:dyDescent="0.2">
      <c r="K87" s="67"/>
    </row>
    <row r="88" spans="11:11" ht="15.75" customHeight="1" x14ac:dyDescent="0.2">
      <c r="K88" s="67"/>
    </row>
    <row r="89" spans="11:11" ht="15.75" customHeight="1" x14ac:dyDescent="0.2">
      <c r="K89" s="67"/>
    </row>
    <row r="90" spans="11:11" ht="15.75" customHeight="1" x14ac:dyDescent="0.2">
      <c r="K90" s="67"/>
    </row>
    <row r="91" spans="11:11" ht="15.75" customHeight="1" x14ac:dyDescent="0.2">
      <c r="K91" s="67"/>
    </row>
    <row r="92" spans="11:11" ht="15.75" customHeight="1" x14ac:dyDescent="0.2">
      <c r="K92" s="67"/>
    </row>
    <row r="93" spans="11:11" ht="15.75" customHeight="1" x14ac:dyDescent="0.2">
      <c r="K93" s="67"/>
    </row>
    <row r="94" spans="11:11" ht="15.75" customHeight="1" x14ac:dyDescent="0.2">
      <c r="K94" s="67"/>
    </row>
    <row r="95" spans="11:11" ht="15.75" customHeight="1" x14ac:dyDescent="0.2">
      <c r="K95" s="67"/>
    </row>
    <row r="96" spans="11:11" ht="15.75" customHeight="1" x14ac:dyDescent="0.2">
      <c r="K96" s="67"/>
    </row>
    <row r="97" spans="11:11" ht="15.75" customHeight="1" x14ac:dyDescent="0.2">
      <c r="K97" s="67"/>
    </row>
    <row r="98" spans="11:11" ht="15.75" customHeight="1" x14ac:dyDescent="0.2">
      <c r="K98" s="67"/>
    </row>
    <row r="99" spans="11:11" ht="15.75" customHeight="1" x14ac:dyDescent="0.2">
      <c r="K99" s="67"/>
    </row>
    <row r="100" spans="11:11" ht="15.75" customHeight="1" x14ac:dyDescent="0.2">
      <c r="K100" s="67"/>
    </row>
    <row r="101" spans="11:11" ht="15.75" customHeight="1" x14ac:dyDescent="0.2">
      <c r="K101" s="67"/>
    </row>
    <row r="102" spans="11:11" ht="15.75" customHeight="1" x14ac:dyDescent="0.2">
      <c r="K102" s="67"/>
    </row>
    <row r="103" spans="11:11" ht="15.75" customHeight="1" x14ac:dyDescent="0.2">
      <c r="K103" s="67"/>
    </row>
    <row r="104" spans="11:11" ht="15.75" customHeight="1" x14ac:dyDescent="0.2">
      <c r="K104" s="67"/>
    </row>
    <row r="105" spans="11:11" ht="15.75" customHeight="1" x14ac:dyDescent="0.2">
      <c r="K105" s="67"/>
    </row>
    <row r="106" spans="11:11" ht="15.75" customHeight="1" x14ac:dyDescent="0.2">
      <c r="K106" s="67"/>
    </row>
    <row r="107" spans="11:11" ht="15.75" customHeight="1" x14ac:dyDescent="0.2">
      <c r="K107" s="67"/>
    </row>
    <row r="108" spans="11:11" ht="15.75" customHeight="1" x14ac:dyDescent="0.2">
      <c r="K108" s="67"/>
    </row>
    <row r="109" spans="11:11" ht="15.75" customHeight="1" x14ac:dyDescent="0.2">
      <c r="K109" s="67"/>
    </row>
    <row r="110" spans="11:11" ht="15.75" customHeight="1" x14ac:dyDescent="0.2">
      <c r="K110" s="67"/>
    </row>
    <row r="111" spans="11:11" ht="15.75" customHeight="1" x14ac:dyDescent="0.2">
      <c r="K111" s="67"/>
    </row>
    <row r="112" spans="11:11" ht="15.75" customHeight="1" x14ac:dyDescent="0.2">
      <c r="K112" s="67"/>
    </row>
    <row r="113" spans="11:11" ht="15.75" customHeight="1" x14ac:dyDescent="0.2">
      <c r="K113" s="67"/>
    </row>
    <row r="114" spans="11:11" ht="15.75" customHeight="1" x14ac:dyDescent="0.2">
      <c r="K114" s="67"/>
    </row>
    <row r="115" spans="11:11" ht="15.75" customHeight="1" x14ac:dyDescent="0.2">
      <c r="K115" s="67"/>
    </row>
    <row r="116" spans="11:11" ht="15.75" customHeight="1" x14ac:dyDescent="0.2">
      <c r="K116" s="67"/>
    </row>
    <row r="117" spans="11:11" ht="15.75" customHeight="1" x14ac:dyDescent="0.2">
      <c r="K117" s="67"/>
    </row>
    <row r="118" spans="11:11" ht="15.75" customHeight="1" x14ac:dyDescent="0.2">
      <c r="K118" s="67"/>
    </row>
    <row r="119" spans="11:11" ht="15.75" customHeight="1" x14ac:dyDescent="0.2">
      <c r="K119" s="67"/>
    </row>
    <row r="120" spans="11:11" ht="15.75" customHeight="1" x14ac:dyDescent="0.2">
      <c r="K120" s="67"/>
    </row>
    <row r="121" spans="11:11" ht="15.75" customHeight="1" x14ac:dyDescent="0.2">
      <c r="K121" s="67"/>
    </row>
    <row r="122" spans="11:11" ht="15.75" customHeight="1" x14ac:dyDescent="0.2">
      <c r="K122" s="67"/>
    </row>
    <row r="123" spans="11:11" ht="15.75" customHeight="1" x14ac:dyDescent="0.2">
      <c r="K123" s="67"/>
    </row>
    <row r="124" spans="11:11" ht="15.75" customHeight="1" x14ac:dyDescent="0.2">
      <c r="K124" s="67"/>
    </row>
    <row r="125" spans="11:11" ht="15.75" customHeight="1" x14ac:dyDescent="0.2">
      <c r="K125" s="67"/>
    </row>
    <row r="126" spans="11:11" ht="15.75" customHeight="1" x14ac:dyDescent="0.2">
      <c r="K126" s="67"/>
    </row>
    <row r="127" spans="11:11" ht="15.75" customHeight="1" x14ac:dyDescent="0.2">
      <c r="K127" s="67"/>
    </row>
    <row r="128" spans="11:11" ht="15.75" customHeight="1" x14ac:dyDescent="0.2">
      <c r="K128" s="67"/>
    </row>
    <row r="129" spans="11:11" ht="15.75" customHeight="1" x14ac:dyDescent="0.2">
      <c r="K129" s="67"/>
    </row>
    <row r="130" spans="11:11" ht="15.75" customHeight="1" x14ac:dyDescent="0.2">
      <c r="K130" s="67"/>
    </row>
    <row r="131" spans="11:11" ht="15.75" customHeight="1" x14ac:dyDescent="0.2">
      <c r="K131" s="67"/>
    </row>
    <row r="132" spans="11:11" ht="15.75" customHeight="1" x14ac:dyDescent="0.2">
      <c r="K132" s="67"/>
    </row>
    <row r="133" spans="11:11" ht="15.75" customHeight="1" x14ac:dyDescent="0.2">
      <c r="K133" s="67"/>
    </row>
    <row r="134" spans="11:11" ht="15.75" customHeight="1" x14ac:dyDescent="0.2">
      <c r="K134" s="67"/>
    </row>
    <row r="135" spans="11:11" ht="15.75" customHeight="1" x14ac:dyDescent="0.2">
      <c r="K135" s="67"/>
    </row>
    <row r="136" spans="11:11" ht="15.75" customHeight="1" x14ac:dyDescent="0.2">
      <c r="K136" s="67"/>
    </row>
    <row r="137" spans="11:11" ht="15.75" customHeight="1" x14ac:dyDescent="0.2">
      <c r="K137" s="67"/>
    </row>
    <row r="138" spans="11:11" ht="15.75" customHeight="1" x14ac:dyDescent="0.2">
      <c r="K138" s="67"/>
    </row>
    <row r="139" spans="11:11" ht="15.75" customHeight="1" x14ac:dyDescent="0.2">
      <c r="K139" s="67"/>
    </row>
    <row r="140" spans="11:11" ht="15.75" customHeight="1" x14ac:dyDescent="0.2">
      <c r="K140" s="67"/>
    </row>
    <row r="141" spans="11:11" ht="15.75" customHeight="1" x14ac:dyDescent="0.2">
      <c r="K141" s="67"/>
    </row>
    <row r="142" spans="11:11" ht="15.75" customHeight="1" x14ac:dyDescent="0.2">
      <c r="K142" s="67"/>
    </row>
    <row r="143" spans="11:11" ht="15.75" customHeight="1" x14ac:dyDescent="0.2">
      <c r="K143" s="67"/>
    </row>
    <row r="144" spans="11:11" ht="15.75" customHeight="1" x14ac:dyDescent="0.2">
      <c r="K144" s="67"/>
    </row>
    <row r="145" spans="11:11" ht="15.75" customHeight="1" x14ac:dyDescent="0.2">
      <c r="K145" s="67"/>
    </row>
    <row r="146" spans="11:11" ht="15.75" customHeight="1" x14ac:dyDescent="0.2">
      <c r="K146" s="67"/>
    </row>
    <row r="147" spans="11:11" ht="15.75" customHeight="1" x14ac:dyDescent="0.2">
      <c r="K147" s="67"/>
    </row>
    <row r="148" spans="11:11" ht="15.75" customHeight="1" x14ac:dyDescent="0.2">
      <c r="K148" s="67"/>
    </row>
    <row r="149" spans="11:11" ht="15.75" customHeight="1" x14ac:dyDescent="0.2">
      <c r="K149" s="67"/>
    </row>
    <row r="150" spans="11:11" ht="15.75" customHeight="1" x14ac:dyDescent="0.2">
      <c r="K150" s="67"/>
    </row>
    <row r="151" spans="11:11" ht="15.75" customHeight="1" x14ac:dyDescent="0.2">
      <c r="K151" s="67"/>
    </row>
    <row r="152" spans="11:11" ht="15.75" customHeight="1" x14ac:dyDescent="0.2">
      <c r="K152" s="67"/>
    </row>
    <row r="153" spans="11:11" ht="15.75" customHeight="1" x14ac:dyDescent="0.2">
      <c r="K153" s="67"/>
    </row>
    <row r="154" spans="11:11" ht="15.75" customHeight="1" x14ac:dyDescent="0.2">
      <c r="K154" s="67"/>
    </row>
    <row r="155" spans="11:11" ht="15.75" customHeight="1" x14ac:dyDescent="0.2">
      <c r="K155" s="67"/>
    </row>
    <row r="156" spans="11:11" ht="15.75" customHeight="1" x14ac:dyDescent="0.2">
      <c r="K156" s="67"/>
    </row>
    <row r="157" spans="11:11" ht="15.75" customHeight="1" x14ac:dyDescent="0.2">
      <c r="K157" s="67"/>
    </row>
    <row r="158" spans="11:11" ht="15.75" customHeight="1" x14ac:dyDescent="0.2">
      <c r="K158" s="67"/>
    </row>
    <row r="159" spans="11:11" ht="15.75" customHeight="1" x14ac:dyDescent="0.2">
      <c r="K159" s="67"/>
    </row>
    <row r="160" spans="11:11" ht="15.75" customHeight="1" x14ac:dyDescent="0.2">
      <c r="K160" s="67"/>
    </row>
    <row r="161" spans="11:11" ht="15.75" customHeight="1" x14ac:dyDescent="0.2">
      <c r="K161" s="67"/>
    </row>
    <row r="162" spans="11:11" ht="15.75" customHeight="1" x14ac:dyDescent="0.2">
      <c r="K162" s="67"/>
    </row>
    <row r="163" spans="11:11" ht="15.75" customHeight="1" x14ac:dyDescent="0.2">
      <c r="K163" s="67"/>
    </row>
    <row r="164" spans="11:11" ht="15.75" customHeight="1" x14ac:dyDescent="0.2">
      <c r="K164" s="67"/>
    </row>
    <row r="165" spans="11:11" ht="15.75" customHeight="1" x14ac:dyDescent="0.2">
      <c r="K165" s="67"/>
    </row>
    <row r="166" spans="11:11" ht="15.75" customHeight="1" x14ac:dyDescent="0.2">
      <c r="K166" s="67"/>
    </row>
    <row r="167" spans="11:11" ht="15.75" customHeight="1" x14ac:dyDescent="0.2">
      <c r="K167" s="67"/>
    </row>
    <row r="168" spans="11:11" ht="15.75" customHeight="1" x14ac:dyDescent="0.2">
      <c r="K168" s="67"/>
    </row>
    <row r="169" spans="11:11" ht="15.75" customHeight="1" x14ac:dyDescent="0.2">
      <c r="K169" s="67"/>
    </row>
    <row r="170" spans="11:11" ht="15.75" customHeight="1" x14ac:dyDescent="0.2">
      <c r="K170" s="67"/>
    </row>
    <row r="171" spans="11:11" ht="15.75" customHeight="1" x14ac:dyDescent="0.2">
      <c r="K171" s="67"/>
    </row>
    <row r="172" spans="11:11" ht="15.75" customHeight="1" x14ac:dyDescent="0.2">
      <c r="K172" s="67"/>
    </row>
    <row r="173" spans="11:11" ht="15.75" customHeight="1" x14ac:dyDescent="0.2">
      <c r="K173" s="67"/>
    </row>
    <row r="174" spans="11:11" ht="15.75" customHeight="1" x14ac:dyDescent="0.2">
      <c r="K174" s="67"/>
    </row>
    <row r="175" spans="11:11" ht="15.75" customHeight="1" x14ac:dyDescent="0.2">
      <c r="K175" s="67"/>
    </row>
    <row r="176" spans="11:11" ht="15.75" customHeight="1" x14ac:dyDescent="0.2">
      <c r="K176" s="67"/>
    </row>
    <row r="177" spans="11:11" ht="15.75" customHeight="1" x14ac:dyDescent="0.2">
      <c r="K177" s="67"/>
    </row>
    <row r="178" spans="11:11" ht="15.75" customHeight="1" x14ac:dyDescent="0.2">
      <c r="K178" s="67"/>
    </row>
    <row r="179" spans="11:11" ht="15.75" customHeight="1" x14ac:dyDescent="0.2">
      <c r="K179" s="67"/>
    </row>
    <row r="180" spans="11:11" ht="15.75" customHeight="1" x14ac:dyDescent="0.2">
      <c r="K180" s="67"/>
    </row>
    <row r="181" spans="11:11" ht="15.75" customHeight="1" x14ac:dyDescent="0.2">
      <c r="K181" s="67"/>
    </row>
    <row r="182" spans="11:11" ht="15.75" customHeight="1" x14ac:dyDescent="0.2">
      <c r="K182" s="67"/>
    </row>
    <row r="183" spans="11:11" ht="15.75" customHeight="1" x14ac:dyDescent="0.2">
      <c r="K183" s="67"/>
    </row>
    <row r="184" spans="11:11" ht="15.75" customHeight="1" x14ac:dyDescent="0.2">
      <c r="K184" s="67"/>
    </row>
    <row r="185" spans="11:11" ht="15.75" customHeight="1" x14ac:dyDescent="0.2">
      <c r="K185" s="67"/>
    </row>
    <row r="186" spans="11:11" ht="15.75" customHeight="1" x14ac:dyDescent="0.2">
      <c r="K186" s="67"/>
    </row>
    <row r="187" spans="11:11" ht="15.75" customHeight="1" x14ac:dyDescent="0.2">
      <c r="K187" s="67"/>
    </row>
    <row r="188" spans="11:11" ht="15.75" customHeight="1" x14ac:dyDescent="0.2">
      <c r="K188" s="67"/>
    </row>
    <row r="189" spans="11:11" ht="15.75" customHeight="1" x14ac:dyDescent="0.2">
      <c r="K189" s="67"/>
    </row>
    <row r="190" spans="11:11" ht="15.75" customHeight="1" x14ac:dyDescent="0.2">
      <c r="K190" s="67"/>
    </row>
    <row r="191" spans="11:11" ht="15.75" customHeight="1" x14ac:dyDescent="0.2">
      <c r="K191" s="67"/>
    </row>
    <row r="192" spans="11:11" ht="15.75" customHeight="1" x14ac:dyDescent="0.2">
      <c r="K192" s="67"/>
    </row>
    <row r="193" spans="11:11" ht="15.75" customHeight="1" x14ac:dyDescent="0.2">
      <c r="K193" s="67"/>
    </row>
    <row r="194" spans="11:11" ht="15.75" customHeight="1" x14ac:dyDescent="0.2">
      <c r="K194" s="67"/>
    </row>
    <row r="195" spans="11:11" ht="15.75" customHeight="1" x14ac:dyDescent="0.2">
      <c r="K195" s="67"/>
    </row>
    <row r="196" spans="11:11" ht="15.75" customHeight="1" x14ac:dyDescent="0.2">
      <c r="K196" s="67"/>
    </row>
    <row r="197" spans="11:11" ht="15.75" customHeight="1" x14ac:dyDescent="0.2">
      <c r="K197" s="67"/>
    </row>
    <row r="198" spans="11:11" ht="15.75" customHeight="1" x14ac:dyDescent="0.2">
      <c r="K198" s="67"/>
    </row>
    <row r="199" spans="11:11" ht="15.75" customHeight="1" x14ac:dyDescent="0.2">
      <c r="K199" s="67"/>
    </row>
    <row r="200" spans="11:11" ht="15.75" customHeight="1" x14ac:dyDescent="0.2">
      <c r="K200" s="67"/>
    </row>
    <row r="201" spans="11:11" ht="15.75" customHeight="1" x14ac:dyDescent="0.2">
      <c r="K201" s="67"/>
    </row>
    <row r="202" spans="11:11" ht="15.75" customHeight="1" x14ac:dyDescent="0.2">
      <c r="K202" s="67"/>
    </row>
    <row r="203" spans="11:11" ht="15.75" customHeight="1" x14ac:dyDescent="0.2">
      <c r="K203" s="67"/>
    </row>
    <row r="204" spans="11:11" ht="15.75" customHeight="1" x14ac:dyDescent="0.2">
      <c r="K204" s="67"/>
    </row>
    <row r="205" spans="11:11" ht="15.75" customHeight="1" x14ac:dyDescent="0.2">
      <c r="K205" s="67"/>
    </row>
    <row r="206" spans="11:11" ht="15.75" customHeight="1" x14ac:dyDescent="0.2">
      <c r="K206" s="67"/>
    </row>
    <row r="207" spans="11:11" ht="15.75" customHeight="1" x14ac:dyDescent="0.2">
      <c r="K207" s="67"/>
    </row>
    <row r="208" spans="11:11" ht="15.75" customHeight="1" x14ac:dyDescent="0.2">
      <c r="K208" s="67"/>
    </row>
    <row r="209" spans="11:11" ht="15.75" customHeight="1" x14ac:dyDescent="0.2">
      <c r="K209" s="67"/>
    </row>
    <row r="210" spans="11:11" ht="15.75" customHeight="1" x14ac:dyDescent="0.2">
      <c r="K210" s="67"/>
    </row>
    <row r="211" spans="11:11" ht="15.75" customHeight="1" x14ac:dyDescent="0.2">
      <c r="K211" s="67"/>
    </row>
    <row r="212" spans="11:11" ht="15.75" customHeight="1" x14ac:dyDescent="0.2">
      <c r="K212" s="67"/>
    </row>
    <row r="213" spans="11:11" ht="15.75" customHeight="1" x14ac:dyDescent="0.2">
      <c r="K213" s="67"/>
    </row>
    <row r="214" spans="11:11" ht="15.75" customHeight="1" x14ac:dyDescent="0.2">
      <c r="K214" s="67"/>
    </row>
    <row r="215" spans="11:11" ht="15.75" customHeight="1" x14ac:dyDescent="0.2">
      <c r="K215" s="67"/>
    </row>
    <row r="216" spans="11:11" ht="15.75" customHeight="1" x14ac:dyDescent="0.2">
      <c r="K216" s="67"/>
    </row>
    <row r="217" spans="11:11" ht="15.75" customHeight="1" x14ac:dyDescent="0.2">
      <c r="K217" s="67"/>
    </row>
    <row r="218" spans="11:11" ht="15.75" customHeight="1" x14ac:dyDescent="0.2">
      <c r="K218" s="67"/>
    </row>
    <row r="219" spans="11:11" ht="15.75" customHeight="1" x14ac:dyDescent="0.2">
      <c r="K219" s="67"/>
    </row>
    <row r="220" spans="11:11" ht="15.75" customHeight="1" x14ac:dyDescent="0.2">
      <c r="K220" s="67"/>
    </row>
    <row r="221" spans="11:11" ht="15.75" customHeight="1" x14ac:dyDescent="0.2">
      <c r="K221" s="67"/>
    </row>
    <row r="222" spans="11:11" ht="15.75" customHeight="1" x14ac:dyDescent="0.2">
      <c r="K222" s="67"/>
    </row>
    <row r="223" spans="11:11" ht="15.75" customHeight="1" x14ac:dyDescent="0.2">
      <c r="K223" s="67"/>
    </row>
    <row r="224" spans="11:11" ht="15.75" customHeight="1" x14ac:dyDescent="0.2">
      <c r="K224" s="67"/>
    </row>
    <row r="225" spans="11:11" ht="15.75" customHeight="1" x14ac:dyDescent="0.2">
      <c r="K225" s="67"/>
    </row>
    <row r="226" spans="11:11" ht="15.75" customHeight="1" x14ac:dyDescent="0.2">
      <c r="K226" s="67"/>
    </row>
    <row r="227" spans="11:11" ht="15.75" customHeight="1" x14ac:dyDescent="0.2">
      <c r="K227" s="67"/>
    </row>
    <row r="228" spans="11:11" ht="15.75" customHeight="1" x14ac:dyDescent="0.2">
      <c r="K228" s="67"/>
    </row>
    <row r="229" spans="11:11" ht="15.75" customHeight="1" x14ac:dyDescent="0.2">
      <c r="K229" s="67"/>
    </row>
    <row r="230" spans="11:11" ht="15.75" customHeight="1" x14ac:dyDescent="0.2">
      <c r="K230" s="67"/>
    </row>
    <row r="231" spans="11:11" ht="15.75" customHeight="1" x14ac:dyDescent="0.2">
      <c r="K231" s="67"/>
    </row>
    <row r="232" spans="11:11" ht="15.75" customHeight="1" x14ac:dyDescent="0.2">
      <c r="K232" s="67"/>
    </row>
    <row r="233" spans="11:11" ht="15.75" customHeight="1" x14ac:dyDescent="0.2">
      <c r="K233" s="67"/>
    </row>
    <row r="234" spans="11:11" ht="15.75" customHeight="1" x14ac:dyDescent="0.2">
      <c r="K234" s="67"/>
    </row>
    <row r="235" spans="11:11" ht="15.75" customHeight="1" x14ac:dyDescent="0.2">
      <c r="K235" s="67"/>
    </row>
    <row r="236" spans="11:11" ht="15.75" customHeight="1" x14ac:dyDescent="0.2">
      <c r="K236" s="67"/>
    </row>
    <row r="237" spans="11:11" ht="15.75" customHeight="1" x14ac:dyDescent="0.2">
      <c r="K237" s="67"/>
    </row>
    <row r="238" spans="11:11" ht="15.75" customHeight="1" x14ac:dyDescent="0.2">
      <c r="K238" s="67"/>
    </row>
    <row r="239" spans="11:11" ht="15.75" customHeight="1" x14ac:dyDescent="0.2">
      <c r="K239" s="67"/>
    </row>
    <row r="240" spans="11:11" ht="15.75" customHeight="1" x14ac:dyDescent="0.2">
      <c r="K240" s="67"/>
    </row>
    <row r="241" spans="11:11" ht="15.75" customHeight="1" x14ac:dyDescent="0.2">
      <c r="K241" s="67"/>
    </row>
    <row r="242" spans="11:11" ht="15.75" customHeight="1" x14ac:dyDescent="0.2">
      <c r="K242" s="67"/>
    </row>
    <row r="243" spans="11:11" ht="15.75" customHeight="1" x14ac:dyDescent="0.2">
      <c r="K243" s="67"/>
    </row>
    <row r="244" spans="11:11" ht="15.75" customHeight="1" x14ac:dyDescent="0.2">
      <c r="K244" s="67"/>
    </row>
    <row r="245" spans="11:11" ht="15.75" customHeight="1" x14ac:dyDescent="0.2">
      <c r="K245" s="67"/>
    </row>
    <row r="246" spans="11:11" ht="15.75" customHeight="1" x14ac:dyDescent="0.2">
      <c r="K246" s="67"/>
    </row>
    <row r="247" spans="11:11" ht="15.75" customHeight="1" x14ac:dyDescent="0.2">
      <c r="K247" s="67"/>
    </row>
    <row r="248" spans="11:11" ht="15.75" customHeight="1" x14ac:dyDescent="0.2">
      <c r="K248" s="67"/>
    </row>
    <row r="249" spans="11:11" ht="15.75" customHeight="1" x14ac:dyDescent="0.2">
      <c r="K249" s="67"/>
    </row>
    <row r="250" spans="11:11" ht="15.75" customHeight="1" x14ac:dyDescent="0.2">
      <c r="K250" s="67"/>
    </row>
    <row r="251" spans="11:11" ht="15.75" customHeight="1" x14ac:dyDescent="0.2">
      <c r="K251" s="67"/>
    </row>
    <row r="252" spans="11:11" ht="15.75" customHeight="1" x14ac:dyDescent="0.2">
      <c r="K252" s="67"/>
    </row>
    <row r="253" spans="11:11" ht="15.75" customHeight="1" x14ac:dyDescent="0.2">
      <c r="K253" s="67"/>
    </row>
    <row r="254" spans="11:11" ht="15.75" customHeight="1" x14ac:dyDescent="0.2">
      <c r="K254" s="67"/>
    </row>
    <row r="255" spans="11:11" ht="15.75" customHeight="1" x14ac:dyDescent="0.2">
      <c r="K255" s="67"/>
    </row>
    <row r="256" spans="11:11" ht="15.75" customHeight="1" x14ac:dyDescent="0.2">
      <c r="K256" s="67"/>
    </row>
    <row r="257" spans="11:11" ht="15.75" customHeight="1" x14ac:dyDescent="0.2">
      <c r="K257" s="67"/>
    </row>
    <row r="258" spans="11:11" ht="15.75" customHeight="1" x14ac:dyDescent="0.2">
      <c r="K258" s="67"/>
    </row>
    <row r="259" spans="11:11" ht="15.75" customHeight="1" x14ac:dyDescent="0.2">
      <c r="K259" s="67"/>
    </row>
    <row r="260" spans="11:11" ht="15.75" customHeight="1" x14ac:dyDescent="0.2">
      <c r="K260" s="67"/>
    </row>
    <row r="261" spans="11:11" ht="15.75" customHeight="1" x14ac:dyDescent="0.2">
      <c r="K261" s="67"/>
    </row>
    <row r="262" spans="11:11" ht="15.75" customHeight="1" x14ac:dyDescent="0.2">
      <c r="K262" s="67"/>
    </row>
    <row r="263" spans="11:11" ht="15.75" customHeight="1" x14ac:dyDescent="0.2">
      <c r="K263" s="67"/>
    </row>
    <row r="264" spans="11:11" ht="15.75" customHeight="1" x14ac:dyDescent="0.2">
      <c r="K264" s="67"/>
    </row>
    <row r="265" spans="11:11" ht="15.75" customHeight="1" x14ac:dyDescent="0.2">
      <c r="K265" s="67"/>
    </row>
    <row r="266" spans="11:11" ht="15.75" customHeight="1" x14ac:dyDescent="0.2">
      <c r="K266" s="67"/>
    </row>
    <row r="267" spans="11:11" ht="15.75" customHeight="1" x14ac:dyDescent="0.2">
      <c r="K267" s="67"/>
    </row>
    <row r="268" spans="11:11" ht="15.75" customHeight="1" x14ac:dyDescent="0.2">
      <c r="K268" s="67"/>
    </row>
    <row r="269" spans="11:11" ht="15.75" customHeight="1" x14ac:dyDescent="0.2">
      <c r="K269" s="67"/>
    </row>
    <row r="270" spans="11:11" ht="15.75" customHeight="1" x14ac:dyDescent="0.2">
      <c r="K270" s="67"/>
    </row>
    <row r="271" spans="11:11" ht="15.75" customHeight="1" x14ac:dyDescent="0.2">
      <c r="K271" s="67"/>
    </row>
    <row r="272" spans="11:11" ht="15.75" customHeight="1" x14ac:dyDescent="0.2">
      <c r="K272" s="67"/>
    </row>
    <row r="273" spans="11:11" ht="15.75" customHeight="1" x14ac:dyDescent="0.2">
      <c r="K273" s="67"/>
    </row>
    <row r="274" spans="11:11" ht="15.75" customHeight="1" x14ac:dyDescent="0.2">
      <c r="K274" s="67"/>
    </row>
    <row r="275" spans="11:11" ht="15.75" customHeight="1" x14ac:dyDescent="0.2">
      <c r="K275" s="67"/>
    </row>
    <row r="276" spans="11:11" ht="15.75" customHeight="1" x14ac:dyDescent="0.2">
      <c r="K276" s="67"/>
    </row>
    <row r="277" spans="11:11" ht="15.75" customHeight="1" x14ac:dyDescent="0.2">
      <c r="K277" s="67"/>
    </row>
    <row r="278" spans="11:11" ht="15.75" customHeight="1" x14ac:dyDescent="0.2">
      <c r="K278" s="67"/>
    </row>
    <row r="279" spans="11:11" ht="15.75" customHeight="1" x14ac:dyDescent="0.2">
      <c r="K279" s="67"/>
    </row>
    <row r="280" spans="11:11" ht="15.75" customHeight="1" x14ac:dyDescent="0.2">
      <c r="K280" s="67"/>
    </row>
    <row r="281" spans="11:11" ht="15.75" customHeight="1" x14ac:dyDescent="0.2">
      <c r="K281" s="67"/>
    </row>
    <row r="282" spans="11:11" ht="15.75" customHeight="1" x14ac:dyDescent="0.2">
      <c r="K282" s="67"/>
    </row>
    <row r="283" spans="11:11" ht="15.75" customHeight="1" x14ac:dyDescent="0.2">
      <c r="K283" s="67"/>
    </row>
    <row r="284" spans="11:11" ht="15.75" customHeight="1" x14ac:dyDescent="0.2">
      <c r="K284" s="67"/>
    </row>
    <row r="285" spans="11:11" ht="15.75" customHeight="1" x14ac:dyDescent="0.2">
      <c r="K285" s="67"/>
    </row>
    <row r="286" spans="11:11" ht="15.75" customHeight="1" x14ac:dyDescent="0.2">
      <c r="K286" s="67"/>
    </row>
    <row r="287" spans="11:11" ht="15.75" customHeight="1" x14ac:dyDescent="0.2">
      <c r="K287" s="67"/>
    </row>
    <row r="288" spans="11:11" ht="15.75" customHeight="1" x14ac:dyDescent="0.2">
      <c r="K288" s="67"/>
    </row>
    <row r="289" spans="11:11" ht="15.75" customHeight="1" x14ac:dyDescent="0.2">
      <c r="K289" s="67"/>
    </row>
    <row r="290" spans="11:11" ht="15.75" customHeight="1" x14ac:dyDescent="0.2">
      <c r="K290" s="67"/>
    </row>
    <row r="291" spans="11:11" ht="15.75" customHeight="1" x14ac:dyDescent="0.2">
      <c r="K291" s="67"/>
    </row>
    <row r="292" spans="11:11" ht="15.75" customHeight="1" x14ac:dyDescent="0.2">
      <c r="K292" s="67"/>
    </row>
    <row r="293" spans="11:11" ht="15.75" customHeight="1" x14ac:dyDescent="0.2">
      <c r="K293" s="67"/>
    </row>
    <row r="294" spans="11:11" ht="15.75" customHeight="1" x14ac:dyDescent="0.2">
      <c r="K294" s="67"/>
    </row>
    <row r="295" spans="11:11" ht="15.75" customHeight="1" x14ac:dyDescent="0.2">
      <c r="K295" s="67"/>
    </row>
    <row r="296" spans="11:11" ht="15.75" customHeight="1" x14ac:dyDescent="0.2">
      <c r="K296" s="67"/>
    </row>
    <row r="297" spans="11:11" ht="15.75" customHeight="1" x14ac:dyDescent="0.2">
      <c r="K297" s="67"/>
    </row>
    <row r="298" spans="11:11" ht="15.75" customHeight="1" x14ac:dyDescent="0.2">
      <c r="K298" s="67"/>
    </row>
    <row r="299" spans="11:11" ht="15.75" customHeight="1" x14ac:dyDescent="0.2">
      <c r="K299" s="67"/>
    </row>
    <row r="300" spans="11:11" ht="15.75" customHeight="1" x14ac:dyDescent="0.2">
      <c r="K300" s="67"/>
    </row>
    <row r="301" spans="11:11" ht="15.75" customHeight="1" x14ac:dyDescent="0.2">
      <c r="K301" s="67"/>
    </row>
    <row r="302" spans="11:11" ht="15.75" customHeight="1" x14ac:dyDescent="0.2">
      <c r="K302" s="67"/>
    </row>
    <row r="303" spans="11:11" ht="15.75" customHeight="1" x14ac:dyDescent="0.2">
      <c r="K303" s="67"/>
    </row>
    <row r="304" spans="11:11" ht="15.75" customHeight="1" x14ac:dyDescent="0.2">
      <c r="K304" s="67"/>
    </row>
    <row r="305" spans="11:11" ht="15.75" customHeight="1" x14ac:dyDescent="0.2">
      <c r="K305" s="67"/>
    </row>
    <row r="306" spans="11:11" ht="15.75" customHeight="1" x14ac:dyDescent="0.2">
      <c r="K306" s="67"/>
    </row>
    <row r="307" spans="11:11" ht="15.75" customHeight="1" x14ac:dyDescent="0.2">
      <c r="K307" s="67"/>
    </row>
    <row r="308" spans="11:11" ht="15.75" customHeight="1" x14ac:dyDescent="0.2">
      <c r="K308" s="67"/>
    </row>
    <row r="309" spans="11:11" ht="15.75" customHeight="1" x14ac:dyDescent="0.2">
      <c r="K309" s="67"/>
    </row>
    <row r="310" spans="11:11" ht="15.75" customHeight="1" x14ac:dyDescent="0.2">
      <c r="K310" s="67"/>
    </row>
    <row r="311" spans="11:11" ht="15.75" customHeight="1" x14ac:dyDescent="0.2">
      <c r="K311" s="67"/>
    </row>
    <row r="312" spans="11:11" ht="15.75" customHeight="1" x14ac:dyDescent="0.2">
      <c r="K312" s="67"/>
    </row>
    <row r="313" spans="11:11" ht="15.75" customHeight="1" x14ac:dyDescent="0.2">
      <c r="K313" s="67"/>
    </row>
    <row r="314" spans="11:11" ht="15.75" customHeight="1" x14ac:dyDescent="0.2">
      <c r="K314" s="67"/>
    </row>
    <row r="315" spans="11:11" ht="15.75" customHeight="1" x14ac:dyDescent="0.2">
      <c r="K315" s="67"/>
    </row>
    <row r="316" spans="11:11" ht="15.75" customHeight="1" x14ac:dyDescent="0.2">
      <c r="K316" s="67"/>
    </row>
    <row r="317" spans="11:11" ht="15.75" customHeight="1" x14ac:dyDescent="0.2">
      <c r="K317" s="67"/>
    </row>
    <row r="318" spans="11:11" ht="15.75" customHeight="1" x14ac:dyDescent="0.2">
      <c r="K318" s="67"/>
    </row>
    <row r="319" spans="11:11" ht="15.75" customHeight="1" x14ac:dyDescent="0.2">
      <c r="K319" s="67"/>
    </row>
    <row r="320" spans="11:11" ht="15.75" customHeight="1" x14ac:dyDescent="0.2">
      <c r="K320" s="67"/>
    </row>
    <row r="321" spans="11:11" ht="15.75" customHeight="1" x14ac:dyDescent="0.2">
      <c r="K321" s="67"/>
    </row>
    <row r="322" spans="11:11" ht="15.75" customHeight="1" x14ac:dyDescent="0.2">
      <c r="K322" s="67"/>
    </row>
    <row r="323" spans="11:11" ht="15.75" customHeight="1" x14ac:dyDescent="0.2">
      <c r="K323" s="67"/>
    </row>
    <row r="324" spans="11:11" ht="15.75" customHeight="1" x14ac:dyDescent="0.2">
      <c r="K324" s="67"/>
    </row>
    <row r="325" spans="11:11" ht="15.75" customHeight="1" x14ac:dyDescent="0.2">
      <c r="K325" s="67"/>
    </row>
    <row r="326" spans="11:11" ht="15.75" customHeight="1" x14ac:dyDescent="0.2">
      <c r="K326" s="67"/>
    </row>
    <row r="327" spans="11:11" ht="15.75" customHeight="1" x14ac:dyDescent="0.2">
      <c r="K327" s="67"/>
    </row>
    <row r="328" spans="11:11" ht="15.75" customHeight="1" x14ac:dyDescent="0.2">
      <c r="K328" s="67"/>
    </row>
    <row r="329" spans="11:11" ht="15.75" customHeight="1" x14ac:dyDescent="0.2">
      <c r="K329" s="67"/>
    </row>
    <row r="330" spans="11:11" ht="15.75" customHeight="1" x14ac:dyDescent="0.2">
      <c r="K330" s="67"/>
    </row>
    <row r="331" spans="11:11" ht="15.75" customHeight="1" x14ac:dyDescent="0.2">
      <c r="K331" s="67"/>
    </row>
    <row r="332" spans="11:11" ht="15.75" customHeight="1" x14ac:dyDescent="0.2">
      <c r="K332" s="67"/>
    </row>
    <row r="333" spans="11:11" ht="15.75" customHeight="1" x14ac:dyDescent="0.2">
      <c r="K333" s="67"/>
    </row>
    <row r="334" spans="11:11" ht="15.75" customHeight="1" x14ac:dyDescent="0.2">
      <c r="K334" s="67"/>
    </row>
    <row r="335" spans="11:11" ht="15.75" customHeight="1" x14ac:dyDescent="0.2">
      <c r="K335" s="67"/>
    </row>
    <row r="336" spans="11:11" ht="15.75" customHeight="1" x14ac:dyDescent="0.2">
      <c r="K336" s="67"/>
    </row>
    <row r="337" spans="11:11" ht="15.75" customHeight="1" x14ac:dyDescent="0.2">
      <c r="K337" s="67"/>
    </row>
    <row r="338" spans="11:11" ht="15.75" customHeight="1" x14ac:dyDescent="0.2">
      <c r="K338" s="67"/>
    </row>
    <row r="339" spans="11:11" ht="15.75" customHeight="1" x14ac:dyDescent="0.2">
      <c r="K339" s="67"/>
    </row>
    <row r="340" spans="11:11" ht="15.75" customHeight="1" x14ac:dyDescent="0.2">
      <c r="K340" s="67"/>
    </row>
    <row r="341" spans="11:11" ht="15.75" customHeight="1" x14ac:dyDescent="0.2">
      <c r="K341" s="67"/>
    </row>
    <row r="342" spans="11:11" ht="15.75" customHeight="1" x14ac:dyDescent="0.2">
      <c r="K342" s="67"/>
    </row>
    <row r="343" spans="11:11" ht="15.75" customHeight="1" x14ac:dyDescent="0.2">
      <c r="K343" s="67"/>
    </row>
    <row r="344" spans="11:11" ht="15.75" customHeight="1" x14ac:dyDescent="0.2">
      <c r="K344" s="67"/>
    </row>
    <row r="345" spans="11:11" ht="15.75" customHeight="1" x14ac:dyDescent="0.2">
      <c r="K345" s="67"/>
    </row>
    <row r="346" spans="11:11" ht="15.75" customHeight="1" x14ac:dyDescent="0.2">
      <c r="K346" s="67"/>
    </row>
    <row r="347" spans="11:11" ht="15.75" customHeight="1" x14ac:dyDescent="0.2">
      <c r="K347" s="67"/>
    </row>
    <row r="348" spans="11:11" ht="15.75" customHeight="1" x14ac:dyDescent="0.2">
      <c r="K348" s="67"/>
    </row>
    <row r="349" spans="11:11" ht="15.75" customHeight="1" x14ac:dyDescent="0.2">
      <c r="K349" s="67"/>
    </row>
    <row r="350" spans="11:11" ht="15.75" customHeight="1" x14ac:dyDescent="0.2">
      <c r="K350" s="67"/>
    </row>
    <row r="351" spans="11:11" ht="15.75" customHeight="1" x14ac:dyDescent="0.2">
      <c r="K351" s="67"/>
    </row>
    <row r="352" spans="11:11" ht="15.75" customHeight="1" x14ac:dyDescent="0.2">
      <c r="K352" s="67"/>
    </row>
    <row r="353" spans="11:11" ht="15.75" customHeight="1" x14ac:dyDescent="0.2">
      <c r="K353" s="67"/>
    </row>
    <row r="354" spans="11:11" ht="15.75" customHeight="1" x14ac:dyDescent="0.2">
      <c r="K354" s="67"/>
    </row>
    <row r="355" spans="11:11" ht="15.75" customHeight="1" x14ac:dyDescent="0.2">
      <c r="K355" s="67"/>
    </row>
    <row r="356" spans="11:11" ht="15.75" customHeight="1" x14ac:dyDescent="0.2">
      <c r="K356" s="67"/>
    </row>
    <row r="357" spans="11:11" ht="15.75" customHeight="1" x14ac:dyDescent="0.2">
      <c r="K357" s="67"/>
    </row>
    <row r="358" spans="11:11" ht="15.75" customHeight="1" x14ac:dyDescent="0.2">
      <c r="K358" s="67"/>
    </row>
    <row r="359" spans="11:11" ht="15.75" customHeight="1" x14ac:dyDescent="0.2">
      <c r="K359" s="67"/>
    </row>
    <row r="360" spans="11:11" ht="15.75" customHeight="1" x14ac:dyDescent="0.2">
      <c r="K360" s="67"/>
    </row>
    <row r="361" spans="11:11" ht="15.75" customHeight="1" x14ac:dyDescent="0.2">
      <c r="K361" s="67"/>
    </row>
    <row r="362" spans="11:11" ht="15.75" customHeight="1" x14ac:dyDescent="0.2">
      <c r="K362" s="67"/>
    </row>
    <row r="363" spans="11:11" ht="15.75" customHeight="1" x14ac:dyDescent="0.2">
      <c r="K363" s="67"/>
    </row>
    <row r="364" spans="11:11" ht="15.75" customHeight="1" x14ac:dyDescent="0.2">
      <c r="K364" s="67"/>
    </row>
    <row r="365" spans="11:11" ht="15.75" customHeight="1" x14ac:dyDescent="0.2">
      <c r="K365" s="67"/>
    </row>
    <row r="366" spans="11:11" ht="15.75" customHeight="1" x14ac:dyDescent="0.2">
      <c r="K366" s="67"/>
    </row>
    <row r="367" spans="11:11" ht="15.75" customHeight="1" x14ac:dyDescent="0.2">
      <c r="K367" s="67"/>
    </row>
    <row r="368" spans="11:11" ht="15.75" customHeight="1" x14ac:dyDescent="0.2">
      <c r="K368" s="67"/>
    </row>
    <row r="369" spans="11:11" ht="15.75" customHeight="1" x14ac:dyDescent="0.2">
      <c r="K369" s="67"/>
    </row>
    <row r="370" spans="11:11" ht="15.75" customHeight="1" x14ac:dyDescent="0.2">
      <c r="K370" s="67"/>
    </row>
    <row r="371" spans="11:11" ht="15.75" customHeight="1" x14ac:dyDescent="0.2">
      <c r="K371" s="67"/>
    </row>
    <row r="372" spans="11:11" ht="15.75" customHeight="1" x14ac:dyDescent="0.2">
      <c r="K372" s="67"/>
    </row>
    <row r="373" spans="11:11" ht="15.75" customHeight="1" x14ac:dyDescent="0.2">
      <c r="K373" s="67"/>
    </row>
    <row r="374" spans="11:11" ht="15.75" customHeight="1" x14ac:dyDescent="0.2">
      <c r="K374" s="67"/>
    </row>
    <row r="375" spans="11:11" ht="15.75" customHeight="1" x14ac:dyDescent="0.2">
      <c r="K375" s="67"/>
    </row>
    <row r="376" spans="11:11" ht="15.75" customHeight="1" x14ac:dyDescent="0.2">
      <c r="K376" s="67"/>
    </row>
    <row r="377" spans="11:11" ht="15.75" customHeight="1" x14ac:dyDescent="0.2">
      <c r="K377" s="67"/>
    </row>
    <row r="378" spans="11:11" ht="15.75" customHeight="1" x14ac:dyDescent="0.2">
      <c r="K378" s="67"/>
    </row>
    <row r="379" spans="11:11" ht="15.75" customHeight="1" x14ac:dyDescent="0.2">
      <c r="K379" s="67"/>
    </row>
    <row r="380" spans="11:11" ht="15.75" customHeight="1" x14ac:dyDescent="0.2">
      <c r="K380" s="67"/>
    </row>
    <row r="381" spans="11:11" ht="15.75" customHeight="1" x14ac:dyDescent="0.2">
      <c r="K381" s="67"/>
    </row>
    <row r="382" spans="11:11" ht="15.75" customHeight="1" x14ac:dyDescent="0.2">
      <c r="K382" s="67"/>
    </row>
    <row r="383" spans="11:11" ht="15.75" customHeight="1" x14ac:dyDescent="0.2">
      <c r="K383" s="67"/>
    </row>
    <row r="384" spans="11:11" ht="15.75" customHeight="1" x14ac:dyDescent="0.2">
      <c r="K384" s="67"/>
    </row>
    <row r="385" spans="11:11" ht="15.75" customHeight="1" x14ac:dyDescent="0.2">
      <c r="K385" s="67"/>
    </row>
    <row r="386" spans="11:11" ht="15.75" customHeight="1" x14ac:dyDescent="0.2">
      <c r="K386" s="67"/>
    </row>
    <row r="387" spans="11:11" ht="15.75" customHeight="1" x14ac:dyDescent="0.2">
      <c r="K387" s="67"/>
    </row>
    <row r="388" spans="11:11" ht="15.75" customHeight="1" x14ac:dyDescent="0.2">
      <c r="K388" s="67"/>
    </row>
    <row r="389" spans="11:11" ht="15.75" customHeight="1" x14ac:dyDescent="0.2">
      <c r="K389" s="67"/>
    </row>
    <row r="390" spans="11:11" ht="15.75" customHeight="1" x14ac:dyDescent="0.2">
      <c r="K390" s="67"/>
    </row>
    <row r="391" spans="11:11" ht="15.75" customHeight="1" x14ac:dyDescent="0.2">
      <c r="K391" s="67"/>
    </row>
    <row r="392" spans="11:11" ht="15.75" customHeight="1" x14ac:dyDescent="0.2">
      <c r="K392" s="67"/>
    </row>
    <row r="393" spans="11:11" ht="15.75" customHeight="1" x14ac:dyDescent="0.2">
      <c r="K393" s="67"/>
    </row>
    <row r="394" spans="11:11" ht="15.75" customHeight="1" x14ac:dyDescent="0.2">
      <c r="K394" s="67"/>
    </row>
    <row r="395" spans="11:11" ht="15.75" customHeight="1" x14ac:dyDescent="0.2">
      <c r="K395" s="67"/>
    </row>
    <row r="396" spans="11:11" ht="15.75" customHeight="1" x14ac:dyDescent="0.2">
      <c r="K396" s="67"/>
    </row>
    <row r="397" spans="11:11" ht="15.75" customHeight="1" x14ac:dyDescent="0.2">
      <c r="K397" s="67"/>
    </row>
    <row r="398" spans="11:11" ht="15.75" customHeight="1" x14ac:dyDescent="0.2">
      <c r="K398" s="67"/>
    </row>
    <row r="399" spans="11:11" ht="15.75" customHeight="1" x14ac:dyDescent="0.2">
      <c r="K399" s="67"/>
    </row>
    <row r="400" spans="11:11" ht="15.75" customHeight="1" x14ac:dyDescent="0.2">
      <c r="K400" s="67"/>
    </row>
    <row r="401" spans="11:11" ht="15.75" customHeight="1" x14ac:dyDescent="0.2">
      <c r="K401" s="67"/>
    </row>
    <row r="402" spans="11:11" ht="15.75" customHeight="1" x14ac:dyDescent="0.2">
      <c r="K402" s="67"/>
    </row>
    <row r="403" spans="11:11" ht="15.75" customHeight="1" x14ac:dyDescent="0.2">
      <c r="K403" s="67"/>
    </row>
    <row r="404" spans="11:11" ht="15.75" customHeight="1" x14ac:dyDescent="0.2">
      <c r="K404" s="67"/>
    </row>
    <row r="405" spans="11:11" ht="15.75" customHeight="1" x14ac:dyDescent="0.2">
      <c r="K405" s="67"/>
    </row>
    <row r="406" spans="11:11" ht="15.75" customHeight="1" x14ac:dyDescent="0.2">
      <c r="K406" s="67"/>
    </row>
    <row r="407" spans="11:11" ht="15.75" customHeight="1" x14ac:dyDescent="0.2">
      <c r="K407" s="67"/>
    </row>
    <row r="408" spans="11:11" ht="15.75" customHeight="1" x14ac:dyDescent="0.2">
      <c r="K408" s="67"/>
    </row>
    <row r="409" spans="11:11" ht="15.75" customHeight="1" x14ac:dyDescent="0.2">
      <c r="K409" s="67"/>
    </row>
    <row r="410" spans="11:11" ht="15.75" customHeight="1" x14ac:dyDescent="0.2">
      <c r="K410" s="67"/>
    </row>
    <row r="411" spans="11:11" ht="15.75" customHeight="1" x14ac:dyDescent="0.2">
      <c r="K411" s="67"/>
    </row>
    <row r="412" spans="11:11" ht="15.75" customHeight="1" x14ac:dyDescent="0.2">
      <c r="K412" s="67"/>
    </row>
    <row r="413" spans="11:11" ht="15.75" customHeight="1" x14ac:dyDescent="0.2">
      <c r="K413" s="67"/>
    </row>
    <row r="414" spans="11:11" ht="15.75" customHeight="1" x14ac:dyDescent="0.2">
      <c r="K414" s="67"/>
    </row>
    <row r="415" spans="11:11" ht="15.75" customHeight="1" x14ac:dyDescent="0.2">
      <c r="K415" s="67"/>
    </row>
    <row r="416" spans="11:11" ht="15.75" customHeight="1" x14ac:dyDescent="0.2">
      <c r="K416" s="67"/>
    </row>
    <row r="417" spans="11:11" ht="15.75" customHeight="1" x14ac:dyDescent="0.2">
      <c r="K417" s="67"/>
    </row>
    <row r="418" spans="11:11" ht="15.75" customHeight="1" x14ac:dyDescent="0.2">
      <c r="K418" s="67"/>
    </row>
    <row r="419" spans="11:11" ht="15.75" customHeight="1" x14ac:dyDescent="0.2">
      <c r="K419" s="67"/>
    </row>
    <row r="420" spans="11:11" ht="15.75" customHeight="1" x14ac:dyDescent="0.2">
      <c r="K420" s="67"/>
    </row>
    <row r="421" spans="11:11" ht="15.75" customHeight="1" x14ac:dyDescent="0.2">
      <c r="K421" s="67"/>
    </row>
    <row r="422" spans="11:11" ht="15.75" customHeight="1" x14ac:dyDescent="0.2">
      <c r="K422" s="67"/>
    </row>
    <row r="423" spans="11:11" ht="15.75" customHeight="1" x14ac:dyDescent="0.2">
      <c r="K423" s="67"/>
    </row>
    <row r="424" spans="11:11" ht="15.75" customHeight="1" x14ac:dyDescent="0.2">
      <c r="K424" s="67"/>
    </row>
    <row r="425" spans="11:11" ht="15.75" customHeight="1" x14ac:dyDescent="0.2">
      <c r="K425" s="67"/>
    </row>
    <row r="426" spans="11:11" ht="15.75" customHeight="1" x14ac:dyDescent="0.2">
      <c r="K426" s="67"/>
    </row>
    <row r="427" spans="11:11" ht="15.75" customHeight="1" x14ac:dyDescent="0.2">
      <c r="K427" s="67"/>
    </row>
    <row r="428" spans="11:11" ht="15.75" customHeight="1" x14ac:dyDescent="0.2">
      <c r="K428" s="67"/>
    </row>
    <row r="429" spans="11:11" ht="15.75" customHeight="1" x14ac:dyDescent="0.2">
      <c r="K429" s="67"/>
    </row>
    <row r="430" spans="11:11" ht="15.75" customHeight="1" x14ac:dyDescent="0.2">
      <c r="K430" s="67"/>
    </row>
    <row r="431" spans="11:11" ht="15.75" customHeight="1" x14ac:dyDescent="0.2">
      <c r="K431" s="67"/>
    </row>
    <row r="432" spans="11:11" ht="15.75" customHeight="1" x14ac:dyDescent="0.2">
      <c r="K432" s="67"/>
    </row>
    <row r="433" spans="11:11" ht="15.75" customHeight="1" x14ac:dyDescent="0.2">
      <c r="K433" s="67"/>
    </row>
    <row r="434" spans="11:11" ht="15.75" customHeight="1" x14ac:dyDescent="0.2">
      <c r="K434" s="67"/>
    </row>
    <row r="435" spans="11:11" ht="15.75" customHeight="1" x14ac:dyDescent="0.2">
      <c r="K435" s="67"/>
    </row>
    <row r="436" spans="11:11" ht="15.75" customHeight="1" x14ac:dyDescent="0.2">
      <c r="K436" s="67"/>
    </row>
    <row r="437" spans="11:11" ht="15.75" customHeight="1" x14ac:dyDescent="0.2">
      <c r="K437" s="67"/>
    </row>
    <row r="438" spans="11:11" ht="15.75" customHeight="1" x14ac:dyDescent="0.2">
      <c r="K438" s="67"/>
    </row>
    <row r="439" spans="11:11" ht="15.75" customHeight="1" x14ac:dyDescent="0.2">
      <c r="K439" s="67"/>
    </row>
    <row r="440" spans="11:11" ht="15.75" customHeight="1" x14ac:dyDescent="0.2">
      <c r="K440" s="67"/>
    </row>
    <row r="441" spans="11:11" ht="15.75" customHeight="1" x14ac:dyDescent="0.2">
      <c r="K441" s="67"/>
    </row>
    <row r="442" spans="11:11" ht="15.75" customHeight="1" x14ac:dyDescent="0.2">
      <c r="K442" s="67"/>
    </row>
    <row r="443" spans="11:11" ht="15.75" customHeight="1" x14ac:dyDescent="0.2">
      <c r="K443" s="67"/>
    </row>
    <row r="444" spans="11:11" ht="15.75" customHeight="1" x14ac:dyDescent="0.2">
      <c r="K444" s="67"/>
    </row>
    <row r="445" spans="11:11" ht="15.75" customHeight="1" x14ac:dyDescent="0.2">
      <c r="K445" s="67"/>
    </row>
    <row r="446" spans="11:11" ht="15.75" customHeight="1" x14ac:dyDescent="0.2">
      <c r="K446" s="67"/>
    </row>
    <row r="447" spans="11:11" ht="15.75" customHeight="1" x14ac:dyDescent="0.2">
      <c r="K447" s="67"/>
    </row>
    <row r="448" spans="11:11" ht="15.75" customHeight="1" x14ac:dyDescent="0.2">
      <c r="K448" s="67"/>
    </row>
    <row r="449" spans="11:11" ht="15.75" customHeight="1" x14ac:dyDescent="0.2">
      <c r="K449" s="67"/>
    </row>
    <row r="450" spans="11:11" ht="15.75" customHeight="1" x14ac:dyDescent="0.2">
      <c r="K450" s="67"/>
    </row>
    <row r="451" spans="11:11" ht="15.75" customHeight="1" x14ac:dyDescent="0.2">
      <c r="K451" s="67"/>
    </row>
    <row r="452" spans="11:11" ht="15.75" customHeight="1" x14ac:dyDescent="0.2">
      <c r="K452" s="67"/>
    </row>
    <row r="453" spans="11:11" ht="15.75" customHeight="1" x14ac:dyDescent="0.2">
      <c r="K453" s="67"/>
    </row>
    <row r="454" spans="11:11" ht="15.75" customHeight="1" x14ac:dyDescent="0.2">
      <c r="K454" s="67"/>
    </row>
    <row r="455" spans="11:11" ht="15.75" customHeight="1" x14ac:dyDescent="0.2">
      <c r="K455" s="67"/>
    </row>
    <row r="456" spans="11:11" ht="15.75" customHeight="1" x14ac:dyDescent="0.2">
      <c r="K456" s="67"/>
    </row>
    <row r="457" spans="11:11" ht="15.75" customHeight="1" x14ac:dyDescent="0.2">
      <c r="K457" s="67"/>
    </row>
    <row r="458" spans="11:11" ht="15.75" customHeight="1" x14ac:dyDescent="0.2">
      <c r="K458" s="67"/>
    </row>
    <row r="459" spans="11:11" ht="15.75" customHeight="1" x14ac:dyDescent="0.2">
      <c r="K459" s="67"/>
    </row>
    <row r="460" spans="11:11" ht="15.75" customHeight="1" x14ac:dyDescent="0.2">
      <c r="K460" s="67"/>
    </row>
    <row r="461" spans="11:11" ht="15.75" customHeight="1" x14ac:dyDescent="0.2">
      <c r="K461" s="67"/>
    </row>
    <row r="462" spans="11:11" ht="15.75" customHeight="1" x14ac:dyDescent="0.2">
      <c r="K462" s="67"/>
    </row>
    <row r="463" spans="11:11" ht="15.75" customHeight="1" x14ac:dyDescent="0.2">
      <c r="K463" s="67"/>
    </row>
    <row r="464" spans="11:11" ht="15.75" customHeight="1" x14ac:dyDescent="0.2">
      <c r="K464" s="67"/>
    </row>
    <row r="465" spans="11:11" ht="15.75" customHeight="1" x14ac:dyDescent="0.2">
      <c r="K465" s="67"/>
    </row>
    <row r="466" spans="11:11" ht="15.75" customHeight="1" x14ac:dyDescent="0.2">
      <c r="K466" s="67"/>
    </row>
    <row r="467" spans="11:11" ht="15.75" customHeight="1" x14ac:dyDescent="0.2">
      <c r="K467" s="67"/>
    </row>
    <row r="468" spans="11:11" ht="15.75" customHeight="1" x14ac:dyDescent="0.2">
      <c r="K468" s="67"/>
    </row>
    <row r="469" spans="11:11" ht="15.75" customHeight="1" x14ac:dyDescent="0.2">
      <c r="K469" s="67"/>
    </row>
    <row r="470" spans="11:11" ht="15.75" customHeight="1" x14ac:dyDescent="0.2">
      <c r="K470" s="67"/>
    </row>
    <row r="471" spans="11:11" ht="15.75" customHeight="1" x14ac:dyDescent="0.2">
      <c r="K471" s="67"/>
    </row>
    <row r="472" spans="11:11" ht="15.75" customHeight="1" x14ac:dyDescent="0.2">
      <c r="K472" s="67"/>
    </row>
    <row r="473" spans="11:11" ht="15.75" customHeight="1" x14ac:dyDescent="0.2">
      <c r="K473" s="67"/>
    </row>
    <row r="474" spans="11:11" ht="15.75" customHeight="1" x14ac:dyDescent="0.2">
      <c r="K474" s="67"/>
    </row>
    <row r="475" spans="11:11" ht="15.75" customHeight="1" x14ac:dyDescent="0.2">
      <c r="K475" s="67"/>
    </row>
    <row r="476" spans="11:11" ht="15.75" customHeight="1" x14ac:dyDescent="0.2">
      <c r="K476" s="67"/>
    </row>
    <row r="477" spans="11:11" ht="15.75" customHeight="1" x14ac:dyDescent="0.2">
      <c r="K477" s="67"/>
    </row>
    <row r="478" spans="11:11" ht="15.75" customHeight="1" x14ac:dyDescent="0.2">
      <c r="K478" s="67"/>
    </row>
    <row r="479" spans="11:11" ht="15.75" customHeight="1" x14ac:dyDescent="0.2">
      <c r="K479" s="67"/>
    </row>
    <row r="480" spans="11:11" ht="15.75" customHeight="1" x14ac:dyDescent="0.2">
      <c r="K480" s="67"/>
    </row>
    <row r="481" spans="11:11" ht="15.75" customHeight="1" x14ac:dyDescent="0.2">
      <c r="K481" s="67"/>
    </row>
    <row r="482" spans="11:11" ht="15.75" customHeight="1" x14ac:dyDescent="0.2">
      <c r="K482" s="67"/>
    </row>
    <row r="483" spans="11:11" ht="15.75" customHeight="1" x14ac:dyDescent="0.2">
      <c r="K483" s="67"/>
    </row>
    <row r="484" spans="11:11" ht="15.75" customHeight="1" x14ac:dyDescent="0.2">
      <c r="K484" s="67"/>
    </row>
    <row r="485" spans="11:11" ht="15.75" customHeight="1" x14ac:dyDescent="0.2">
      <c r="K485" s="67"/>
    </row>
    <row r="486" spans="11:11" ht="15.75" customHeight="1" x14ac:dyDescent="0.2">
      <c r="K486" s="67"/>
    </row>
    <row r="487" spans="11:11" ht="15.75" customHeight="1" x14ac:dyDescent="0.2">
      <c r="K487" s="67"/>
    </row>
    <row r="488" spans="11:11" ht="15.75" customHeight="1" x14ac:dyDescent="0.2">
      <c r="K488" s="67"/>
    </row>
    <row r="489" spans="11:11" ht="15.75" customHeight="1" x14ac:dyDescent="0.2">
      <c r="K489" s="67"/>
    </row>
    <row r="490" spans="11:11" ht="15.75" customHeight="1" x14ac:dyDescent="0.2">
      <c r="K490" s="67"/>
    </row>
    <row r="491" spans="11:11" ht="15.75" customHeight="1" x14ac:dyDescent="0.2">
      <c r="K491" s="67"/>
    </row>
    <row r="492" spans="11:11" ht="15.75" customHeight="1" x14ac:dyDescent="0.2">
      <c r="K492" s="67"/>
    </row>
    <row r="493" spans="11:11" ht="15.75" customHeight="1" x14ac:dyDescent="0.2">
      <c r="K493" s="67"/>
    </row>
    <row r="494" spans="11:11" ht="15.75" customHeight="1" x14ac:dyDescent="0.2">
      <c r="K494" s="67"/>
    </row>
    <row r="495" spans="11:11" ht="15.75" customHeight="1" x14ac:dyDescent="0.2">
      <c r="K495" s="67"/>
    </row>
    <row r="496" spans="11:11" ht="15.75" customHeight="1" x14ac:dyDescent="0.2">
      <c r="K496" s="67"/>
    </row>
    <row r="497" spans="11:11" ht="15.75" customHeight="1" x14ac:dyDescent="0.2">
      <c r="K497" s="67"/>
    </row>
    <row r="498" spans="11:11" ht="15.75" customHeight="1" x14ac:dyDescent="0.2">
      <c r="K498" s="67"/>
    </row>
    <row r="499" spans="11:11" ht="15.75" customHeight="1" x14ac:dyDescent="0.2">
      <c r="K499" s="67"/>
    </row>
    <row r="500" spans="11:11" ht="15.75" customHeight="1" x14ac:dyDescent="0.2">
      <c r="K500" s="67"/>
    </row>
    <row r="501" spans="11:11" ht="15.75" customHeight="1" x14ac:dyDescent="0.2">
      <c r="K501" s="67"/>
    </row>
    <row r="502" spans="11:11" ht="15.75" customHeight="1" x14ac:dyDescent="0.2">
      <c r="K502" s="67"/>
    </row>
    <row r="503" spans="11:11" ht="15.75" customHeight="1" x14ac:dyDescent="0.2">
      <c r="K503" s="67"/>
    </row>
    <row r="504" spans="11:11" ht="15.75" customHeight="1" x14ac:dyDescent="0.2">
      <c r="K504" s="67"/>
    </row>
    <row r="505" spans="11:11" ht="15.75" customHeight="1" x14ac:dyDescent="0.2">
      <c r="K505" s="67"/>
    </row>
    <row r="506" spans="11:11" ht="15.75" customHeight="1" x14ac:dyDescent="0.2">
      <c r="K506" s="67"/>
    </row>
    <row r="507" spans="11:11" ht="15.75" customHeight="1" x14ac:dyDescent="0.2">
      <c r="K507" s="67"/>
    </row>
    <row r="508" spans="11:11" ht="15.75" customHeight="1" x14ac:dyDescent="0.2">
      <c r="K508" s="67"/>
    </row>
    <row r="509" spans="11:11" ht="15.75" customHeight="1" x14ac:dyDescent="0.2">
      <c r="K509" s="67"/>
    </row>
    <row r="510" spans="11:11" ht="15.75" customHeight="1" x14ac:dyDescent="0.2">
      <c r="K510" s="67"/>
    </row>
    <row r="511" spans="11:11" ht="15.75" customHeight="1" x14ac:dyDescent="0.2">
      <c r="K511" s="67"/>
    </row>
    <row r="512" spans="11:11" ht="15.75" customHeight="1" x14ac:dyDescent="0.2">
      <c r="K512" s="67"/>
    </row>
    <row r="513" spans="11:11" ht="15.75" customHeight="1" x14ac:dyDescent="0.2">
      <c r="K513" s="67"/>
    </row>
    <row r="514" spans="11:11" ht="15.75" customHeight="1" x14ac:dyDescent="0.2">
      <c r="K514" s="67"/>
    </row>
    <row r="515" spans="11:11" ht="15.75" customHeight="1" x14ac:dyDescent="0.2">
      <c r="K515" s="67"/>
    </row>
    <row r="516" spans="11:11" ht="15.75" customHeight="1" x14ac:dyDescent="0.2">
      <c r="K516" s="67"/>
    </row>
    <row r="517" spans="11:11" ht="15.75" customHeight="1" x14ac:dyDescent="0.2">
      <c r="K517" s="67"/>
    </row>
    <row r="518" spans="11:11" ht="15.75" customHeight="1" x14ac:dyDescent="0.2">
      <c r="K518" s="67"/>
    </row>
    <row r="519" spans="11:11" ht="15.75" customHeight="1" x14ac:dyDescent="0.2">
      <c r="K519" s="67"/>
    </row>
    <row r="520" spans="11:11" ht="15.75" customHeight="1" x14ac:dyDescent="0.2">
      <c r="K520" s="67"/>
    </row>
    <row r="521" spans="11:11" ht="15.75" customHeight="1" x14ac:dyDescent="0.2">
      <c r="K521" s="67"/>
    </row>
    <row r="522" spans="11:11" ht="15.75" customHeight="1" x14ac:dyDescent="0.2">
      <c r="K522" s="67"/>
    </row>
    <row r="523" spans="11:11" ht="15.75" customHeight="1" x14ac:dyDescent="0.2">
      <c r="K523" s="67"/>
    </row>
    <row r="524" spans="11:11" ht="15.75" customHeight="1" x14ac:dyDescent="0.2">
      <c r="K524" s="67"/>
    </row>
    <row r="525" spans="11:11" ht="15.75" customHeight="1" x14ac:dyDescent="0.2">
      <c r="K525" s="67"/>
    </row>
    <row r="526" spans="11:11" ht="15.75" customHeight="1" x14ac:dyDescent="0.2">
      <c r="K526" s="67"/>
    </row>
    <row r="527" spans="11:11" ht="15.75" customHeight="1" x14ac:dyDescent="0.2">
      <c r="K527" s="67"/>
    </row>
    <row r="528" spans="11:11" ht="15.75" customHeight="1" x14ac:dyDescent="0.2">
      <c r="K528" s="67"/>
    </row>
    <row r="529" spans="11:11" ht="15.75" customHeight="1" x14ac:dyDescent="0.2">
      <c r="K529" s="67"/>
    </row>
    <row r="530" spans="11:11" ht="15.75" customHeight="1" x14ac:dyDescent="0.2">
      <c r="K530" s="67"/>
    </row>
    <row r="531" spans="11:11" ht="15.75" customHeight="1" x14ac:dyDescent="0.2">
      <c r="K531" s="67"/>
    </row>
    <row r="532" spans="11:11" ht="15.75" customHeight="1" x14ac:dyDescent="0.2">
      <c r="K532" s="67"/>
    </row>
    <row r="533" spans="11:11" ht="15.75" customHeight="1" x14ac:dyDescent="0.2">
      <c r="K533" s="67"/>
    </row>
    <row r="534" spans="11:11" ht="15.75" customHeight="1" x14ac:dyDescent="0.2">
      <c r="K534" s="67"/>
    </row>
    <row r="535" spans="11:11" ht="15.75" customHeight="1" x14ac:dyDescent="0.2">
      <c r="K535" s="67"/>
    </row>
    <row r="536" spans="11:11" ht="15.75" customHeight="1" x14ac:dyDescent="0.2">
      <c r="K536" s="67"/>
    </row>
    <row r="537" spans="11:11" ht="15.75" customHeight="1" x14ac:dyDescent="0.2">
      <c r="K537" s="67"/>
    </row>
    <row r="538" spans="11:11" ht="15.75" customHeight="1" x14ac:dyDescent="0.2">
      <c r="K538" s="67"/>
    </row>
    <row r="539" spans="11:11" ht="15.75" customHeight="1" x14ac:dyDescent="0.2">
      <c r="K539" s="67"/>
    </row>
    <row r="540" spans="11:11" ht="15.75" customHeight="1" x14ac:dyDescent="0.2">
      <c r="K540" s="67"/>
    </row>
    <row r="541" spans="11:11" ht="15.75" customHeight="1" x14ac:dyDescent="0.2">
      <c r="K541" s="67"/>
    </row>
    <row r="542" spans="11:11" ht="15.75" customHeight="1" x14ac:dyDescent="0.2">
      <c r="K542" s="67"/>
    </row>
    <row r="543" spans="11:11" ht="15.75" customHeight="1" x14ac:dyDescent="0.2">
      <c r="K543" s="67"/>
    </row>
    <row r="544" spans="11:11" ht="15.75" customHeight="1" x14ac:dyDescent="0.2">
      <c r="K544" s="67"/>
    </row>
    <row r="545" spans="11:11" ht="15.75" customHeight="1" x14ac:dyDescent="0.2">
      <c r="K545" s="67"/>
    </row>
    <row r="546" spans="11:11" ht="15.75" customHeight="1" x14ac:dyDescent="0.2">
      <c r="K546" s="67"/>
    </row>
    <row r="547" spans="11:11" ht="15.75" customHeight="1" x14ac:dyDescent="0.2">
      <c r="K547" s="67"/>
    </row>
    <row r="548" spans="11:11" ht="15.75" customHeight="1" x14ac:dyDescent="0.2">
      <c r="K548" s="67"/>
    </row>
    <row r="549" spans="11:11" ht="15.75" customHeight="1" x14ac:dyDescent="0.2">
      <c r="K549" s="67"/>
    </row>
    <row r="550" spans="11:11" ht="15.75" customHeight="1" x14ac:dyDescent="0.2">
      <c r="K550" s="67"/>
    </row>
    <row r="551" spans="11:11" ht="15.75" customHeight="1" x14ac:dyDescent="0.2">
      <c r="K551" s="67"/>
    </row>
    <row r="552" spans="11:11" ht="15.75" customHeight="1" x14ac:dyDescent="0.2">
      <c r="K552" s="67"/>
    </row>
    <row r="553" spans="11:11" ht="15.75" customHeight="1" x14ac:dyDescent="0.2">
      <c r="K553" s="67"/>
    </row>
    <row r="554" spans="11:11" ht="15.75" customHeight="1" x14ac:dyDescent="0.2">
      <c r="K554" s="67"/>
    </row>
    <row r="555" spans="11:11" ht="15.75" customHeight="1" x14ac:dyDescent="0.2">
      <c r="K555" s="67"/>
    </row>
    <row r="556" spans="11:11" ht="15.75" customHeight="1" x14ac:dyDescent="0.2">
      <c r="K556" s="67"/>
    </row>
    <row r="557" spans="11:11" ht="15.75" customHeight="1" x14ac:dyDescent="0.2">
      <c r="K557" s="67"/>
    </row>
    <row r="558" spans="11:11" ht="15.75" customHeight="1" x14ac:dyDescent="0.2">
      <c r="K558" s="67"/>
    </row>
    <row r="559" spans="11:11" ht="15.75" customHeight="1" x14ac:dyDescent="0.2">
      <c r="K559" s="67"/>
    </row>
    <row r="560" spans="11:11" ht="15.75" customHeight="1" x14ac:dyDescent="0.2">
      <c r="K560" s="67"/>
    </row>
    <row r="561" spans="11:11" ht="15.75" customHeight="1" x14ac:dyDescent="0.2">
      <c r="K561" s="67"/>
    </row>
    <row r="562" spans="11:11" ht="15.75" customHeight="1" x14ac:dyDescent="0.2">
      <c r="K562" s="67"/>
    </row>
    <row r="563" spans="11:11" ht="15.75" customHeight="1" x14ac:dyDescent="0.2">
      <c r="K563" s="67"/>
    </row>
    <row r="564" spans="11:11" ht="15.75" customHeight="1" x14ac:dyDescent="0.2">
      <c r="K564" s="67"/>
    </row>
    <row r="565" spans="11:11" ht="15.75" customHeight="1" x14ac:dyDescent="0.2">
      <c r="K565" s="67"/>
    </row>
    <row r="566" spans="11:11" ht="15.75" customHeight="1" x14ac:dyDescent="0.2">
      <c r="K566" s="67"/>
    </row>
    <row r="567" spans="11:11" ht="15.75" customHeight="1" x14ac:dyDescent="0.2">
      <c r="K567" s="67"/>
    </row>
    <row r="568" spans="11:11" ht="15.75" customHeight="1" x14ac:dyDescent="0.2">
      <c r="K568" s="67"/>
    </row>
    <row r="569" spans="11:11" ht="15.75" customHeight="1" x14ac:dyDescent="0.2">
      <c r="K569" s="67"/>
    </row>
    <row r="570" spans="11:11" ht="15.75" customHeight="1" x14ac:dyDescent="0.2">
      <c r="K570" s="67"/>
    </row>
    <row r="571" spans="11:11" ht="15.75" customHeight="1" x14ac:dyDescent="0.2">
      <c r="K571" s="67"/>
    </row>
    <row r="572" spans="11:11" ht="15.75" customHeight="1" x14ac:dyDescent="0.2">
      <c r="K572" s="67"/>
    </row>
    <row r="573" spans="11:11" ht="15.75" customHeight="1" x14ac:dyDescent="0.2">
      <c r="K573" s="67"/>
    </row>
    <row r="574" spans="11:11" ht="15.75" customHeight="1" x14ac:dyDescent="0.2">
      <c r="K574" s="67"/>
    </row>
    <row r="575" spans="11:11" ht="15.75" customHeight="1" x14ac:dyDescent="0.2">
      <c r="K575" s="67"/>
    </row>
    <row r="576" spans="11:11" ht="15.75" customHeight="1" x14ac:dyDescent="0.2">
      <c r="K576" s="67"/>
    </row>
    <row r="577" spans="11:11" ht="15.75" customHeight="1" x14ac:dyDescent="0.2">
      <c r="K577" s="67"/>
    </row>
    <row r="578" spans="11:11" ht="15.75" customHeight="1" x14ac:dyDescent="0.2">
      <c r="K578" s="67"/>
    </row>
    <row r="579" spans="11:11" ht="15.75" customHeight="1" x14ac:dyDescent="0.2">
      <c r="K579" s="67"/>
    </row>
    <row r="580" spans="11:11" ht="15.75" customHeight="1" x14ac:dyDescent="0.2">
      <c r="K580" s="67"/>
    </row>
    <row r="581" spans="11:11" ht="15.75" customHeight="1" x14ac:dyDescent="0.2">
      <c r="K581" s="67"/>
    </row>
    <row r="582" spans="11:11" ht="15.75" customHeight="1" x14ac:dyDescent="0.2">
      <c r="K582" s="67"/>
    </row>
    <row r="583" spans="11:11" ht="15.75" customHeight="1" x14ac:dyDescent="0.2">
      <c r="K583" s="67"/>
    </row>
    <row r="584" spans="11:11" ht="15.75" customHeight="1" x14ac:dyDescent="0.2">
      <c r="K584" s="67"/>
    </row>
    <row r="585" spans="11:11" ht="15.75" customHeight="1" x14ac:dyDescent="0.2">
      <c r="K585" s="67"/>
    </row>
    <row r="586" spans="11:11" ht="15.75" customHeight="1" x14ac:dyDescent="0.2">
      <c r="K586" s="67"/>
    </row>
    <row r="587" spans="11:11" ht="15.75" customHeight="1" x14ac:dyDescent="0.2">
      <c r="K587" s="67"/>
    </row>
    <row r="588" spans="11:11" ht="15.75" customHeight="1" x14ac:dyDescent="0.2">
      <c r="K588" s="67"/>
    </row>
    <row r="589" spans="11:11" ht="15.75" customHeight="1" x14ac:dyDescent="0.2">
      <c r="K589" s="67"/>
    </row>
    <row r="590" spans="11:11" ht="15.75" customHeight="1" x14ac:dyDescent="0.2">
      <c r="K590" s="67"/>
    </row>
    <row r="591" spans="11:11" ht="15.75" customHeight="1" x14ac:dyDescent="0.2">
      <c r="K591" s="67"/>
    </row>
    <row r="592" spans="11:11" ht="15.75" customHeight="1" x14ac:dyDescent="0.2">
      <c r="K592" s="67"/>
    </row>
    <row r="593" spans="11:11" ht="15.75" customHeight="1" x14ac:dyDescent="0.2">
      <c r="K593" s="67"/>
    </row>
    <row r="594" spans="11:11" ht="15.75" customHeight="1" x14ac:dyDescent="0.2">
      <c r="K594" s="67"/>
    </row>
    <row r="595" spans="11:11" ht="15.75" customHeight="1" x14ac:dyDescent="0.2">
      <c r="K595" s="67"/>
    </row>
    <row r="596" spans="11:11" ht="15.75" customHeight="1" x14ac:dyDescent="0.2">
      <c r="K596" s="67"/>
    </row>
    <row r="597" spans="11:11" ht="15.75" customHeight="1" x14ac:dyDescent="0.2">
      <c r="K597" s="67"/>
    </row>
    <row r="598" spans="11:11" ht="15.75" customHeight="1" x14ac:dyDescent="0.2">
      <c r="K598" s="67"/>
    </row>
    <row r="599" spans="11:11" ht="15.75" customHeight="1" x14ac:dyDescent="0.2">
      <c r="K599" s="67"/>
    </row>
    <row r="600" spans="11:11" ht="15.75" customHeight="1" x14ac:dyDescent="0.2">
      <c r="K600" s="67"/>
    </row>
    <row r="601" spans="11:11" ht="15.75" customHeight="1" x14ac:dyDescent="0.2">
      <c r="K601" s="67"/>
    </row>
    <row r="602" spans="11:11" ht="15.75" customHeight="1" x14ac:dyDescent="0.2">
      <c r="K602" s="67"/>
    </row>
    <row r="603" spans="11:11" ht="15.75" customHeight="1" x14ac:dyDescent="0.2">
      <c r="K603" s="67"/>
    </row>
    <row r="604" spans="11:11" ht="15.75" customHeight="1" x14ac:dyDescent="0.2">
      <c r="K604" s="67"/>
    </row>
    <row r="605" spans="11:11" ht="15.75" customHeight="1" x14ac:dyDescent="0.2">
      <c r="K605" s="67"/>
    </row>
    <row r="606" spans="11:11" ht="15.75" customHeight="1" x14ac:dyDescent="0.2">
      <c r="K606" s="67"/>
    </row>
    <row r="607" spans="11:11" ht="15.75" customHeight="1" x14ac:dyDescent="0.2">
      <c r="K607" s="67"/>
    </row>
    <row r="608" spans="11:11" ht="15.75" customHeight="1" x14ac:dyDescent="0.2">
      <c r="K608" s="67"/>
    </row>
    <row r="609" spans="11:11" ht="15.75" customHeight="1" x14ac:dyDescent="0.2">
      <c r="K609" s="67"/>
    </row>
    <row r="610" spans="11:11" ht="15.75" customHeight="1" x14ac:dyDescent="0.2">
      <c r="K610" s="67"/>
    </row>
    <row r="611" spans="11:11" ht="15.75" customHeight="1" x14ac:dyDescent="0.2">
      <c r="K611" s="67"/>
    </row>
    <row r="612" spans="11:11" ht="15.75" customHeight="1" x14ac:dyDescent="0.2">
      <c r="K612" s="67"/>
    </row>
    <row r="613" spans="11:11" ht="15.75" customHeight="1" x14ac:dyDescent="0.2">
      <c r="K613" s="67"/>
    </row>
    <row r="614" spans="11:11" ht="15.75" customHeight="1" x14ac:dyDescent="0.2">
      <c r="K614" s="67"/>
    </row>
    <row r="615" spans="11:11" ht="15.75" customHeight="1" x14ac:dyDescent="0.2">
      <c r="K615" s="67"/>
    </row>
    <row r="616" spans="11:11" ht="15.75" customHeight="1" x14ac:dyDescent="0.2">
      <c r="K616" s="67"/>
    </row>
    <row r="617" spans="11:11" ht="15.75" customHeight="1" x14ac:dyDescent="0.2">
      <c r="K617" s="67"/>
    </row>
    <row r="618" spans="11:11" ht="15.75" customHeight="1" x14ac:dyDescent="0.2">
      <c r="K618" s="67"/>
    </row>
    <row r="619" spans="11:11" ht="15.75" customHeight="1" x14ac:dyDescent="0.2">
      <c r="K619" s="67"/>
    </row>
    <row r="620" spans="11:11" ht="15.75" customHeight="1" x14ac:dyDescent="0.2">
      <c r="K620" s="67"/>
    </row>
    <row r="621" spans="11:11" ht="15.75" customHeight="1" x14ac:dyDescent="0.2">
      <c r="K621" s="67"/>
    </row>
    <row r="622" spans="11:11" ht="15.75" customHeight="1" x14ac:dyDescent="0.2">
      <c r="K622" s="67"/>
    </row>
    <row r="623" spans="11:11" ht="15.75" customHeight="1" x14ac:dyDescent="0.2">
      <c r="K623" s="67"/>
    </row>
    <row r="624" spans="11:11" ht="15.75" customHeight="1" x14ac:dyDescent="0.2">
      <c r="K624" s="67"/>
    </row>
    <row r="625" spans="11:11" ht="15.75" customHeight="1" x14ac:dyDescent="0.2">
      <c r="K625" s="67"/>
    </row>
    <row r="626" spans="11:11" ht="15.75" customHeight="1" x14ac:dyDescent="0.2">
      <c r="K626" s="67"/>
    </row>
    <row r="627" spans="11:11" ht="15.75" customHeight="1" x14ac:dyDescent="0.2">
      <c r="K627" s="67"/>
    </row>
    <row r="628" spans="11:11" ht="15.75" customHeight="1" x14ac:dyDescent="0.2">
      <c r="K628" s="67"/>
    </row>
    <row r="629" spans="11:11" ht="15.75" customHeight="1" x14ac:dyDescent="0.2">
      <c r="K629" s="67"/>
    </row>
    <row r="630" spans="11:11" ht="15.75" customHeight="1" x14ac:dyDescent="0.2">
      <c r="K630" s="67"/>
    </row>
    <row r="631" spans="11:11" ht="15.75" customHeight="1" x14ac:dyDescent="0.2">
      <c r="K631" s="67"/>
    </row>
    <row r="632" spans="11:11" ht="15.75" customHeight="1" x14ac:dyDescent="0.2">
      <c r="K632" s="67"/>
    </row>
    <row r="633" spans="11:11" ht="15.75" customHeight="1" x14ac:dyDescent="0.2">
      <c r="K633" s="67"/>
    </row>
    <row r="634" spans="11:11" ht="15.75" customHeight="1" x14ac:dyDescent="0.2">
      <c r="K634" s="67"/>
    </row>
    <row r="635" spans="11:11" ht="15.75" customHeight="1" x14ac:dyDescent="0.2">
      <c r="K635" s="67"/>
    </row>
    <row r="636" spans="11:11" ht="15.75" customHeight="1" x14ac:dyDescent="0.2">
      <c r="K636" s="67"/>
    </row>
    <row r="637" spans="11:11" ht="15.75" customHeight="1" x14ac:dyDescent="0.2">
      <c r="K637" s="67"/>
    </row>
    <row r="638" spans="11:11" ht="15.75" customHeight="1" x14ac:dyDescent="0.2">
      <c r="K638" s="67"/>
    </row>
    <row r="639" spans="11:11" ht="15.75" customHeight="1" x14ac:dyDescent="0.2">
      <c r="K639" s="67"/>
    </row>
    <row r="640" spans="11:11" ht="15.75" customHeight="1" x14ac:dyDescent="0.2">
      <c r="K640" s="67"/>
    </row>
    <row r="641" spans="11:11" ht="15.75" customHeight="1" x14ac:dyDescent="0.2">
      <c r="K641" s="67"/>
    </row>
    <row r="642" spans="11:11" ht="15.75" customHeight="1" x14ac:dyDescent="0.2">
      <c r="K642" s="67"/>
    </row>
    <row r="643" spans="11:11" ht="15.75" customHeight="1" x14ac:dyDescent="0.2">
      <c r="K643" s="67"/>
    </row>
    <row r="644" spans="11:11" ht="15.75" customHeight="1" x14ac:dyDescent="0.2">
      <c r="K644" s="67"/>
    </row>
    <row r="645" spans="11:11" ht="15.75" customHeight="1" x14ac:dyDescent="0.2">
      <c r="K645" s="67"/>
    </row>
    <row r="646" spans="11:11" ht="15.75" customHeight="1" x14ac:dyDescent="0.2">
      <c r="K646" s="67"/>
    </row>
    <row r="647" spans="11:11" ht="15.75" customHeight="1" x14ac:dyDescent="0.2">
      <c r="K647" s="67"/>
    </row>
    <row r="648" spans="11:11" ht="15.75" customHeight="1" x14ac:dyDescent="0.2">
      <c r="K648" s="67"/>
    </row>
    <row r="649" spans="11:11" ht="15.75" customHeight="1" x14ac:dyDescent="0.2">
      <c r="K649" s="67"/>
    </row>
    <row r="650" spans="11:11" ht="15.75" customHeight="1" x14ac:dyDescent="0.2">
      <c r="K650" s="67"/>
    </row>
    <row r="651" spans="11:11" ht="15.75" customHeight="1" x14ac:dyDescent="0.2">
      <c r="K651" s="67"/>
    </row>
    <row r="652" spans="11:11" ht="15.75" customHeight="1" x14ac:dyDescent="0.2">
      <c r="K652" s="67"/>
    </row>
    <row r="653" spans="11:11" ht="15.75" customHeight="1" x14ac:dyDescent="0.2">
      <c r="K653" s="67"/>
    </row>
    <row r="654" spans="11:11" ht="15.75" customHeight="1" x14ac:dyDescent="0.2">
      <c r="K654" s="67"/>
    </row>
    <row r="655" spans="11:11" ht="15.75" customHeight="1" x14ac:dyDescent="0.2">
      <c r="K655" s="67"/>
    </row>
    <row r="656" spans="11:11" ht="15.75" customHeight="1" x14ac:dyDescent="0.2">
      <c r="K656" s="67"/>
    </row>
    <row r="657" spans="11:11" ht="15.75" customHeight="1" x14ac:dyDescent="0.2">
      <c r="K657" s="67"/>
    </row>
    <row r="658" spans="11:11" ht="15.75" customHeight="1" x14ac:dyDescent="0.2">
      <c r="K658" s="67"/>
    </row>
    <row r="659" spans="11:11" ht="15.75" customHeight="1" x14ac:dyDescent="0.2">
      <c r="K659" s="67"/>
    </row>
    <row r="660" spans="11:11" ht="15.75" customHeight="1" x14ac:dyDescent="0.2">
      <c r="K660" s="67"/>
    </row>
    <row r="661" spans="11:11" ht="15.75" customHeight="1" x14ac:dyDescent="0.2">
      <c r="K661" s="67"/>
    </row>
    <row r="662" spans="11:11" ht="15.75" customHeight="1" x14ac:dyDescent="0.2">
      <c r="K662" s="67"/>
    </row>
    <row r="663" spans="11:11" ht="15.75" customHeight="1" x14ac:dyDescent="0.2">
      <c r="K663" s="67"/>
    </row>
    <row r="664" spans="11:11" ht="15.75" customHeight="1" x14ac:dyDescent="0.2">
      <c r="K664" s="67"/>
    </row>
    <row r="665" spans="11:11" ht="15.75" customHeight="1" x14ac:dyDescent="0.2">
      <c r="K665" s="67"/>
    </row>
    <row r="666" spans="11:11" ht="15.75" customHeight="1" x14ac:dyDescent="0.2">
      <c r="K666" s="67"/>
    </row>
    <row r="667" spans="11:11" ht="15.75" customHeight="1" x14ac:dyDescent="0.2">
      <c r="K667" s="67"/>
    </row>
    <row r="668" spans="11:11" ht="15.75" customHeight="1" x14ac:dyDescent="0.2">
      <c r="K668" s="67"/>
    </row>
    <row r="669" spans="11:11" ht="15.75" customHeight="1" x14ac:dyDescent="0.2">
      <c r="K669" s="67"/>
    </row>
    <row r="670" spans="11:11" ht="15.75" customHeight="1" x14ac:dyDescent="0.2">
      <c r="K670" s="67"/>
    </row>
    <row r="671" spans="11:11" ht="15.75" customHeight="1" x14ac:dyDescent="0.2">
      <c r="K671" s="67"/>
    </row>
    <row r="672" spans="11:11" ht="15.75" customHeight="1" x14ac:dyDescent="0.2">
      <c r="K672" s="67"/>
    </row>
    <row r="673" spans="11:11" ht="15.75" customHeight="1" x14ac:dyDescent="0.2">
      <c r="K673" s="67"/>
    </row>
    <row r="674" spans="11:11" ht="15.75" customHeight="1" x14ac:dyDescent="0.2">
      <c r="K674" s="67"/>
    </row>
    <row r="675" spans="11:11" ht="15.75" customHeight="1" x14ac:dyDescent="0.2">
      <c r="K675" s="67"/>
    </row>
    <row r="676" spans="11:11" ht="15.75" customHeight="1" x14ac:dyDescent="0.2">
      <c r="K676" s="67"/>
    </row>
    <row r="677" spans="11:11" ht="15.75" customHeight="1" x14ac:dyDescent="0.2">
      <c r="K677" s="67"/>
    </row>
    <row r="678" spans="11:11" ht="15.75" customHeight="1" x14ac:dyDescent="0.2">
      <c r="K678" s="67"/>
    </row>
    <row r="679" spans="11:11" ht="15.75" customHeight="1" x14ac:dyDescent="0.2">
      <c r="K679" s="67"/>
    </row>
    <row r="680" spans="11:11" ht="15.75" customHeight="1" x14ac:dyDescent="0.2">
      <c r="K680" s="67"/>
    </row>
    <row r="681" spans="11:11" ht="15.75" customHeight="1" x14ac:dyDescent="0.2">
      <c r="K681" s="67"/>
    </row>
    <row r="682" spans="11:11" ht="15.75" customHeight="1" x14ac:dyDescent="0.2">
      <c r="K682" s="67"/>
    </row>
    <row r="683" spans="11:11" ht="15.75" customHeight="1" x14ac:dyDescent="0.2">
      <c r="K683" s="67"/>
    </row>
    <row r="684" spans="11:11" ht="15.75" customHeight="1" x14ac:dyDescent="0.2">
      <c r="K684" s="67"/>
    </row>
    <row r="685" spans="11:11" ht="15.75" customHeight="1" x14ac:dyDescent="0.2">
      <c r="K685" s="67"/>
    </row>
    <row r="686" spans="11:11" ht="15.75" customHeight="1" x14ac:dyDescent="0.2">
      <c r="K686" s="67"/>
    </row>
    <row r="687" spans="11:11" ht="15.75" customHeight="1" x14ac:dyDescent="0.2">
      <c r="K687" s="67"/>
    </row>
    <row r="688" spans="11:11" ht="15.75" customHeight="1" x14ac:dyDescent="0.2">
      <c r="K688" s="67"/>
    </row>
    <row r="689" spans="11:11" ht="15.75" customHeight="1" x14ac:dyDescent="0.2">
      <c r="K689" s="67"/>
    </row>
    <row r="690" spans="11:11" ht="15.75" customHeight="1" x14ac:dyDescent="0.2">
      <c r="K690" s="67"/>
    </row>
    <row r="691" spans="11:11" ht="15.75" customHeight="1" x14ac:dyDescent="0.2">
      <c r="K691" s="67"/>
    </row>
    <row r="692" spans="11:11" ht="15.75" customHeight="1" x14ac:dyDescent="0.2">
      <c r="K692" s="67"/>
    </row>
    <row r="693" spans="11:11" ht="15.75" customHeight="1" x14ac:dyDescent="0.2">
      <c r="K693" s="67"/>
    </row>
    <row r="694" spans="11:11" ht="15.75" customHeight="1" x14ac:dyDescent="0.2">
      <c r="K694" s="67"/>
    </row>
    <row r="695" spans="11:11" ht="15.75" customHeight="1" x14ac:dyDescent="0.2">
      <c r="K695" s="67"/>
    </row>
    <row r="696" spans="11:11" ht="15.75" customHeight="1" x14ac:dyDescent="0.2">
      <c r="K696" s="67"/>
    </row>
    <row r="697" spans="11:11" ht="15.75" customHeight="1" x14ac:dyDescent="0.2">
      <c r="K697" s="67"/>
    </row>
    <row r="698" spans="11:11" ht="15.75" customHeight="1" x14ac:dyDescent="0.2">
      <c r="K698" s="67"/>
    </row>
    <row r="699" spans="11:11" ht="15.75" customHeight="1" x14ac:dyDescent="0.2">
      <c r="K699" s="67"/>
    </row>
    <row r="700" spans="11:11" ht="15.75" customHeight="1" x14ac:dyDescent="0.2">
      <c r="K700" s="67"/>
    </row>
    <row r="701" spans="11:11" ht="15.75" customHeight="1" x14ac:dyDescent="0.2">
      <c r="K701" s="67"/>
    </row>
    <row r="702" spans="11:11" ht="15.75" customHeight="1" x14ac:dyDescent="0.2">
      <c r="K702" s="67"/>
    </row>
    <row r="703" spans="11:11" ht="15.75" customHeight="1" x14ac:dyDescent="0.2">
      <c r="K703" s="67"/>
    </row>
    <row r="704" spans="11:11" ht="15.75" customHeight="1" x14ac:dyDescent="0.2">
      <c r="K704" s="67"/>
    </row>
    <row r="705" spans="11:11" ht="15.75" customHeight="1" x14ac:dyDescent="0.2">
      <c r="K705" s="67"/>
    </row>
    <row r="706" spans="11:11" ht="15.75" customHeight="1" x14ac:dyDescent="0.2">
      <c r="K706" s="67"/>
    </row>
    <row r="707" spans="11:11" ht="15.75" customHeight="1" x14ac:dyDescent="0.2">
      <c r="K707" s="67"/>
    </row>
    <row r="708" spans="11:11" ht="15.75" customHeight="1" x14ac:dyDescent="0.2">
      <c r="K708" s="67"/>
    </row>
    <row r="709" spans="11:11" ht="15.75" customHeight="1" x14ac:dyDescent="0.2">
      <c r="K709" s="67"/>
    </row>
    <row r="710" spans="11:11" ht="15.75" customHeight="1" x14ac:dyDescent="0.2">
      <c r="K710" s="67"/>
    </row>
    <row r="711" spans="11:11" ht="15.75" customHeight="1" x14ac:dyDescent="0.2">
      <c r="K711" s="67"/>
    </row>
    <row r="712" spans="11:11" ht="15.75" customHeight="1" x14ac:dyDescent="0.2">
      <c r="K712" s="67"/>
    </row>
    <row r="713" spans="11:11" ht="15.75" customHeight="1" x14ac:dyDescent="0.2">
      <c r="K713" s="67"/>
    </row>
    <row r="714" spans="11:11" ht="15.75" customHeight="1" x14ac:dyDescent="0.2">
      <c r="K714" s="67"/>
    </row>
    <row r="715" spans="11:11" ht="15.75" customHeight="1" x14ac:dyDescent="0.2">
      <c r="K715" s="67"/>
    </row>
    <row r="716" spans="11:11" ht="15.75" customHeight="1" x14ac:dyDescent="0.2">
      <c r="K716" s="67"/>
    </row>
    <row r="717" spans="11:11" ht="15.75" customHeight="1" x14ac:dyDescent="0.2">
      <c r="K717" s="67"/>
    </row>
    <row r="718" spans="11:11" ht="15.75" customHeight="1" x14ac:dyDescent="0.2">
      <c r="K718" s="67"/>
    </row>
    <row r="719" spans="11:11" ht="15.75" customHeight="1" x14ac:dyDescent="0.2">
      <c r="K719" s="67"/>
    </row>
    <row r="720" spans="11:11" ht="15.75" customHeight="1" x14ac:dyDescent="0.2">
      <c r="K720" s="67"/>
    </row>
    <row r="721" spans="11:11" ht="15.75" customHeight="1" x14ac:dyDescent="0.2">
      <c r="K721" s="67"/>
    </row>
    <row r="722" spans="11:11" ht="15.75" customHeight="1" x14ac:dyDescent="0.2">
      <c r="K722" s="67"/>
    </row>
    <row r="723" spans="11:11" ht="15.75" customHeight="1" x14ac:dyDescent="0.2">
      <c r="K723" s="67"/>
    </row>
    <row r="724" spans="11:11" ht="15.75" customHeight="1" x14ac:dyDescent="0.2">
      <c r="K724" s="67"/>
    </row>
    <row r="725" spans="11:11" ht="15.75" customHeight="1" x14ac:dyDescent="0.2">
      <c r="K725" s="67"/>
    </row>
    <row r="726" spans="11:11" ht="15.75" customHeight="1" x14ac:dyDescent="0.2">
      <c r="K726" s="67"/>
    </row>
    <row r="727" spans="11:11" ht="15.75" customHeight="1" x14ac:dyDescent="0.2">
      <c r="K727" s="67"/>
    </row>
    <row r="728" spans="11:11" ht="15.75" customHeight="1" x14ac:dyDescent="0.2">
      <c r="K728" s="67"/>
    </row>
    <row r="729" spans="11:11" ht="15.75" customHeight="1" x14ac:dyDescent="0.2">
      <c r="K729" s="67"/>
    </row>
    <row r="730" spans="11:11" ht="15.75" customHeight="1" x14ac:dyDescent="0.2">
      <c r="K730" s="67"/>
    </row>
    <row r="731" spans="11:11" ht="15.75" customHeight="1" x14ac:dyDescent="0.2">
      <c r="K731" s="67"/>
    </row>
    <row r="732" spans="11:11" ht="15.75" customHeight="1" x14ac:dyDescent="0.2">
      <c r="K732" s="67"/>
    </row>
    <row r="733" spans="11:11" ht="15.75" customHeight="1" x14ac:dyDescent="0.2">
      <c r="K733" s="67"/>
    </row>
    <row r="734" spans="11:11" ht="15.75" customHeight="1" x14ac:dyDescent="0.2">
      <c r="K734" s="67"/>
    </row>
    <row r="735" spans="11:11" ht="15.75" customHeight="1" x14ac:dyDescent="0.2">
      <c r="K735" s="67"/>
    </row>
    <row r="736" spans="11:11" ht="15.75" customHeight="1" x14ac:dyDescent="0.2">
      <c r="K736" s="67"/>
    </row>
    <row r="737" spans="11:11" ht="15.75" customHeight="1" x14ac:dyDescent="0.2">
      <c r="K737" s="67"/>
    </row>
    <row r="738" spans="11:11" ht="15.75" customHeight="1" x14ac:dyDescent="0.2">
      <c r="K738" s="67"/>
    </row>
    <row r="739" spans="11:11" ht="15.75" customHeight="1" x14ac:dyDescent="0.2">
      <c r="K739" s="67"/>
    </row>
    <row r="740" spans="11:11" ht="15.75" customHeight="1" x14ac:dyDescent="0.2">
      <c r="K740" s="67"/>
    </row>
    <row r="741" spans="11:11" ht="15.75" customHeight="1" x14ac:dyDescent="0.2">
      <c r="K741" s="67"/>
    </row>
    <row r="742" spans="11:11" ht="15.75" customHeight="1" x14ac:dyDescent="0.2">
      <c r="K742" s="67"/>
    </row>
    <row r="743" spans="11:11" ht="15.75" customHeight="1" x14ac:dyDescent="0.2">
      <c r="K743" s="67"/>
    </row>
    <row r="744" spans="11:11" ht="15.75" customHeight="1" x14ac:dyDescent="0.2">
      <c r="K744" s="67"/>
    </row>
    <row r="745" spans="11:11" ht="15.75" customHeight="1" x14ac:dyDescent="0.2">
      <c r="K745" s="67"/>
    </row>
    <row r="746" spans="11:11" ht="15.75" customHeight="1" x14ac:dyDescent="0.2">
      <c r="K746" s="67"/>
    </row>
    <row r="747" spans="11:11" ht="15.75" customHeight="1" x14ac:dyDescent="0.2">
      <c r="K747" s="67"/>
    </row>
    <row r="748" spans="11:11" ht="15.75" customHeight="1" x14ac:dyDescent="0.2">
      <c r="K748" s="67"/>
    </row>
    <row r="749" spans="11:11" ht="15.75" customHeight="1" x14ac:dyDescent="0.2">
      <c r="K749" s="67"/>
    </row>
    <row r="750" spans="11:11" ht="15.75" customHeight="1" x14ac:dyDescent="0.2">
      <c r="K750" s="67"/>
    </row>
    <row r="751" spans="11:11" ht="15.75" customHeight="1" x14ac:dyDescent="0.2">
      <c r="K751" s="67"/>
    </row>
    <row r="752" spans="11:11" ht="15.75" customHeight="1" x14ac:dyDescent="0.2">
      <c r="K752" s="67"/>
    </row>
    <row r="753" spans="11:11" ht="15.75" customHeight="1" x14ac:dyDescent="0.2">
      <c r="K753" s="67"/>
    </row>
    <row r="754" spans="11:11" ht="15.75" customHeight="1" x14ac:dyDescent="0.2">
      <c r="K754" s="67"/>
    </row>
    <row r="755" spans="11:11" ht="15.75" customHeight="1" x14ac:dyDescent="0.2">
      <c r="K755" s="67"/>
    </row>
    <row r="756" spans="11:11" ht="15.75" customHeight="1" x14ac:dyDescent="0.2">
      <c r="K756" s="67"/>
    </row>
    <row r="757" spans="11:11" ht="15.75" customHeight="1" x14ac:dyDescent="0.2">
      <c r="K757" s="67"/>
    </row>
    <row r="758" spans="11:11" ht="15.75" customHeight="1" x14ac:dyDescent="0.2">
      <c r="K758" s="67"/>
    </row>
    <row r="759" spans="11:11" ht="15.75" customHeight="1" x14ac:dyDescent="0.2">
      <c r="K759" s="67"/>
    </row>
    <row r="760" spans="11:11" ht="15.75" customHeight="1" x14ac:dyDescent="0.2">
      <c r="K760" s="67"/>
    </row>
    <row r="761" spans="11:11" ht="15.75" customHeight="1" x14ac:dyDescent="0.2">
      <c r="K761" s="67"/>
    </row>
    <row r="762" spans="11:11" ht="15.75" customHeight="1" x14ac:dyDescent="0.2">
      <c r="K762" s="67"/>
    </row>
    <row r="763" spans="11:11" ht="15.75" customHeight="1" x14ac:dyDescent="0.2">
      <c r="K763" s="67"/>
    </row>
    <row r="764" spans="11:11" ht="15.75" customHeight="1" x14ac:dyDescent="0.2">
      <c r="K764" s="67"/>
    </row>
    <row r="765" spans="11:11" ht="15.75" customHeight="1" x14ac:dyDescent="0.2">
      <c r="K765" s="67"/>
    </row>
    <row r="766" spans="11:11" ht="15.75" customHeight="1" x14ac:dyDescent="0.2">
      <c r="K766" s="67"/>
    </row>
    <row r="767" spans="11:11" ht="15.75" customHeight="1" x14ac:dyDescent="0.2">
      <c r="K767" s="67"/>
    </row>
    <row r="768" spans="11:11" ht="15.75" customHeight="1" x14ac:dyDescent="0.2">
      <c r="K768" s="67"/>
    </row>
    <row r="769" spans="11:11" ht="15.75" customHeight="1" x14ac:dyDescent="0.2">
      <c r="K769" s="67"/>
    </row>
    <row r="770" spans="11:11" ht="15.75" customHeight="1" x14ac:dyDescent="0.2">
      <c r="K770" s="67"/>
    </row>
    <row r="771" spans="11:11" ht="15.75" customHeight="1" x14ac:dyDescent="0.2">
      <c r="K771" s="67"/>
    </row>
    <row r="772" spans="11:11" ht="15.75" customHeight="1" x14ac:dyDescent="0.2">
      <c r="K772" s="67"/>
    </row>
    <row r="773" spans="11:11" ht="15.75" customHeight="1" x14ac:dyDescent="0.2">
      <c r="K773" s="67"/>
    </row>
    <row r="774" spans="11:11" ht="15.75" customHeight="1" x14ac:dyDescent="0.2">
      <c r="K774" s="67"/>
    </row>
    <row r="775" spans="11:11" ht="15.75" customHeight="1" x14ac:dyDescent="0.2">
      <c r="K775" s="67"/>
    </row>
    <row r="776" spans="11:11" ht="15.75" customHeight="1" x14ac:dyDescent="0.2">
      <c r="K776" s="67"/>
    </row>
    <row r="777" spans="11:11" ht="15.75" customHeight="1" x14ac:dyDescent="0.2">
      <c r="K777" s="67"/>
    </row>
    <row r="778" spans="11:11" ht="15.75" customHeight="1" x14ac:dyDescent="0.2">
      <c r="K778" s="67"/>
    </row>
    <row r="779" spans="11:11" ht="15.75" customHeight="1" x14ac:dyDescent="0.2">
      <c r="K779" s="67"/>
    </row>
    <row r="780" spans="11:11" ht="15.75" customHeight="1" x14ac:dyDescent="0.2">
      <c r="K780" s="67"/>
    </row>
    <row r="781" spans="11:11" ht="15.75" customHeight="1" x14ac:dyDescent="0.2">
      <c r="K781" s="67"/>
    </row>
    <row r="782" spans="11:11" ht="15.75" customHeight="1" x14ac:dyDescent="0.2">
      <c r="K782" s="67"/>
    </row>
    <row r="783" spans="11:11" ht="15.75" customHeight="1" x14ac:dyDescent="0.2">
      <c r="K783" s="67"/>
    </row>
    <row r="784" spans="11:11" ht="15.75" customHeight="1" x14ac:dyDescent="0.2">
      <c r="K784" s="67"/>
    </row>
    <row r="785" spans="11:11" ht="15.75" customHeight="1" x14ac:dyDescent="0.2">
      <c r="K785" s="67"/>
    </row>
    <row r="786" spans="11:11" ht="15.75" customHeight="1" x14ac:dyDescent="0.2">
      <c r="K786" s="67"/>
    </row>
    <row r="787" spans="11:11" ht="15.75" customHeight="1" x14ac:dyDescent="0.2">
      <c r="K787" s="67"/>
    </row>
    <row r="788" spans="11:11" ht="15.75" customHeight="1" x14ac:dyDescent="0.2">
      <c r="K788" s="67"/>
    </row>
    <row r="789" spans="11:11" ht="15.75" customHeight="1" x14ac:dyDescent="0.2">
      <c r="K789" s="67"/>
    </row>
    <row r="790" spans="11:11" ht="15.75" customHeight="1" x14ac:dyDescent="0.2">
      <c r="K790" s="67"/>
    </row>
    <row r="791" spans="11:11" ht="15.75" customHeight="1" x14ac:dyDescent="0.2">
      <c r="K791" s="67"/>
    </row>
    <row r="792" spans="11:11" ht="15.75" customHeight="1" x14ac:dyDescent="0.2">
      <c r="K792" s="67"/>
    </row>
    <row r="793" spans="11:11" ht="15.75" customHeight="1" x14ac:dyDescent="0.2">
      <c r="K793" s="67"/>
    </row>
    <row r="794" spans="11:11" ht="15.75" customHeight="1" x14ac:dyDescent="0.2">
      <c r="K794" s="67"/>
    </row>
    <row r="795" spans="11:11" ht="15.75" customHeight="1" x14ac:dyDescent="0.2">
      <c r="K795" s="67"/>
    </row>
    <row r="796" spans="11:11" ht="15.75" customHeight="1" x14ac:dyDescent="0.2">
      <c r="K796" s="67"/>
    </row>
    <row r="797" spans="11:11" ht="15.75" customHeight="1" x14ac:dyDescent="0.2">
      <c r="K797" s="67"/>
    </row>
    <row r="798" spans="11:11" ht="15.75" customHeight="1" x14ac:dyDescent="0.2">
      <c r="K798" s="67"/>
    </row>
    <row r="799" spans="11:11" ht="15.75" customHeight="1" x14ac:dyDescent="0.2">
      <c r="K799" s="67"/>
    </row>
    <row r="800" spans="11:11" ht="15.75" customHeight="1" x14ac:dyDescent="0.2">
      <c r="K800" s="67"/>
    </row>
    <row r="801" spans="11:11" ht="15.75" customHeight="1" x14ac:dyDescent="0.2">
      <c r="K801" s="67"/>
    </row>
    <row r="802" spans="11:11" ht="15.75" customHeight="1" x14ac:dyDescent="0.2">
      <c r="K802" s="67"/>
    </row>
    <row r="803" spans="11:11" ht="15.75" customHeight="1" x14ac:dyDescent="0.2">
      <c r="K803" s="67"/>
    </row>
    <row r="804" spans="11:11" ht="15.75" customHeight="1" x14ac:dyDescent="0.2">
      <c r="K804" s="67"/>
    </row>
    <row r="805" spans="11:11" ht="15.75" customHeight="1" x14ac:dyDescent="0.2">
      <c r="K805" s="67"/>
    </row>
    <row r="806" spans="11:11" ht="15.75" customHeight="1" x14ac:dyDescent="0.2">
      <c r="K806" s="67"/>
    </row>
    <row r="807" spans="11:11" ht="15.75" customHeight="1" x14ac:dyDescent="0.2">
      <c r="K807" s="67"/>
    </row>
    <row r="808" spans="11:11" ht="15.75" customHeight="1" x14ac:dyDescent="0.2">
      <c r="K808" s="67"/>
    </row>
    <row r="809" spans="11:11" ht="15.75" customHeight="1" x14ac:dyDescent="0.2">
      <c r="K809" s="67"/>
    </row>
    <row r="810" spans="11:11" ht="15.75" customHeight="1" x14ac:dyDescent="0.2">
      <c r="K810" s="67"/>
    </row>
    <row r="811" spans="11:11" ht="15.75" customHeight="1" x14ac:dyDescent="0.2">
      <c r="K811" s="67"/>
    </row>
    <row r="812" spans="11:11" ht="15.75" customHeight="1" x14ac:dyDescent="0.2">
      <c r="K812" s="67"/>
    </row>
    <row r="813" spans="11:11" ht="15.75" customHeight="1" x14ac:dyDescent="0.2">
      <c r="K813" s="67"/>
    </row>
    <row r="814" spans="11:11" ht="15.75" customHeight="1" x14ac:dyDescent="0.2">
      <c r="K814" s="67"/>
    </row>
    <row r="815" spans="11:11" ht="15.75" customHeight="1" x14ac:dyDescent="0.2">
      <c r="K815" s="67"/>
    </row>
    <row r="816" spans="11:11" ht="15.75" customHeight="1" x14ac:dyDescent="0.2">
      <c r="K816" s="67"/>
    </row>
    <row r="817" spans="11:11" ht="15.75" customHeight="1" x14ac:dyDescent="0.2">
      <c r="K817" s="67"/>
    </row>
    <row r="818" spans="11:11" ht="15.75" customHeight="1" x14ac:dyDescent="0.2">
      <c r="K818" s="67"/>
    </row>
    <row r="819" spans="11:11" ht="15.75" customHeight="1" x14ac:dyDescent="0.2">
      <c r="K819" s="67"/>
    </row>
    <row r="820" spans="11:11" ht="15.75" customHeight="1" x14ac:dyDescent="0.2">
      <c r="K820" s="67"/>
    </row>
    <row r="821" spans="11:11" ht="15.75" customHeight="1" x14ac:dyDescent="0.2">
      <c r="K821" s="67"/>
    </row>
    <row r="822" spans="11:11" ht="15.75" customHeight="1" x14ac:dyDescent="0.2">
      <c r="K822" s="67"/>
    </row>
    <row r="823" spans="11:11" ht="15.75" customHeight="1" x14ac:dyDescent="0.2">
      <c r="K823" s="67"/>
    </row>
    <row r="824" spans="11:11" ht="15.75" customHeight="1" x14ac:dyDescent="0.2">
      <c r="K824" s="67"/>
    </row>
    <row r="825" spans="11:11" ht="15.75" customHeight="1" x14ac:dyDescent="0.2">
      <c r="K825" s="67"/>
    </row>
    <row r="826" spans="11:11" ht="15.75" customHeight="1" x14ac:dyDescent="0.2">
      <c r="K826" s="67"/>
    </row>
    <row r="827" spans="11:11" ht="15.75" customHeight="1" x14ac:dyDescent="0.2">
      <c r="K827" s="67"/>
    </row>
    <row r="828" spans="11:11" ht="15.75" customHeight="1" x14ac:dyDescent="0.2">
      <c r="K828" s="67"/>
    </row>
    <row r="829" spans="11:11" ht="15.75" customHeight="1" x14ac:dyDescent="0.2">
      <c r="K829" s="67"/>
    </row>
    <row r="830" spans="11:11" ht="15.75" customHeight="1" x14ac:dyDescent="0.2">
      <c r="K830" s="67"/>
    </row>
    <row r="831" spans="11:11" ht="15.75" customHeight="1" x14ac:dyDescent="0.2">
      <c r="K831" s="67"/>
    </row>
    <row r="832" spans="11:11" ht="15.75" customHeight="1" x14ac:dyDescent="0.2">
      <c r="K832" s="67"/>
    </row>
    <row r="833" spans="11:11" ht="15.75" customHeight="1" x14ac:dyDescent="0.2">
      <c r="K833" s="67"/>
    </row>
    <row r="834" spans="11:11" ht="15.75" customHeight="1" x14ac:dyDescent="0.2">
      <c r="K834" s="67"/>
    </row>
    <row r="835" spans="11:11" ht="15.75" customHeight="1" x14ac:dyDescent="0.2">
      <c r="K835" s="67"/>
    </row>
    <row r="836" spans="11:11" ht="15.75" customHeight="1" x14ac:dyDescent="0.2">
      <c r="K836" s="67"/>
    </row>
    <row r="837" spans="11:11" ht="15.75" customHeight="1" x14ac:dyDescent="0.2">
      <c r="K837" s="67"/>
    </row>
    <row r="838" spans="11:11" ht="15.75" customHeight="1" x14ac:dyDescent="0.2">
      <c r="K838" s="67"/>
    </row>
    <row r="839" spans="11:11" ht="15.75" customHeight="1" x14ac:dyDescent="0.2">
      <c r="K839" s="67"/>
    </row>
    <row r="840" spans="11:11" ht="15.75" customHeight="1" x14ac:dyDescent="0.2">
      <c r="K840" s="67"/>
    </row>
    <row r="841" spans="11:11" ht="15.75" customHeight="1" x14ac:dyDescent="0.2">
      <c r="K841" s="67"/>
    </row>
    <row r="842" spans="11:11" ht="15.75" customHeight="1" x14ac:dyDescent="0.2">
      <c r="K842" s="67"/>
    </row>
    <row r="843" spans="11:11" ht="15.75" customHeight="1" x14ac:dyDescent="0.2">
      <c r="K843" s="67"/>
    </row>
    <row r="844" spans="11:11" ht="15.75" customHeight="1" x14ac:dyDescent="0.2">
      <c r="K844" s="67"/>
    </row>
    <row r="845" spans="11:11" ht="15.75" customHeight="1" x14ac:dyDescent="0.2">
      <c r="K845" s="67"/>
    </row>
    <row r="846" spans="11:11" ht="15.75" customHeight="1" x14ac:dyDescent="0.2">
      <c r="K846" s="67"/>
    </row>
    <row r="847" spans="11:11" ht="15.75" customHeight="1" x14ac:dyDescent="0.2">
      <c r="K847" s="67"/>
    </row>
    <row r="848" spans="11:11" ht="15.75" customHeight="1" x14ac:dyDescent="0.2">
      <c r="K848" s="67"/>
    </row>
    <row r="849" spans="11:11" ht="15.75" customHeight="1" x14ac:dyDescent="0.2">
      <c r="K849" s="67"/>
    </row>
    <row r="850" spans="11:11" ht="15.75" customHeight="1" x14ac:dyDescent="0.2">
      <c r="K850" s="67"/>
    </row>
    <row r="851" spans="11:11" ht="15.75" customHeight="1" x14ac:dyDescent="0.2">
      <c r="K851" s="67"/>
    </row>
    <row r="852" spans="11:11" ht="15.75" customHeight="1" x14ac:dyDescent="0.2">
      <c r="K852" s="67"/>
    </row>
    <row r="853" spans="11:11" ht="15.75" customHeight="1" x14ac:dyDescent="0.2">
      <c r="K853" s="67"/>
    </row>
    <row r="854" spans="11:11" ht="15.75" customHeight="1" x14ac:dyDescent="0.2">
      <c r="K854" s="67"/>
    </row>
    <row r="855" spans="11:11" ht="15.75" customHeight="1" x14ac:dyDescent="0.2">
      <c r="K855" s="67"/>
    </row>
    <row r="856" spans="11:11" ht="15.75" customHeight="1" x14ac:dyDescent="0.2">
      <c r="K856" s="67"/>
    </row>
    <row r="857" spans="11:11" ht="15.75" customHeight="1" x14ac:dyDescent="0.2">
      <c r="K857" s="67"/>
    </row>
    <row r="858" spans="11:11" ht="15.75" customHeight="1" x14ac:dyDescent="0.2">
      <c r="K858" s="67"/>
    </row>
    <row r="859" spans="11:11" ht="15.75" customHeight="1" x14ac:dyDescent="0.2">
      <c r="K859" s="67"/>
    </row>
    <row r="860" spans="11:11" ht="15.75" customHeight="1" x14ac:dyDescent="0.2">
      <c r="K860" s="67"/>
    </row>
    <row r="861" spans="11:11" ht="15.75" customHeight="1" x14ac:dyDescent="0.2">
      <c r="K861" s="67"/>
    </row>
    <row r="862" spans="11:11" ht="15.75" customHeight="1" x14ac:dyDescent="0.2">
      <c r="K862" s="67"/>
    </row>
    <row r="863" spans="11:11" ht="15.75" customHeight="1" x14ac:dyDescent="0.2">
      <c r="K863" s="67"/>
    </row>
    <row r="864" spans="11:11" ht="15.75" customHeight="1" x14ac:dyDescent="0.2">
      <c r="K864" s="67"/>
    </row>
    <row r="865" spans="11:11" ht="15.75" customHeight="1" x14ac:dyDescent="0.2">
      <c r="K865" s="67"/>
    </row>
    <row r="866" spans="11:11" ht="15.75" customHeight="1" x14ac:dyDescent="0.2">
      <c r="K866" s="67"/>
    </row>
    <row r="867" spans="11:11" ht="15.75" customHeight="1" x14ac:dyDescent="0.2">
      <c r="K867" s="67"/>
    </row>
    <row r="868" spans="11:11" ht="15.75" customHeight="1" x14ac:dyDescent="0.2">
      <c r="K868" s="67"/>
    </row>
    <row r="869" spans="11:11" ht="15.75" customHeight="1" x14ac:dyDescent="0.2">
      <c r="K869" s="67"/>
    </row>
    <row r="870" spans="11:11" ht="15.75" customHeight="1" x14ac:dyDescent="0.2">
      <c r="K870" s="67"/>
    </row>
    <row r="871" spans="11:11" ht="15.75" customHeight="1" x14ac:dyDescent="0.2">
      <c r="K871" s="67"/>
    </row>
    <row r="872" spans="11:11" ht="15.75" customHeight="1" x14ac:dyDescent="0.2">
      <c r="K872" s="67"/>
    </row>
    <row r="873" spans="11:11" ht="15.75" customHeight="1" x14ac:dyDescent="0.2">
      <c r="K873" s="67"/>
    </row>
    <row r="874" spans="11:11" ht="15.75" customHeight="1" x14ac:dyDescent="0.2">
      <c r="K874" s="67"/>
    </row>
    <row r="875" spans="11:11" ht="15.75" customHeight="1" x14ac:dyDescent="0.2">
      <c r="K875" s="67"/>
    </row>
    <row r="876" spans="11:11" ht="15.75" customHeight="1" x14ac:dyDescent="0.2">
      <c r="K876" s="67"/>
    </row>
    <row r="877" spans="11:11" ht="15.75" customHeight="1" x14ac:dyDescent="0.2">
      <c r="K877" s="67"/>
    </row>
    <row r="878" spans="11:11" ht="15.75" customHeight="1" x14ac:dyDescent="0.2">
      <c r="K878" s="67"/>
    </row>
    <row r="879" spans="11:11" ht="15.75" customHeight="1" x14ac:dyDescent="0.2">
      <c r="K879" s="67"/>
    </row>
    <row r="880" spans="11:11" ht="15.75" customHeight="1" x14ac:dyDescent="0.2">
      <c r="K880" s="67"/>
    </row>
    <row r="881" spans="11:11" ht="15.75" customHeight="1" x14ac:dyDescent="0.2">
      <c r="K881" s="67"/>
    </row>
    <row r="882" spans="11:11" ht="15.75" customHeight="1" x14ac:dyDescent="0.2">
      <c r="K882" s="67"/>
    </row>
    <row r="883" spans="11:11" ht="15.75" customHeight="1" x14ac:dyDescent="0.2">
      <c r="K883" s="67"/>
    </row>
    <row r="884" spans="11:11" ht="15.75" customHeight="1" x14ac:dyDescent="0.2">
      <c r="K884" s="67"/>
    </row>
    <row r="885" spans="11:11" ht="15.75" customHeight="1" x14ac:dyDescent="0.2">
      <c r="K885" s="67"/>
    </row>
    <row r="886" spans="11:11" ht="15.75" customHeight="1" x14ac:dyDescent="0.2">
      <c r="K886" s="67"/>
    </row>
    <row r="887" spans="11:11" ht="15.75" customHeight="1" x14ac:dyDescent="0.2">
      <c r="K887" s="67"/>
    </row>
    <row r="888" spans="11:11" ht="15.75" customHeight="1" x14ac:dyDescent="0.2">
      <c r="K888" s="67"/>
    </row>
    <row r="889" spans="11:11" ht="15.75" customHeight="1" x14ac:dyDescent="0.2">
      <c r="K889" s="67"/>
    </row>
    <row r="890" spans="11:11" ht="15.75" customHeight="1" x14ac:dyDescent="0.2">
      <c r="K890" s="67"/>
    </row>
    <row r="891" spans="11:11" ht="15.75" customHeight="1" x14ac:dyDescent="0.2">
      <c r="K891" s="67"/>
    </row>
    <row r="892" spans="11:11" ht="15.75" customHeight="1" x14ac:dyDescent="0.2">
      <c r="K892" s="67"/>
    </row>
    <row r="893" spans="11:11" ht="15.75" customHeight="1" x14ac:dyDescent="0.2">
      <c r="K893" s="67"/>
    </row>
    <row r="894" spans="11:11" ht="15.75" customHeight="1" x14ac:dyDescent="0.2">
      <c r="K894" s="67"/>
    </row>
    <row r="895" spans="11:11" ht="15.75" customHeight="1" x14ac:dyDescent="0.2">
      <c r="K895" s="67"/>
    </row>
    <row r="896" spans="11:11" ht="15.75" customHeight="1" x14ac:dyDescent="0.2">
      <c r="K896" s="67"/>
    </row>
    <row r="897" spans="11:11" ht="15.75" customHeight="1" x14ac:dyDescent="0.2">
      <c r="K897" s="67"/>
    </row>
    <row r="898" spans="11:11" ht="15.75" customHeight="1" x14ac:dyDescent="0.2">
      <c r="K898" s="67"/>
    </row>
    <row r="899" spans="11:11" ht="15.75" customHeight="1" x14ac:dyDescent="0.2">
      <c r="K899" s="67"/>
    </row>
    <row r="900" spans="11:11" ht="15.75" customHeight="1" x14ac:dyDescent="0.2">
      <c r="K900" s="67"/>
    </row>
    <row r="901" spans="11:11" ht="15.75" customHeight="1" x14ac:dyDescent="0.2">
      <c r="K901" s="67"/>
    </row>
    <row r="902" spans="11:11" ht="15.75" customHeight="1" x14ac:dyDescent="0.2">
      <c r="K902" s="67"/>
    </row>
    <row r="903" spans="11:11" ht="15.75" customHeight="1" x14ac:dyDescent="0.2">
      <c r="K903" s="67"/>
    </row>
    <row r="904" spans="11:11" ht="15.75" customHeight="1" x14ac:dyDescent="0.2">
      <c r="K904" s="67"/>
    </row>
    <row r="905" spans="11:11" ht="15.75" customHeight="1" x14ac:dyDescent="0.2">
      <c r="K905" s="67"/>
    </row>
    <row r="906" spans="11:11" ht="15.75" customHeight="1" x14ac:dyDescent="0.2">
      <c r="K906" s="67"/>
    </row>
    <row r="907" spans="11:11" ht="15.75" customHeight="1" x14ac:dyDescent="0.2">
      <c r="K907" s="67"/>
    </row>
    <row r="908" spans="11:11" ht="15.75" customHeight="1" x14ac:dyDescent="0.2">
      <c r="K908" s="67"/>
    </row>
    <row r="909" spans="11:11" ht="15.75" customHeight="1" x14ac:dyDescent="0.2">
      <c r="K909" s="67"/>
    </row>
    <row r="910" spans="11:11" ht="15.75" customHeight="1" x14ac:dyDescent="0.2">
      <c r="K910" s="67"/>
    </row>
    <row r="911" spans="11:11" ht="15.75" customHeight="1" x14ac:dyDescent="0.2">
      <c r="K911" s="67"/>
    </row>
    <row r="912" spans="11:11" ht="15.75" customHeight="1" x14ac:dyDescent="0.2">
      <c r="K912" s="67"/>
    </row>
    <row r="913" spans="11:11" ht="15.75" customHeight="1" x14ac:dyDescent="0.2">
      <c r="K913" s="67"/>
    </row>
    <row r="914" spans="11:11" ht="15.75" customHeight="1" x14ac:dyDescent="0.2">
      <c r="K914" s="67"/>
    </row>
    <row r="915" spans="11:11" ht="15.75" customHeight="1" x14ac:dyDescent="0.2">
      <c r="K915" s="67"/>
    </row>
    <row r="916" spans="11:11" ht="15.75" customHeight="1" x14ac:dyDescent="0.2">
      <c r="K916" s="67"/>
    </row>
    <row r="917" spans="11:11" ht="15.75" customHeight="1" x14ac:dyDescent="0.2">
      <c r="K917" s="67"/>
    </row>
    <row r="918" spans="11:11" ht="15.75" customHeight="1" x14ac:dyDescent="0.2">
      <c r="K918" s="67"/>
    </row>
    <row r="919" spans="11:11" ht="15.75" customHeight="1" x14ac:dyDescent="0.2">
      <c r="K919" s="67"/>
    </row>
    <row r="920" spans="11:11" ht="15.75" customHeight="1" x14ac:dyDescent="0.2">
      <c r="K920" s="67"/>
    </row>
    <row r="921" spans="11:11" ht="15.75" customHeight="1" x14ac:dyDescent="0.2">
      <c r="K921" s="67"/>
    </row>
    <row r="922" spans="11:11" ht="15.75" customHeight="1" x14ac:dyDescent="0.2">
      <c r="K922" s="67"/>
    </row>
    <row r="923" spans="11:11" ht="15.75" customHeight="1" x14ac:dyDescent="0.2">
      <c r="K923" s="67"/>
    </row>
    <row r="924" spans="11:11" ht="15.75" customHeight="1" x14ac:dyDescent="0.2">
      <c r="K924" s="67"/>
    </row>
    <row r="925" spans="11:11" ht="15.75" customHeight="1" x14ac:dyDescent="0.2">
      <c r="K925" s="67"/>
    </row>
    <row r="926" spans="11:11" ht="15.75" customHeight="1" x14ac:dyDescent="0.2">
      <c r="K926" s="67"/>
    </row>
    <row r="927" spans="11:11" ht="15.75" customHeight="1" x14ac:dyDescent="0.2">
      <c r="K927" s="67"/>
    </row>
    <row r="928" spans="11:11" ht="15.75" customHeight="1" x14ac:dyDescent="0.2">
      <c r="K928" s="67"/>
    </row>
    <row r="929" spans="11:11" ht="15.75" customHeight="1" x14ac:dyDescent="0.2">
      <c r="K929" s="67"/>
    </row>
    <row r="930" spans="11:11" ht="15.75" customHeight="1" x14ac:dyDescent="0.2">
      <c r="K930" s="67"/>
    </row>
    <row r="931" spans="11:11" ht="15.75" customHeight="1" x14ac:dyDescent="0.2">
      <c r="K931" s="67"/>
    </row>
    <row r="932" spans="11:11" ht="15.75" customHeight="1" x14ac:dyDescent="0.2">
      <c r="K932" s="67"/>
    </row>
    <row r="933" spans="11:11" ht="15.75" customHeight="1" x14ac:dyDescent="0.2">
      <c r="K933" s="67"/>
    </row>
    <row r="934" spans="11:11" ht="15.75" customHeight="1" x14ac:dyDescent="0.2">
      <c r="K934" s="67"/>
    </row>
    <row r="935" spans="11:11" ht="15.75" customHeight="1" x14ac:dyDescent="0.2">
      <c r="K935" s="67"/>
    </row>
    <row r="936" spans="11:11" ht="15.75" customHeight="1" x14ac:dyDescent="0.2">
      <c r="K936" s="67"/>
    </row>
    <row r="937" spans="11:11" ht="15.75" customHeight="1" x14ac:dyDescent="0.2">
      <c r="K937" s="67"/>
    </row>
    <row r="938" spans="11:11" ht="15.75" customHeight="1" x14ac:dyDescent="0.2">
      <c r="K938" s="67"/>
    </row>
    <row r="939" spans="11:11" ht="15.75" customHeight="1" x14ac:dyDescent="0.2">
      <c r="K939" s="67"/>
    </row>
    <row r="940" spans="11:11" ht="15.75" customHeight="1" x14ac:dyDescent="0.2">
      <c r="K940" s="67"/>
    </row>
    <row r="941" spans="11:11" ht="15.75" customHeight="1" x14ac:dyDescent="0.2">
      <c r="K941" s="67"/>
    </row>
    <row r="942" spans="11:11" ht="15.75" customHeight="1" x14ac:dyDescent="0.2">
      <c r="K942" s="67"/>
    </row>
    <row r="943" spans="11:11" ht="15.75" customHeight="1" x14ac:dyDescent="0.2">
      <c r="K943" s="67"/>
    </row>
    <row r="944" spans="11:11" ht="15.75" customHeight="1" x14ac:dyDescent="0.2">
      <c r="K944" s="67"/>
    </row>
    <row r="945" spans="11:11" ht="15.75" customHeight="1" x14ac:dyDescent="0.2">
      <c r="K945" s="67"/>
    </row>
    <row r="946" spans="11:11" ht="15.75" customHeight="1" x14ac:dyDescent="0.2">
      <c r="K946" s="67"/>
    </row>
    <row r="947" spans="11:11" ht="15.75" customHeight="1" x14ac:dyDescent="0.2">
      <c r="K947" s="67"/>
    </row>
    <row r="948" spans="11:11" ht="15.75" customHeight="1" x14ac:dyDescent="0.2">
      <c r="K948" s="67"/>
    </row>
    <row r="949" spans="11:11" ht="15.75" customHeight="1" x14ac:dyDescent="0.2">
      <c r="K949" s="67"/>
    </row>
    <row r="950" spans="11:11" ht="15.75" customHeight="1" x14ac:dyDescent="0.2">
      <c r="K950" s="67"/>
    </row>
    <row r="951" spans="11:11" ht="15.75" customHeight="1" x14ac:dyDescent="0.2">
      <c r="K951" s="67"/>
    </row>
    <row r="952" spans="11:11" ht="15.75" customHeight="1" x14ac:dyDescent="0.2">
      <c r="K952" s="67"/>
    </row>
    <row r="953" spans="11:11" ht="15.75" customHeight="1" x14ac:dyDescent="0.2">
      <c r="K953" s="67"/>
    </row>
    <row r="954" spans="11:11" ht="15.75" customHeight="1" x14ac:dyDescent="0.2">
      <c r="K954" s="67"/>
    </row>
    <row r="955" spans="11:11" ht="15.75" customHeight="1" x14ac:dyDescent="0.2">
      <c r="K955" s="67"/>
    </row>
    <row r="956" spans="11:11" ht="15.75" customHeight="1" x14ac:dyDescent="0.2">
      <c r="K956" s="67"/>
    </row>
    <row r="957" spans="11:11" ht="15.75" customHeight="1" x14ac:dyDescent="0.2">
      <c r="K957" s="67"/>
    </row>
    <row r="958" spans="11:11" ht="15.75" customHeight="1" x14ac:dyDescent="0.2">
      <c r="K958" s="67"/>
    </row>
    <row r="959" spans="11:11" ht="15.75" customHeight="1" x14ac:dyDescent="0.2">
      <c r="K959" s="67"/>
    </row>
    <row r="960" spans="11:11" ht="15.75" customHeight="1" x14ac:dyDescent="0.2">
      <c r="K960" s="67"/>
    </row>
    <row r="961" spans="11:11" ht="15.75" customHeight="1" x14ac:dyDescent="0.2">
      <c r="K961" s="67"/>
    </row>
    <row r="962" spans="11:11" ht="15.75" customHeight="1" x14ac:dyDescent="0.2">
      <c r="K962" s="67"/>
    </row>
    <row r="963" spans="11:11" ht="15.75" customHeight="1" x14ac:dyDescent="0.2">
      <c r="K963" s="67"/>
    </row>
    <row r="964" spans="11:11" ht="15.75" customHeight="1" x14ac:dyDescent="0.2">
      <c r="K964" s="67"/>
    </row>
    <row r="965" spans="11:11" ht="15.75" customHeight="1" x14ac:dyDescent="0.2">
      <c r="K965" s="67"/>
    </row>
    <row r="966" spans="11:11" ht="15.75" customHeight="1" x14ac:dyDescent="0.2">
      <c r="K966" s="67"/>
    </row>
    <row r="967" spans="11:11" ht="15.75" customHeight="1" x14ac:dyDescent="0.2">
      <c r="K967" s="67"/>
    </row>
    <row r="968" spans="11:11" ht="15.75" customHeight="1" x14ac:dyDescent="0.2">
      <c r="K968" s="67"/>
    </row>
    <row r="969" spans="11:11" ht="15.75" customHeight="1" x14ac:dyDescent="0.2">
      <c r="K969" s="67"/>
    </row>
    <row r="970" spans="11:11" ht="15.75" customHeight="1" x14ac:dyDescent="0.2">
      <c r="K970" s="67"/>
    </row>
    <row r="971" spans="11:11" ht="15.75" customHeight="1" x14ac:dyDescent="0.2">
      <c r="K971" s="67"/>
    </row>
    <row r="972" spans="11:11" ht="15.75" customHeight="1" x14ac:dyDescent="0.2">
      <c r="K972" s="67"/>
    </row>
    <row r="973" spans="11:11" ht="15.75" customHeight="1" x14ac:dyDescent="0.2">
      <c r="K973" s="67"/>
    </row>
    <row r="974" spans="11:11" ht="15.75" customHeight="1" x14ac:dyDescent="0.2">
      <c r="K974" s="67"/>
    </row>
    <row r="975" spans="11:11" ht="15.75" customHeight="1" x14ac:dyDescent="0.2">
      <c r="K975" s="67"/>
    </row>
    <row r="976" spans="11:11" ht="15.75" customHeight="1" x14ac:dyDescent="0.2">
      <c r="K976" s="67"/>
    </row>
    <row r="977" spans="11:11" ht="15.75" customHeight="1" x14ac:dyDescent="0.2">
      <c r="K977" s="67"/>
    </row>
    <row r="978" spans="11:11" ht="15.75" customHeight="1" x14ac:dyDescent="0.2">
      <c r="K978" s="67"/>
    </row>
    <row r="979" spans="11:11" ht="15.75" customHeight="1" x14ac:dyDescent="0.2">
      <c r="K979" s="67"/>
    </row>
    <row r="980" spans="11:11" ht="15.75" customHeight="1" x14ac:dyDescent="0.2">
      <c r="K980" s="67"/>
    </row>
    <row r="981" spans="11:11" ht="15.75" customHeight="1" x14ac:dyDescent="0.2">
      <c r="K981" s="67"/>
    </row>
    <row r="982" spans="11:11" ht="15.75" customHeight="1" x14ac:dyDescent="0.2">
      <c r="K982" s="67"/>
    </row>
    <row r="983" spans="11:11" ht="15.75" customHeight="1" x14ac:dyDescent="0.2">
      <c r="K983" s="67"/>
    </row>
    <row r="984" spans="11:11" ht="15.75" customHeight="1" x14ac:dyDescent="0.2">
      <c r="K984" s="67"/>
    </row>
    <row r="985" spans="11:11" ht="15.75" customHeight="1" x14ac:dyDescent="0.2">
      <c r="K985" s="67"/>
    </row>
    <row r="986" spans="11:11" ht="15.75" customHeight="1" x14ac:dyDescent="0.2">
      <c r="K986" s="67"/>
    </row>
    <row r="987" spans="11:11" ht="15.75" customHeight="1" x14ac:dyDescent="0.2">
      <c r="K987" s="67"/>
    </row>
    <row r="988" spans="11:11" ht="15.75" customHeight="1" x14ac:dyDescent="0.2">
      <c r="K988" s="67"/>
    </row>
    <row r="989" spans="11:11" ht="15.75" customHeight="1" x14ac:dyDescent="0.2">
      <c r="K989" s="67"/>
    </row>
    <row r="990" spans="11:11" ht="15.75" customHeight="1" x14ac:dyDescent="0.2">
      <c r="K990" s="67"/>
    </row>
    <row r="991" spans="11:11" ht="15.75" customHeight="1" x14ac:dyDescent="0.2">
      <c r="K991" s="67"/>
    </row>
    <row r="992" spans="11:11" ht="15.75" customHeight="1" x14ac:dyDescent="0.2">
      <c r="K992" s="67"/>
    </row>
    <row r="993" spans="11:11" ht="15.75" customHeight="1" x14ac:dyDescent="0.2">
      <c r="K993" s="67"/>
    </row>
    <row r="994" spans="11:11" ht="15.75" customHeight="1" x14ac:dyDescent="0.2">
      <c r="K994" s="67"/>
    </row>
    <row r="995" spans="11:11" ht="15.75" customHeight="1" x14ac:dyDescent="0.2">
      <c r="K995" s="67"/>
    </row>
    <row r="996" spans="11:11" ht="15.75" customHeight="1" x14ac:dyDescent="0.2">
      <c r="K996" s="67"/>
    </row>
    <row r="997" spans="11:11" ht="15.75" customHeight="1" x14ac:dyDescent="0.2">
      <c r="K997" s="67"/>
    </row>
    <row r="998" spans="11:11" ht="15.75" customHeight="1" x14ac:dyDescent="0.2">
      <c r="K998" s="67"/>
    </row>
    <row r="999" spans="11:11" ht="15.75" customHeight="1" x14ac:dyDescent="0.2">
      <c r="K999" s="67"/>
    </row>
    <row r="1000" spans="11:11" ht="15.75" customHeight="1" x14ac:dyDescent="0.2">
      <c r="K1000" s="6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2026-02-20T17:16:01Z</dcterms:modified>
</cp:coreProperties>
</file>